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029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f74228ae8bb424b8/Lecture/2024-25/GSTR3B AND GSTR2B WITH CHAT GPT/CHAT GPT-Class/2025-26/Uploaded Unlimited line item/"/>
    </mc:Choice>
  </mc:AlternateContent>
  <xr:revisionPtr revIDLastSave="122212" documentId="13_ncr:1_{F6F8A6F6-85F4-4538-93CE-794487E6BC83}" xr6:coauthVersionLast="47" xr6:coauthVersionMax="47" xr10:uidLastSave="{12F08798-62C5-467F-9F6A-A347D9285CBE}"/>
  <bookViews>
    <workbookView xWindow="-120" yWindow="-120" windowWidth="29040" windowHeight="15720" xr2:uid="{42497D1F-FD7B-40C0-952A-AF67723F9093}"/>
  </bookViews>
  <sheets>
    <sheet name="Sheet1" sheetId="1" r:id="rId1"/>
  </sheets>
  <definedNames>
    <definedName name="_xlnm._FilterDatabase" localSheetId="0" hidden="1">Sheet1!$A$1:$P$559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555" i="1" l="1"/>
  <c r="K282" i="1"/>
  <c r="K283" i="1"/>
  <c r="K284" i="1"/>
  <c r="K285" i="1"/>
  <c r="K286" i="1"/>
  <c r="K287" i="1"/>
  <c r="K288" i="1"/>
  <c r="K289" i="1"/>
  <c r="K290" i="1"/>
  <c r="K291" i="1"/>
  <c r="K292" i="1"/>
  <c r="K293" i="1"/>
  <c r="K294" i="1"/>
  <c r="K295" i="1"/>
  <c r="K296" i="1"/>
  <c r="K297" i="1"/>
  <c r="K298" i="1"/>
  <c r="K299" i="1"/>
  <c r="K300" i="1"/>
  <c r="K301" i="1"/>
  <c r="K302" i="1"/>
  <c r="K303" i="1"/>
  <c r="K304" i="1"/>
  <c r="K305" i="1"/>
  <c r="K306" i="1"/>
  <c r="K307" i="1"/>
  <c r="K308" i="1"/>
  <c r="K309" i="1"/>
  <c r="K310" i="1"/>
  <c r="K311" i="1"/>
  <c r="K312" i="1"/>
  <c r="K313" i="1"/>
  <c r="K314" i="1"/>
  <c r="K315" i="1"/>
  <c r="K316" i="1"/>
  <c r="K317" i="1"/>
  <c r="K318" i="1"/>
  <c r="K319" i="1"/>
  <c r="K320" i="1"/>
  <c r="K321" i="1"/>
  <c r="K322" i="1"/>
  <c r="K323" i="1"/>
  <c r="K324" i="1"/>
  <c r="K325" i="1"/>
  <c r="K326" i="1"/>
  <c r="K327" i="1"/>
  <c r="K328" i="1"/>
  <c r="K329" i="1"/>
  <c r="K330" i="1"/>
  <c r="K331" i="1"/>
  <c r="K332" i="1"/>
  <c r="K333" i="1"/>
  <c r="K334" i="1"/>
  <c r="K335" i="1"/>
  <c r="K336" i="1"/>
  <c r="K337" i="1"/>
  <c r="K338" i="1"/>
  <c r="K339" i="1"/>
  <c r="K340" i="1"/>
  <c r="K341" i="1"/>
  <c r="K342" i="1"/>
  <c r="K343" i="1"/>
  <c r="K344" i="1"/>
  <c r="K345" i="1"/>
  <c r="K346" i="1"/>
  <c r="K347" i="1"/>
  <c r="K348" i="1"/>
  <c r="K349" i="1"/>
  <c r="K350" i="1"/>
  <c r="K351" i="1"/>
  <c r="K352" i="1"/>
  <c r="K353" i="1"/>
  <c r="K354" i="1"/>
  <c r="K355" i="1"/>
  <c r="K356" i="1"/>
  <c r="K357" i="1"/>
  <c r="K358" i="1"/>
  <c r="K359" i="1"/>
  <c r="K360" i="1"/>
  <c r="K361" i="1"/>
  <c r="K362" i="1"/>
  <c r="K363" i="1"/>
  <c r="K364" i="1"/>
  <c r="K365" i="1"/>
  <c r="K366" i="1"/>
  <c r="K367" i="1"/>
  <c r="K368" i="1"/>
  <c r="K369" i="1"/>
  <c r="K370" i="1"/>
  <c r="K371" i="1"/>
  <c r="K372" i="1"/>
  <c r="K373" i="1"/>
  <c r="K374" i="1"/>
  <c r="K375" i="1"/>
  <c r="K376" i="1"/>
  <c r="K377" i="1"/>
  <c r="K378" i="1"/>
  <c r="K379" i="1"/>
  <c r="K380" i="1"/>
  <c r="K381" i="1"/>
  <c r="K382" i="1"/>
  <c r="K383" i="1"/>
  <c r="K384" i="1"/>
  <c r="K385" i="1"/>
  <c r="K386" i="1"/>
  <c r="K387" i="1"/>
  <c r="K388" i="1"/>
  <c r="K389" i="1"/>
  <c r="K390" i="1"/>
  <c r="K391" i="1"/>
  <c r="K392" i="1"/>
  <c r="K393" i="1"/>
  <c r="K394" i="1"/>
  <c r="K395" i="1"/>
  <c r="K396" i="1"/>
  <c r="K397" i="1"/>
  <c r="K398" i="1"/>
  <c r="K399" i="1"/>
  <c r="K400" i="1"/>
  <c r="K401" i="1"/>
  <c r="K402" i="1"/>
  <c r="K403" i="1"/>
  <c r="K404" i="1"/>
  <c r="K405" i="1"/>
  <c r="K406" i="1"/>
  <c r="K407" i="1"/>
  <c r="K408" i="1"/>
  <c r="K409" i="1"/>
  <c r="K410" i="1"/>
  <c r="K411" i="1"/>
  <c r="K412" i="1"/>
  <c r="K413" i="1"/>
  <c r="K414" i="1"/>
  <c r="K415" i="1"/>
  <c r="K416" i="1"/>
  <c r="K417" i="1"/>
  <c r="K418" i="1"/>
  <c r="K419" i="1"/>
  <c r="K420" i="1"/>
  <c r="K421" i="1"/>
  <c r="K422" i="1"/>
  <c r="K423" i="1"/>
  <c r="K424" i="1"/>
  <c r="K425" i="1"/>
  <c r="K426" i="1"/>
  <c r="K427" i="1"/>
  <c r="K428" i="1"/>
  <c r="K429" i="1"/>
  <c r="K430" i="1"/>
  <c r="K431" i="1"/>
  <c r="K432" i="1"/>
  <c r="K433" i="1"/>
  <c r="K434" i="1"/>
  <c r="K435" i="1"/>
  <c r="K436" i="1"/>
  <c r="K437" i="1"/>
  <c r="K438" i="1"/>
  <c r="K439" i="1"/>
  <c r="K440" i="1"/>
  <c r="K441" i="1"/>
  <c r="K442" i="1"/>
  <c r="K443" i="1"/>
  <c r="K444" i="1"/>
  <c r="K445" i="1"/>
  <c r="K446" i="1"/>
  <c r="K447" i="1"/>
  <c r="K448" i="1"/>
  <c r="K449" i="1"/>
  <c r="K450" i="1"/>
  <c r="K451" i="1"/>
  <c r="K452" i="1"/>
  <c r="K453" i="1"/>
  <c r="K454" i="1"/>
  <c r="K455" i="1"/>
  <c r="K456" i="1"/>
  <c r="K457" i="1"/>
  <c r="K458" i="1"/>
  <c r="K459" i="1"/>
  <c r="K460" i="1"/>
  <c r="K461" i="1"/>
  <c r="K462" i="1"/>
  <c r="K463" i="1"/>
  <c r="K464" i="1"/>
  <c r="K465" i="1"/>
  <c r="K466" i="1"/>
  <c r="K467" i="1"/>
  <c r="K468" i="1"/>
  <c r="K469" i="1"/>
  <c r="K470" i="1"/>
  <c r="K471" i="1"/>
  <c r="K472" i="1"/>
  <c r="K473" i="1"/>
  <c r="K474" i="1"/>
  <c r="K475" i="1"/>
  <c r="K476" i="1"/>
  <c r="K477" i="1"/>
  <c r="K478" i="1"/>
  <c r="K479" i="1"/>
  <c r="K480" i="1"/>
  <c r="K481" i="1"/>
  <c r="K482" i="1"/>
  <c r="K483" i="1"/>
  <c r="K484" i="1"/>
  <c r="K485" i="1"/>
  <c r="K486" i="1"/>
  <c r="K487" i="1"/>
  <c r="K488" i="1"/>
  <c r="K489" i="1"/>
  <c r="K490" i="1"/>
  <c r="K491" i="1"/>
  <c r="K492" i="1"/>
  <c r="K493" i="1"/>
  <c r="K494" i="1"/>
  <c r="K495" i="1"/>
  <c r="K496" i="1"/>
  <c r="K497" i="1"/>
  <c r="K498" i="1"/>
  <c r="K499" i="1"/>
  <c r="K500" i="1"/>
  <c r="K501" i="1"/>
  <c r="K502" i="1"/>
  <c r="K503" i="1"/>
  <c r="K504" i="1"/>
  <c r="K505" i="1"/>
  <c r="K506" i="1"/>
  <c r="K507" i="1"/>
  <c r="K508" i="1"/>
  <c r="K509" i="1"/>
  <c r="K510" i="1"/>
  <c r="K511" i="1"/>
  <c r="K512" i="1"/>
  <c r="K513" i="1"/>
  <c r="K514" i="1"/>
  <c r="K515" i="1"/>
  <c r="K516" i="1"/>
  <c r="K517" i="1"/>
  <c r="K518" i="1"/>
  <c r="K519" i="1"/>
  <c r="K520" i="1"/>
  <c r="K521" i="1"/>
  <c r="K522" i="1"/>
  <c r="K523" i="1"/>
  <c r="K524" i="1"/>
  <c r="K525" i="1"/>
  <c r="K526" i="1"/>
  <c r="K527" i="1"/>
  <c r="K528" i="1"/>
  <c r="K529" i="1"/>
  <c r="K530" i="1"/>
  <c r="K531" i="1"/>
  <c r="K532" i="1"/>
  <c r="K533" i="1"/>
  <c r="K534" i="1"/>
  <c r="K535" i="1"/>
  <c r="K536" i="1"/>
  <c r="K537" i="1"/>
  <c r="K538" i="1"/>
  <c r="K539" i="1"/>
  <c r="K540" i="1"/>
  <c r="K541" i="1"/>
  <c r="K542" i="1"/>
  <c r="K543" i="1"/>
  <c r="K544" i="1"/>
  <c r="K545" i="1"/>
  <c r="K546" i="1"/>
  <c r="K547" i="1"/>
  <c r="K548" i="1"/>
  <c r="K549" i="1"/>
  <c r="K550" i="1"/>
  <c r="K551" i="1"/>
  <c r="K552" i="1"/>
  <c r="K553" i="1"/>
  <c r="K554" i="1"/>
  <c r="K556" i="1"/>
  <c r="K557" i="1"/>
  <c r="K558" i="1"/>
  <c r="K559" i="1"/>
  <c r="K281" i="1"/>
  <c r="K86" i="1"/>
  <c r="K87" i="1"/>
  <c r="K88" i="1"/>
  <c r="K89" i="1"/>
  <c r="K90" i="1"/>
  <c r="K91" i="1"/>
  <c r="K92" i="1"/>
  <c r="K93" i="1"/>
  <c r="K94" i="1"/>
  <c r="K95" i="1"/>
  <c r="K96" i="1"/>
  <c r="K97" i="1"/>
  <c r="K98" i="1"/>
  <c r="K99" i="1"/>
  <c r="K100" i="1"/>
  <c r="K101" i="1"/>
  <c r="K102" i="1"/>
  <c r="K103" i="1"/>
  <c r="K104" i="1"/>
  <c r="K105" i="1"/>
  <c r="K106" i="1"/>
  <c r="K107" i="1"/>
  <c r="K108" i="1"/>
  <c r="K109" i="1"/>
  <c r="K110" i="1"/>
  <c r="K111" i="1"/>
  <c r="K112" i="1"/>
  <c r="K113" i="1"/>
  <c r="K114" i="1"/>
  <c r="K115" i="1"/>
  <c r="K116" i="1"/>
  <c r="K117" i="1"/>
  <c r="K118" i="1"/>
  <c r="K119" i="1"/>
  <c r="K120" i="1"/>
  <c r="K121" i="1"/>
  <c r="K122" i="1"/>
  <c r="K123" i="1"/>
  <c r="K124" i="1"/>
  <c r="K125" i="1"/>
  <c r="K126" i="1"/>
  <c r="K127" i="1"/>
  <c r="K128" i="1"/>
  <c r="K129" i="1"/>
  <c r="K130" i="1"/>
  <c r="K131" i="1"/>
  <c r="K132" i="1"/>
  <c r="K133" i="1"/>
  <c r="K134" i="1"/>
  <c r="K135" i="1"/>
  <c r="K136" i="1"/>
  <c r="K137" i="1"/>
  <c r="K138" i="1"/>
  <c r="K139" i="1"/>
  <c r="K140" i="1"/>
  <c r="K141" i="1"/>
  <c r="K142" i="1"/>
  <c r="K143" i="1"/>
  <c r="K144" i="1"/>
  <c r="K145" i="1"/>
  <c r="K146" i="1"/>
  <c r="K147" i="1"/>
  <c r="K148" i="1"/>
  <c r="K149" i="1"/>
  <c r="K150" i="1"/>
  <c r="K151" i="1"/>
  <c r="K152" i="1"/>
  <c r="K153" i="1"/>
  <c r="K154" i="1"/>
  <c r="K155" i="1"/>
  <c r="K156" i="1"/>
  <c r="K157" i="1"/>
  <c r="K158" i="1"/>
  <c r="K159" i="1"/>
  <c r="K160" i="1"/>
  <c r="K161" i="1"/>
  <c r="K162" i="1"/>
  <c r="K163" i="1"/>
  <c r="K164" i="1"/>
  <c r="K165" i="1"/>
  <c r="K166" i="1"/>
  <c r="K167" i="1"/>
  <c r="K168" i="1"/>
  <c r="K169" i="1"/>
  <c r="K170" i="1"/>
  <c r="K171" i="1"/>
  <c r="K172" i="1"/>
  <c r="K173" i="1"/>
  <c r="K174" i="1"/>
  <c r="K175" i="1"/>
  <c r="K176" i="1"/>
  <c r="K177" i="1"/>
  <c r="K178" i="1"/>
  <c r="K179" i="1"/>
  <c r="K180" i="1"/>
  <c r="K181" i="1"/>
  <c r="K182" i="1"/>
  <c r="K183" i="1"/>
  <c r="K184" i="1"/>
  <c r="K185" i="1"/>
  <c r="K186" i="1"/>
  <c r="K187" i="1"/>
  <c r="K188" i="1"/>
  <c r="K189" i="1"/>
  <c r="K190" i="1"/>
  <c r="K191" i="1"/>
  <c r="K192" i="1"/>
  <c r="K193" i="1"/>
  <c r="K194" i="1"/>
  <c r="K195" i="1"/>
  <c r="K196" i="1"/>
  <c r="K197" i="1"/>
  <c r="K198" i="1"/>
  <c r="K199" i="1"/>
  <c r="K200" i="1"/>
  <c r="K201" i="1"/>
  <c r="K202" i="1"/>
  <c r="K203" i="1"/>
  <c r="K204" i="1"/>
  <c r="K205" i="1"/>
  <c r="K206" i="1"/>
  <c r="K207" i="1"/>
  <c r="K208" i="1"/>
  <c r="K209" i="1"/>
  <c r="K210" i="1"/>
  <c r="K211" i="1"/>
  <c r="K212" i="1"/>
  <c r="K213" i="1"/>
  <c r="K214" i="1"/>
  <c r="K215" i="1"/>
  <c r="K216" i="1"/>
  <c r="K217" i="1"/>
  <c r="K218" i="1"/>
  <c r="K219" i="1"/>
  <c r="K220" i="1"/>
  <c r="K221" i="1"/>
  <c r="K222" i="1"/>
  <c r="K223" i="1"/>
  <c r="K224" i="1"/>
  <c r="K225" i="1"/>
  <c r="K226" i="1"/>
  <c r="K227" i="1"/>
  <c r="K228" i="1"/>
  <c r="K229" i="1"/>
  <c r="K230" i="1"/>
  <c r="K231" i="1"/>
  <c r="K232" i="1"/>
  <c r="K233" i="1"/>
  <c r="K234" i="1"/>
  <c r="K235" i="1"/>
  <c r="K236" i="1"/>
  <c r="K237" i="1"/>
  <c r="K238" i="1"/>
  <c r="K239" i="1"/>
  <c r="K240" i="1"/>
  <c r="K241" i="1"/>
  <c r="K242" i="1"/>
  <c r="K243" i="1"/>
  <c r="K244" i="1"/>
  <c r="K245" i="1"/>
  <c r="K246" i="1"/>
  <c r="K247" i="1"/>
  <c r="K248" i="1"/>
  <c r="K249" i="1"/>
  <c r="K250" i="1"/>
  <c r="K251" i="1"/>
  <c r="K252" i="1"/>
  <c r="K253" i="1"/>
  <c r="K254" i="1"/>
  <c r="K255" i="1"/>
  <c r="K256" i="1"/>
  <c r="K257" i="1"/>
  <c r="K258" i="1"/>
  <c r="K259" i="1"/>
  <c r="K260" i="1"/>
  <c r="K261" i="1"/>
  <c r="K262" i="1"/>
  <c r="K263" i="1"/>
  <c r="K264" i="1"/>
  <c r="K265" i="1"/>
  <c r="K266" i="1"/>
  <c r="K267" i="1"/>
  <c r="K268" i="1"/>
  <c r="K269" i="1"/>
  <c r="K270" i="1"/>
  <c r="K271" i="1"/>
  <c r="K272" i="1"/>
  <c r="K273" i="1"/>
  <c r="K274" i="1"/>
  <c r="K275" i="1"/>
  <c r="K276" i="1"/>
  <c r="K277" i="1"/>
  <c r="K278" i="1"/>
  <c r="K279" i="1"/>
  <c r="K280" i="1"/>
  <c r="K85" i="1"/>
  <c r="K84" i="1"/>
  <c r="K83" i="1"/>
  <c r="K82" i="1"/>
  <c r="K81" i="1"/>
  <c r="K80" i="1"/>
  <c r="K79" i="1"/>
  <c r="K78" i="1"/>
  <c r="K77" i="1"/>
  <c r="K76" i="1"/>
  <c r="K75" i="1"/>
  <c r="K74" i="1"/>
  <c r="K73" i="1"/>
  <c r="K72" i="1"/>
  <c r="K71" i="1"/>
  <c r="K70" i="1"/>
  <c r="K69" i="1"/>
  <c r="K68" i="1"/>
  <c r="K67" i="1"/>
  <c r="K66" i="1"/>
  <c r="K65" i="1"/>
  <c r="K64" i="1"/>
  <c r="K63" i="1"/>
  <c r="K62" i="1"/>
  <c r="K61" i="1"/>
  <c r="K60" i="1"/>
  <c r="K59" i="1"/>
  <c r="K58" i="1"/>
  <c r="K57" i="1"/>
  <c r="K56" i="1"/>
  <c r="K55" i="1"/>
  <c r="K54" i="1"/>
  <c r="K53" i="1"/>
  <c r="K52" i="1"/>
  <c r="K51" i="1"/>
  <c r="K50" i="1"/>
  <c r="K49" i="1"/>
  <c r="K48" i="1"/>
  <c r="K47" i="1"/>
  <c r="K46" i="1"/>
  <c r="K45" i="1"/>
  <c r="K44" i="1"/>
  <c r="K43" i="1"/>
  <c r="K42" i="1"/>
  <c r="K41" i="1"/>
  <c r="K40" i="1"/>
  <c r="K39" i="1"/>
  <c r="K38" i="1"/>
  <c r="K37" i="1"/>
  <c r="K36" i="1"/>
  <c r="K35" i="1"/>
  <c r="K34" i="1"/>
  <c r="K33" i="1"/>
  <c r="K32" i="1"/>
  <c r="K31" i="1"/>
  <c r="K30" i="1"/>
  <c r="K29" i="1"/>
  <c r="K28" i="1"/>
  <c r="K27" i="1"/>
  <c r="K26" i="1"/>
  <c r="K25" i="1"/>
  <c r="K24" i="1"/>
  <c r="K23" i="1"/>
  <c r="K22" i="1"/>
  <c r="K21" i="1"/>
  <c r="K20" i="1"/>
  <c r="K19" i="1"/>
  <c r="K18" i="1"/>
  <c r="K17" i="1"/>
  <c r="K16" i="1"/>
  <c r="K15" i="1"/>
  <c r="K14" i="1"/>
  <c r="K13" i="1"/>
  <c r="K12" i="1"/>
  <c r="K11" i="1"/>
  <c r="K10" i="1"/>
  <c r="K9" i="1"/>
  <c r="K8" i="1"/>
  <c r="K7" i="1"/>
  <c r="K6" i="1"/>
  <c r="K5" i="1"/>
  <c r="K4" i="1"/>
  <c r="K3" i="1"/>
  <c r="K2" i="1"/>
</calcChain>
</file>

<file path=xl/sharedStrings.xml><?xml version="1.0" encoding="utf-8"?>
<sst xmlns="http://schemas.openxmlformats.org/spreadsheetml/2006/main" count="3650" uniqueCount="801">
  <si>
    <t>GSTIN of supplier</t>
  </si>
  <si>
    <t>Trade/Legal name of the Supplier</t>
  </si>
  <si>
    <t>GSTinv</t>
  </si>
  <si>
    <t>Invoice Date</t>
  </si>
  <si>
    <t>Taxable Value (₹)</t>
  </si>
  <si>
    <t>Integrated Tax  (₹)</t>
  </si>
  <si>
    <t>Central Tax (₹)</t>
  </si>
  <si>
    <t>State/UT tax (₹)</t>
  </si>
  <si>
    <t>Remarks</t>
  </si>
  <si>
    <t>Original Invoice</t>
  </si>
  <si>
    <t>New Invoice no.</t>
  </si>
  <si>
    <t>Total</t>
  </si>
  <si>
    <t>Our Remarks</t>
  </si>
  <si>
    <t>GSTR2B</t>
  </si>
  <si>
    <t xml:space="preserve"> </t>
  </si>
  <si>
    <t>1</t>
  </si>
  <si>
    <t>OUR DATA</t>
  </si>
  <si>
    <t>07AAACB6600L1ZU</t>
  </si>
  <si>
    <t>07AAECL1015B1ZA</t>
  </si>
  <si>
    <t>07GQPPP9852L1ZN</t>
  </si>
  <si>
    <t>07AECPC7173C1ZX</t>
  </si>
  <si>
    <t>07APOPP3996D1ZC</t>
  </si>
  <si>
    <t>07AFFPT6090P1ZM</t>
  </si>
  <si>
    <t>07ASYPP2979H1ZR</t>
  </si>
  <si>
    <t>07CJEPS1087G1Z1</t>
  </si>
  <si>
    <t>27ALYPR8485R1ZB</t>
  </si>
  <si>
    <t>07ADYPR7454A1Z2</t>
  </si>
  <si>
    <t>07AAICA3177F1ZQ</t>
  </si>
  <si>
    <t>07HPOPK4469D1ZG</t>
  </si>
  <si>
    <t>07ADRPA1066G1ZQ</t>
  </si>
  <si>
    <t>07AAWFR4627E1ZU</t>
  </si>
  <si>
    <t>07AIAPM0190K1ZC</t>
  </si>
  <si>
    <t>07AAJCC2112P1ZL</t>
  </si>
  <si>
    <t>07AOXPM4347P2ZV</t>
  </si>
  <si>
    <t>07AKZPA1919R1ZE</t>
  </si>
  <si>
    <t>27AKKPS0664A2Z7</t>
  </si>
  <si>
    <t>07AUHPK5010H1ZX</t>
  </si>
  <si>
    <t>07AAFCL8789B1Z6</t>
  </si>
  <si>
    <t>07ABBCS5539B1ZJ</t>
  </si>
  <si>
    <t>27JJPPS9147K1ZZ</t>
  </si>
  <si>
    <t>07AAECL6017D1ZU</t>
  </si>
  <si>
    <t>07AAKPG2765Q1Z4</t>
  </si>
  <si>
    <t>27AEPPB9602Q1ZW</t>
  </si>
  <si>
    <t>19ACVPI1276M1ZU</t>
  </si>
  <si>
    <t>07BZAPR3988N1ZI</t>
  </si>
  <si>
    <t>07AAJPJ6458J1ZA</t>
  </si>
  <si>
    <t>07FHOPS5190B1ZZ</t>
  </si>
  <si>
    <t>07EKDPS0922N2ZS</t>
  </si>
  <si>
    <t>07AASCS8576L1Z8</t>
  </si>
  <si>
    <t>07AAACB2894G1ZP</t>
  </si>
  <si>
    <t>07AQEPB8214H1Z5</t>
  </si>
  <si>
    <t>07AMPPK9290H1ZF</t>
  </si>
  <si>
    <t>07AAACB0446L1ZU</t>
  </si>
  <si>
    <t>Bhatia Photo Industries Pvt. Ltd</t>
  </si>
  <si>
    <t>LAPLIFE ELECTRONICS PRIVATE LIMITED</t>
  </si>
  <si>
    <t>DELIGHT WORLD</t>
  </si>
  <si>
    <t>Zee Technologies</t>
  </si>
  <si>
    <t>SSB INFOTECH</t>
  </si>
  <si>
    <t>BDS ENTERPRISES</t>
  </si>
  <si>
    <t>Universal Infosys</t>
  </si>
  <si>
    <t>SBS System &amp; Solutions</t>
  </si>
  <si>
    <t>RATHOD SOLUTIONS INDIA</t>
  </si>
  <si>
    <t>Data Linkers</t>
  </si>
  <si>
    <t>Aggarwal Computronix Pvt. Ltd.</t>
  </si>
  <si>
    <t>MARS INFORMATIQUE</t>
  </si>
  <si>
    <t>D A COMPUTERS</t>
  </si>
  <si>
    <t>RBM ENTERPRISES</t>
  </si>
  <si>
    <t>Wide Angle Technologies</t>
  </si>
  <si>
    <t>CAVIAR TECHNOLOGIES PVT LTD</t>
  </si>
  <si>
    <t>COMPUTER SERVICES</t>
  </si>
  <si>
    <t>Neelkanth Stationers</t>
  </si>
  <si>
    <t>REFIXYA INC</t>
  </si>
  <si>
    <t>SHEETAL IT SOLUTION</t>
  </si>
  <si>
    <t>LAPSAN TECHNOLOGIES PRIVATE LIMITED</t>
  </si>
  <si>
    <t>SPS LAPTOP PARTS INDIA PVT LTD</t>
  </si>
  <si>
    <t>RANAWAT COMPUTERS</t>
  </si>
  <si>
    <t>LAPLIFE INDIA PRIVATE LIMITED</t>
  </si>
  <si>
    <t>Super Link</t>
  </si>
  <si>
    <t>REGENT  PACKAGING</t>
  </si>
  <si>
    <t>LAPTOP DOCTOR</t>
  </si>
  <si>
    <t>MAHAVEER TECHNOLOGY</t>
  </si>
  <si>
    <t>MAX POWER DELHI</t>
  </si>
  <si>
    <t>LAPTEEK INDIA INFOSYS</t>
  </si>
  <si>
    <t>VIVEK ENTERPRISES</t>
  </si>
  <si>
    <t>Sparehub Solutions Pvt. Ltd</t>
  </si>
  <si>
    <t>Airtel Relationship No 12397012</t>
  </si>
  <si>
    <t>HI TECH STUDIO</t>
  </si>
  <si>
    <t>SRV Global</t>
  </si>
  <si>
    <t>Blue Dart Express Limited</t>
  </si>
  <si>
    <t>BPNP/25-26/0017</t>
  </si>
  <si>
    <t>BPNP/25-26/0016</t>
  </si>
  <si>
    <t>LLEGS25-26AP35</t>
  </si>
  <si>
    <t>DW/25-26/030</t>
  </si>
  <si>
    <t>ZT/2526/0018</t>
  </si>
  <si>
    <t>SSB/25-26/0004</t>
  </si>
  <si>
    <t>TI-003</t>
  </si>
  <si>
    <t>UINP/25-26/120</t>
  </si>
  <si>
    <t>RSI/25-26/48</t>
  </si>
  <si>
    <t>DL/CNR/0015</t>
  </si>
  <si>
    <t>ACPL/268/25-26</t>
  </si>
  <si>
    <t>BPNP/25-26/0041</t>
  </si>
  <si>
    <t>BPNP/25-26/0061</t>
  </si>
  <si>
    <t>MIDEL/25-26/002</t>
  </si>
  <si>
    <t>DA/25-26/12</t>
  </si>
  <si>
    <t>GST/1/2025-26</t>
  </si>
  <si>
    <t>WAT/T25-26/43</t>
  </si>
  <si>
    <t>CE/L/4/25-26</t>
  </si>
  <si>
    <t>CS/00014/24-25</t>
  </si>
  <si>
    <t>GST-109/2025-26</t>
  </si>
  <si>
    <t>RI/25-26/04/007</t>
  </si>
  <si>
    <t>UINP/25-26/280</t>
  </si>
  <si>
    <t>UINP/25-26/321</t>
  </si>
  <si>
    <t>CS/00015/24-25</t>
  </si>
  <si>
    <t>CE/L/5/25-26</t>
  </si>
  <si>
    <t>WAT/T25-26/77</t>
  </si>
  <si>
    <t>BPNP/25-26/0080</t>
  </si>
  <si>
    <t>ZT/2526/0029</t>
  </si>
  <si>
    <t>WAT/T25-26/78</t>
  </si>
  <si>
    <t>SIT/25-26/004</t>
  </si>
  <si>
    <t>RI/25-26/04/011</t>
  </si>
  <si>
    <t>UINP/25-26/484</t>
  </si>
  <si>
    <t>BPNP/25-26/0129</t>
  </si>
  <si>
    <t>ZT/2526/0037</t>
  </si>
  <si>
    <t>WAT/T25-26/82</t>
  </si>
  <si>
    <t>CE/L/7/25-26</t>
  </si>
  <si>
    <t>CS/00016/24-25</t>
  </si>
  <si>
    <t>BPNP/25-26/0150</t>
  </si>
  <si>
    <t>BPNP/25-26/0139</t>
  </si>
  <si>
    <t>BPNP/25-26/0138</t>
  </si>
  <si>
    <t>WAT/T25-26/119</t>
  </si>
  <si>
    <t>LS/14/25-26</t>
  </si>
  <si>
    <t>TI-067</t>
  </si>
  <si>
    <t>WAT/T25-26/124</t>
  </si>
  <si>
    <t>SPS/0070/2025-26</t>
  </si>
  <si>
    <t>BPNP/25-26/0169</t>
  </si>
  <si>
    <t>TI-082</t>
  </si>
  <si>
    <t>WAT/T25-26/128</t>
  </si>
  <si>
    <t>RI/25-26/04/013</t>
  </si>
  <si>
    <t>BPNP/25-26/0218</t>
  </si>
  <si>
    <t>WAT/T25-26/173</t>
  </si>
  <si>
    <t>WAT/T25-26/179</t>
  </si>
  <si>
    <t>BPNP/25-26/0226</t>
  </si>
  <si>
    <t>ZT/2526/0069</t>
  </si>
  <si>
    <t>SSB/25-26/0014</t>
  </si>
  <si>
    <t>WAT/T25-26/192</t>
  </si>
  <si>
    <t>BPNP/25-26/0246</t>
  </si>
  <si>
    <t>RC/25-26/12</t>
  </si>
  <si>
    <t>UINP/25-26/868</t>
  </si>
  <si>
    <t>UINP/25-26/861</t>
  </si>
  <si>
    <t>TI-117</t>
  </si>
  <si>
    <t>TI-116</t>
  </si>
  <si>
    <t>LLEGS25-26AP348</t>
  </si>
  <si>
    <t>BPNP/25-26/0254</t>
  </si>
  <si>
    <t>DW/25-26/0404</t>
  </si>
  <si>
    <t>WAT/T25-26/224</t>
  </si>
  <si>
    <t>TI-113</t>
  </si>
  <si>
    <t>WAT/T25-26/208</t>
  </si>
  <si>
    <t>DA/25-26/50</t>
  </si>
  <si>
    <t>RI/25-26/04/018</t>
  </si>
  <si>
    <t>RC/25-26/16</t>
  </si>
  <si>
    <t>WAT/T25-26/234</t>
  </si>
  <si>
    <t>LLIGS25-26AP203</t>
  </si>
  <si>
    <t>WAT/T25-26/263</t>
  </si>
  <si>
    <t>T25-26/GST60</t>
  </si>
  <si>
    <t>BPNP/25-26/0295</t>
  </si>
  <si>
    <t>WAT/T25-26/244</t>
  </si>
  <si>
    <t>WAT/T25-26/237</t>
  </si>
  <si>
    <t>WAT/T25-26/239</t>
  </si>
  <si>
    <t>WAT/T25-26/242</t>
  </si>
  <si>
    <t>BPNP/25-26/0317</t>
  </si>
  <si>
    <t>CE/L/12/25-26</t>
  </si>
  <si>
    <t>RI/25-26/04/021</t>
  </si>
  <si>
    <t>5</t>
  </si>
  <si>
    <t>RC/25-26/19</t>
  </si>
  <si>
    <t>225</t>
  </si>
  <si>
    <t>DA/25-26/71</t>
  </si>
  <si>
    <t>UINP/25-26/1133</t>
  </si>
  <si>
    <t>UINP/25-26/1227</t>
  </si>
  <si>
    <t>DL/CNR/0115</t>
  </si>
  <si>
    <t>MT/25-26/116</t>
  </si>
  <si>
    <t>WAT/T25-26/277</t>
  </si>
  <si>
    <t>TI-138</t>
  </si>
  <si>
    <t>SPS/0146/2025-26</t>
  </si>
  <si>
    <t>SSB/25-26/0019</t>
  </si>
  <si>
    <t>RC/25-26/22</t>
  </si>
  <si>
    <t>TI-165</t>
  </si>
  <si>
    <t>WAT/T25-26/335</t>
  </si>
  <si>
    <t>WAT/T25-26/337</t>
  </si>
  <si>
    <t>BPNP/25-26/0409</t>
  </si>
  <si>
    <t>UINP/25-26/1331</t>
  </si>
  <si>
    <t>LLEGS25-26AP485</t>
  </si>
  <si>
    <t>BPNP/25-26/0413</t>
  </si>
  <si>
    <t>226</t>
  </si>
  <si>
    <t>BPNP/25-26/0450</t>
  </si>
  <si>
    <t>UINP/25-26/1422</t>
  </si>
  <si>
    <t>DA/25-26/90</t>
  </si>
  <si>
    <t>MP/25-26/00120</t>
  </si>
  <si>
    <t>LLEGS25-26AP536</t>
  </si>
  <si>
    <t>TI-175</t>
  </si>
  <si>
    <t>WAT/T25-26/350</t>
  </si>
  <si>
    <t>WAT/T25-26/403</t>
  </si>
  <si>
    <t>WAT/T25-26/402</t>
  </si>
  <si>
    <t>WAT/T25-26/395</t>
  </si>
  <si>
    <t>ZT/2526/0113</t>
  </si>
  <si>
    <t>MIDEL/25-26/019</t>
  </si>
  <si>
    <t>TI-196</t>
  </si>
  <si>
    <t>WAT/T25-26/388</t>
  </si>
  <si>
    <t>ACPL/1949/25-26</t>
  </si>
  <si>
    <t>BPNP/25-26/0461</t>
  </si>
  <si>
    <t>LS/75/25-26</t>
  </si>
  <si>
    <t>CE/L/21/25-26</t>
  </si>
  <si>
    <t>LII-000202025-26</t>
  </si>
  <si>
    <t>RI/25-26/04/037</t>
  </si>
  <si>
    <t>CS/00132/25-26</t>
  </si>
  <si>
    <t>WAT/T25-26/422</t>
  </si>
  <si>
    <t>CS/00133/25-26</t>
  </si>
  <si>
    <t>WAT/T25-26/425</t>
  </si>
  <si>
    <t>LLEGS25-26AP607</t>
  </si>
  <si>
    <t>UINP/25-26/1694</t>
  </si>
  <si>
    <t>TI-207</t>
  </si>
  <si>
    <t>13</t>
  </si>
  <si>
    <t>UINP/25-26/1810</t>
  </si>
  <si>
    <t>UINP/25-26/1841</t>
  </si>
  <si>
    <t>UINP/25-26/1781</t>
  </si>
  <si>
    <t>WAT/T25-26/445</t>
  </si>
  <si>
    <t>ACPL/2353/25-26</t>
  </si>
  <si>
    <t>CE/L/27/25-26</t>
  </si>
  <si>
    <t>CE/L/24/25-26</t>
  </si>
  <si>
    <t>BPNP/25-26/0524</t>
  </si>
  <si>
    <t>LLEGS25-26AP656</t>
  </si>
  <si>
    <t>227</t>
  </si>
  <si>
    <t>SIT/25-26/011</t>
  </si>
  <si>
    <t>INV-0203</t>
  </si>
  <si>
    <t>UINP/25-26/1951</t>
  </si>
  <si>
    <t>UINP/25-26/1911</t>
  </si>
  <si>
    <t>LS/88/25-26</t>
  </si>
  <si>
    <t>WAT/T25-26/500</t>
  </si>
  <si>
    <t>GST/25-26/009</t>
  </si>
  <si>
    <t>CS/00153/25-26</t>
  </si>
  <si>
    <t>BPNP/25-26/0559</t>
  </si>
  <si>
    <t>WAT/T25-26/492</t>
  </si>
  <si>
    <t>TI-250</t>
  </si>
  <si>
    <t>TI-256</t>
  </si>
  <si>
    <t>WAT/T25-26/465</t>
  </si>
  <si>
    <t>WAT/T25-26/475</t>
  </si>
  <si>
    <t>LLEGS25-26AP685</t>
  </si>
  <si>
    <t>CE/L/29/25-26</t>
  </si>
  <si>
    <t>UINP/25-26/2116</t>
  </si>
  <si>
    <t>UINP/25-26/2078</t>
  </si>
  <si>
    <t>CS/00162/25-26</t>
  </si>
  <si>
    <t>WAT/T25-26/511</t>
  </si>
  <si>
    <t>WAT/T25-26/521</t>
  </si>
  <si>
    <t>WAT/T25-26/529</t>
  </si>
  <si>
    <t>TI-292</t>
  </si>
  <si>
    <t>BPNP/25-26/0612</t>
  </si>
  <si>
    <t>BPNP/25-26/0616</t>
  </si>
  <si>
    <t>CE/L/30/25-26</t>
  </si>
  <si>
    <t>BPNP/25-26/0611</t>
  </si>
  <si>
    <t>WAT/T25-26/509</t>
  </si>
  <si>
    <t>CE/L/33/25-26</t>
  </si>
  <si>
    <t>RI/25-26/04/044</t>
  </si>
  <si>
    <t>RI/25-26/04/048</t>
  </si>
  <si>
    <t>228</t>
  </si>
  <si>
    <t>229</t>
  </si>
  <si>
    <t>HF2607I000301832</t>
  </si>
  <si>
    <t>CE/L/35/25-26</t>
  </si>
  <si>
    <t>CE/L/34/25-26</t>
  </si>
  <si>
    <t>8A</t>
  </si>
  <si>
    <t>MT/25-26/217</t>
  </si>
  <si>
    <t>WAT/T25-26/547</t>
  </si>
  <si>
    <t>TI-297</t>
  </si>
  <si>
    <t>WAT/T25-26/573</t>
  </si>
  <si>
    <t>WAT/T25-26/584</t>
  </si>
  <si>
    <t>TI-327</t>
  </si>
  <si>
    <t>RC/25-26/27</t>
  </si>
  <si>
    <t>UINP/25-26/2425</t>
  </si>
  <si>
    <t>WAT/T25-26/605</t>
  </si>
  <si>
    <t>CS/00194/25-26</t>
  </si>
  <si>
    <t>WAT/T25-26/614</t>
  </si>
  <si>
    <t>LII-000312025-26</t>
  </si>
  <si>
    <t>GST/25-26/016</t>
  </si>
  <si>
    <t>CS/00196/25-26</t>
  </si>
  <si>
    <t>TI-344</t>
  </si>
  <si>
    <t>11</t>
  </si>
  <si>
    <t>TI-334</t>
  </si>
  <si>
    <t>GST/28/2025-26</t>
  </si>
  <si>
    <t>WAT/T25-26/604</t>
  </si>
  <si>
    <t>RC/25-26/28</t>
  </si>
  <si>
    <t>UINP/25-26/2524</t>
  </si>
  <si>
    <t>SPS/0317/2025-26</t>
  </si>
  <si>
    <t>SPS/0319/2025-26</t>
  </si>
  <si>
    <t>WAT/T25-26/636</t>
  </si>
  <si>
    <t>LLEGS25-26AP936</t>
  </si>
  <si>
    <t>BPNP/25-26/0759</t>
  </si>
  <si>
    <t>DA/25-26/147</t>
  </si>
  <si>
    <t>BPNP/25-26/0775</t>
  </si>
  <si>
    <t>MT/25-26/268</t>
  </si>
  <si>
    <t>MP/25-26/00241</t>
  </si>
  <si>
    <t>SPS/0327/2025-26</t>
  </si>
  <si>
    <t>TI-384</t>
  </si>
  <si>
    <t>MP/25-26/00247</t>
  </si>
  <si>
    <t>BPNP/25-26/0814</t>
  </si>
  <si>
    <t>WAT/T25-26/665</t>
  </si>
  <si>
    <t>UINP/25-26/2846</t>
  </si>
  <si>
    <t>UINP/25-26/2824</t>
  </si>
  <si>
    <t>UINP/25-26/2803</t>
  </si>
  <si>
    <t>GST/35/2025-26</t>
  </si>
  <si>
    <t>MP/25-26/00263</t>
  </si>
  <si>
    <t>BPNP/25-26/0853</t>
  </si>
  <si>
    <t>ZT/2526/0177</t>
  </si>
  <si>
    <t>BPNP/25-26/0834</t>
  </si>
  <si>
    <t>SPS/0356/2025-26</t>
  </si>
  <si>
    <t>BPNP/25-26/0868</t>
  </si>
  <si>
    <t>RC/25-26/34</t>
  </si>
  <si>
    <t>RC/25-26/35</t>
  </si>
  <si>
    <t>MT/25-26/302</t>
  </si>
  <si>
    <t>UINP/25-26/2881</t>
  </si>
  <si>
    <t>CS/00233/25-26</t>
  </si>
  <si>
    <t>WAT/T25-26/737</t>
  </si>
  <si>
    <t>MT/25-26/311</t>
  </si>
  <si>
    <t>BPNP/25-26/0877</t>
  </si>
  <si>
    <t>ZT/2526/0185</t>
  </si>
  <si>
    <t>BPNP/25-26/0892</t>
  </si>
  <si>
    <t>CE/L/50/25-26</t>
  </si>
  <si>
    <t>DA/25-26/171</t>
  </si>
  <si>
    <t>ACPL/3780/25-26</t>
  </si>
  <si>
    <t>RC/25-26/37</t>
  </si>
  <si>
    <t>RC/25-26/38</t>
  </si>
  <si>
    <t>UINP/25-26/3123</t>
  </si>
  <si>
    <t>WAT/T25-26/761</t>
  </si>
  <si>
    <t>BPNP/25-26/0931</t>
  </si>
  <si>
    <t>SPS/0390/2025-26</t>
  </si>
  <si>
    <t>CE/L/55/25-26</t>
  </si>
  <si>
    <t>BPNP/25-26/0925</t>
  </si>
  <si>
    <t>BPNP/25-26/0921</t>
  </si>
  <si>
    <t>CS/00244/25-26</t>
  </si>
  <si>
    <t>GST/40/2025-26</t>
  </si>
  <si>
    <t>BPNP/25-26/0938</t>
  </si>
  <si>
    <t>RC/25-26/39</t>
  </si>
  <si>
    <t>RC/25-26/43</t>
  </si>
  <si>
    <t>TC/L/1826/25-26</t>
  </si>
  <si>
    <t>LLEGS25-26AP1173</t>
  </si>
  <si>
    <t>WAT/T25-26/809</t>
  </si>
  <si>
    <t>TC/L/1792/25-26</t>
  </si>
  <si>
    <t>ZT/2526/0202</t>
  </si>
  <si>
    <t>BPNP/25-26/0956</t>
  </si>
  <si>
    <t>BPNP/25-26/0957</t>
  </si>
  <si>
    <t>BPNP/25-26/0973</t>
  </si>
  <si>
    <t>CE/L/60/25-26</t>
  </si>
  <si>
    <t>CE/L/61/25-26</t>
  </si>
  <si>
    <t>RC/25-26/46</t>
  </si>
  <si>
    <t>2025407R00001533</t>
  </si>
  <si>
    <t>2025407R00001534</t>
  </si>
  <si>
    <t>2025407R00001212</t>
  </si>
  <si>
    <t>2025407R00001213</t>
  </si>
  <si>
    <t>2025407R00001214</t>
  </si>
  <si>
    <t>UINP/25-26/3332</t>
  </si>
  <si>
    <t>UINP/25-26/3296</t>
  </si>
  <si>
    <t>TI-474</t>
  </si>
  <si>
    <t>LLEGS25-26AP1195</t>
  </si>
  <si>
    <t>ACPL/4243/25-26</t>
  </si>
  <si>
    <t>ACPL/4184/25-26</t>
  </si>
  <si>
    <t>RC/25-26/47</t>
  </si>
  <si>
    <t>RC/25-26/48</t>
  </si>
  <si>
    <t>BPNP/25-26/1011</t>
  </si>
  <si>
    <t>WAT/T25-26/850</t>
  </si>
  <si>
    <t>SIT/25-26/017</t>
  </si>
  <si>
    <t>SUPER LINK</t>
  </si>
  <si>
    <t>BLUE DART EXPRESS LIMITED</t>
  </si>
  <si>
    <t>09BSHPJ1287Q1ZZ</t>
  </si>
  <si>
    <t>DURGA AIR CONDITIONING</t>
  </si>
  <si>
    <t>ZEE TECHNOLOGIES</t>
  </si>
  <si>
    <t>Data linkers</t>
  </si>
  <si>
    <t>07AABCT3518Q1ZY</t>
  </si>
  <si>
    <t>TATA AIG GENERAL INSURANCE CO LTD</t>
  </si>
  <si>
    <t>Mahaveer Technology</t>
  </si>
  <si>
    <t>SPS LAPTOP PARTS INDIA PRIVATE LIMITED</t>
  </si>
  <si>
    <t>MAX POWER</t>
  </si>
  <si>
    <t>29AAICA3918J1ZE</t>
  </si>
  <si>
    <t>AMAZON SELLER SERVICES PVT LTD</t>
  </si>
  <si>
    <t>SBS SYSTEMS &amp; SOLUTIONS</t>
  </si>
  <si>
    <t>REGENT PACKAGING</t>
  </si>
  <si>
    <t>27AIIPJ9136G1Z2</t>
  </si>
  <si>
    <t>M R INFOTECH</t>
  </si>
  <si>
    <t>SPAREHUB SULUTIONS PVT.LTD.</t>
  </si>
  <si>
    <t>07AAACI1195H1ZO</t>
  </si>
  <si>
    <t>ICICI BANK LTD.</t>
  </si>
  <si>
    <t>24ACCFS4479D1Z5</t>
  </si>
  <si>
    <t>SHUBHAM COMPUTER SERVICES</t>
  </si>
  <si>
    <t>BHATIA PHOTO INDUSTRIES (P) LTD.</t>
  </si>
  <si>
    <t>R B M EN</t>
  </si>
  <si>
    <t>07AAPPY1145D1ZK</t>
  </si>
  <si>
    <t>YADAV PACKAGING</t>
  </si>
  <si>
    <t>07AAFFC6028H1ZL</t>
  </si>
  <si>
    <t>CHANNEL INFOSOFT SOLUTIONS</t>
  </si>
  <si>
    <t>SRV GLOBAL</t>
  </si>
  <si>
    <t>Bharti Airtel Limited</t>
  </si>
  <si>
    <t>AGGARWAL COMPUTRONIX PVT LTD</t>
  </si>
  <si>
    <t>07AHGPG2653N1Z5</t>
  </si>
  <si>
    <t>KALKA &amp; CO</t>
  </si>
  <si>
    <t>07AAACU5552C1ZL</t>
  </si>
  <si>
    <t>UNITED INDIA INSURANCE COMPANY LIMITED</t>
  </si>
  <si>
    <t>07KUMPK1434E1ZK</t>
  </si>
  <si>
    <t>MANISHA INFOTECH (INDIA)</t>
  </si>
  <si>
    <t>WIDE ANGLE TECHNOLOGIES</t>
  </si>
  <si>
    <t>07AAYFP2647N1ZB</t>
  </si>
  <si>
    <t>P D Gupta &amp; Co</t>
  </si>
  <si>
    <t>07AAUFC5457B1ZB</t>
  </si>
  <si>
    <t>CAVIAR ENTERPRISES LLP</t>
  </si>
  <si>
    <t>27AAACI1195H5ZI</t>
  </si>
  <si>
    <t>ICICI Bank Limited</t>
  </si>
  <si>
    <t>DA202500057</t>
  </si>
  <si>
    <t>RSi/25-26/48</t>
  </si>
  <si>
    <t>DE25I00000056221</t>
  </si>
  <si>
    <t>SPS/0373/2025-26</t>
  </si>
  <si>
    <t>MP/25-26/00002</t>
  </si>
  <si>
    <t>KA-2526-193382</t>
  </si>
  <si>
    <t>KA-2526-222515</t>
  </si>
  <si>
    <t>14</t>
  </si>
  <si>
    <t>8</t>
  </si>
  <si>
    <t>MR/057/25-26</t>
  </si>
  <si>
    <t>LII-0001092024-2</t>
  </si>
  <si>
    <t>0138251267530315</t>
  </si>
  <si>
    <t>SSB/25-26/0035</t>
  </si>
  <si>
    <t>SSB/25-26/0051</t>
  </si>
  <si>
    <t>SCS/T/018/25-26</t>
  </si>
  <si>
    <t>CS/00014/25-26</t>
  </si>
  <si>
    <t>CS/00023/25-26</t>
  </si>
  <si>
    <t>CS/00032/25-26</t>
  </si>
  <si>
    <t>YP/25-26/026</t>
  </si>
  <si>
    <t>CIS-25-26/13</t>
  </si>
  <si>
    <t>TI-006</t>
  </si>
  <si>
    <t>TI-086</t>
  </si>
  <si>
    <t>3125I101434819</t>
  </si>
  <si>
    <t>MII/25-26/0011</t>
  </si>
  <si>
    <t>2025-26/011</t>
  </si>
  <si>
    <t>CE/L/45/25-26</t>
  </si>
  <si>
    <t>CE/L/65/25-26</t>
  </si>
  <si>
    <t>EZYCC25040045903</t>
  </si>
  <si>
    <t>09/04/2025</t>
  </si>
  <si>
    <t>30/04/2025</t>
  </si>
  <si>
    <t>19/04/2025</t>
  </si>
  <si>
    <t>01/04/2025</t>
  </si>
  <si>
    <t>03/04/2025</t>
  </si>
  <si>
    <t>04/04/2025</t>
  </si>
  <si>
    <t>07/04/2025</t>
  </si>
  <si>
    <t>14/04/2025</t>
  </si>
  <si>
    <t>25/04/2025</t>
  </si>
  <si>
    <t>26/04/2025</t>
  </si>
  <si>
    <t>29/04/2025</t>
  </si>
  <si>
    <t>02/04/2025</t>
  </si>
  <si>
    <t>23/04/2025</t>
  </si>
  <si>
    <t>08/04/2025</t>
  </si>
  <si>
    <t>10/04/2025</t>
  </si>
  <si>
    <t>12/04/2025</t>
  </si>
  <si>
    <t>15/04/2025</t>
  </si>
  <si>
    <t>05/04/2025</t>
  </si>
  <si>
    <t>28/04/2025</t>
  </si>
  <si>
    <t>24/04/2025</t>
  </si>
  <si>
    <t>17/04/2025</t>
  </si>
  <si>
    <t>22/04/2025</t>
  </si>
  <si>
    <t>16/04/2025</t>
  </si>
  <si>
    <t>12/03/2025</t>
  </si>
  <si>
    <t>11/04/2025</t>
  </si>
  <si>
    <t>18/04/2025</t>
  </si>
  <si>
    <t>21/04/2025</t>
  </si>
  <si>
    <t>gupta.k.deepak@gmail.com</t>
  </si>
  <si>
    <t>/0016</t>
  </si>
  <si>
    <t>/0017</t>
  </si>
  <si>
    <t>AP35</t>
  </si>
  <si>
    <t>MATCHED</t>
  </si>
  <si>
    <t>DIFFERENCE</t>
  </si>
  <si>
    <t>NOMINCAL DIFF</t>
  </si>
  <si>
    <t>NOT IN OUR DATA</t>
  </si>
  <si>
    <t>NOT IN 2B</t>
  </si>
  <si>
    <t>07AAACB6600L1ZU17</t>
  </si>
  <si>
    <t>07AAACB6600L1ZU16</t>
  </si>
  <si>
    <t>07AAECL1015B1ZA35</t>
  </si>
  <si>
    <t>07GQPPP9852L1ZN30</t>
  </si>
  <si>
    <t>07AECPC7173C1ZX18</t>
  </si>
  <si>
    <t>07APOPP3996D1ZC4</t>
  </si>
  <si>
    <t>07AFFPT6090P1ZM3</t>
  </si>
  <si>
    <t>07ASYPP2979H1ZR120</t>
  </si>
  <si>
    <t>07CJEPS1087G1Z11</t>
  </si>
  <si>
    <t>27ALYPR8485R1ZB48</t>
  </si>
  <si>
    <t>07ADYPR7454A1Z215</t>
  </si>
  <si>
    <t>07AAICA3177F1ZQ268</t>
  </si>
  <si>
    <t>07AAACB6600L1ZU41</t>
  </si>
  <si>
    <t>07AAACB6600L1ZU61</t>
  </si>
  <si>
    <t>07HPOPK4469D1ZG2</t>
  </si>
  <si>
    <t>07ADRPA1066G1ZQ12</t>
  </si>
  <si>
    <t>07AAWFR4627E1ZU1</t>
  </si>
  <si>
    <t>07AIAPM0190K1ZC43</t>
  </si>
  <si>
    <t>07AAJCC2112P1ZL4</t>
  </si>
  <si>
    <t>07AOXPM4347P2ZV14</t>
  </si>
  <si>
    <t>07AKZPA1919R1ZE109</t>
  </si>
  <si>
    <t>27AKKPS0664A2Z74007</t>
  </si>
  <si>
    <t>07ASYPP2979H1ZR280</t>
  </si>
  <si>
    <t>07ASYPP2979H1ZR321</t>
  </si>
  <si>
    <t>07AOXPM4347P2ZV15</t>
  </si>
  <si>
    <t>07AAJCC2112P1ZL5</t>
  </si>
  <si>
    <t>07AIAPM0190K1ZC77</t>
  </si>
  <si>
    <t>07AAACB6600L1ZU80</t>
  </si>
  <si>
    <t>07AECPC7173C1ZX29</t>
  </si>
  <si>
    <t>07AIAPM0190K1ZC78</t>
  </si>
  <si>
    <t>07AUHPK5010H1ZX4</t>
  </si>
  <si>
    <t>27AKKPS0664A2Z74011</t>
  </si>
  <si>
    <t>07ASYPP2979H1ZR484</t>
  </si>
  <si>
    <t>07AAACB6600L1ZU129</t>
  </si>
  <si>
    <t>07AECPC7173C1ZX37</t>
  </si>
  <si>
    <t>07AIAPM0190K1ZC82</t>
  </si>
  <si>
    <t>07AAJCC2112P1ZL7</t>
  </si>
  <si>
    <t>07AOXPM4347P2ZV16</t>
  </si>
  <si>
    <t>07AAACB6600L1ZU150</t>
  </si>
  <si>
    <t>07AAACB6600L1ZU139</t>
  </si>
  <si>
    <t>07AAACB6600L1ZU138</t>
  </si>
  <si>
    <t>07AIAPM0190K1ZC119</t>
  </si>
  <si>
    <t>07AAFCL8789B1Z614</t>
  </si>
  <si>
    <t>07AFFPT6090P1ZM67</t>
  </si>
  <si>
    <t>07AIAPM0190K1ZC124</t>
  </si>
  <si>
    <t>07ABBCS5539B1ZJ70</t>
  </si>
  <si>
    <t>07AAACB6600L1ZU169</t>
  </si>
  <si>
    <t>07AFFPT6090P1ZM82</t>
  </si>
  <si>
    <t>07AIAPM0190K1ZC128</t>
  </si>
  <si>
    <t>27AKKPS0664A2Z74013</t>
  </si>
  <si>
    <t>07AAACB6600L1ZU218</t>
  </si>
  <si>
    <t>07AIAPM0190K1ZC173</t>
  </si>
  <si>
    <t>07AIAPM0190K1ZC179</t>
  </si>
  <si>
    <t>07AAACB6600L1ZU226</t>
  </si>
  <si>
    <t>07AECPC7173C1ZX69</t>
  </si>
  <si>
    <t>07APOPP3996D1ZC14</t>
  </si>
  <si>
    <t>07AIAPM0190K1ZC192</t>
  </si>
  <si>
    <t>07AAACB6600L1ZU246</t>
  </si>
  <si>
    <t>27JJPPS9147K1ZZ12</t>
  </si>
  <si>
    <t>07ASYPP2979H1ZR868</t>
  </si>
  <si>
    <t>07ASYPP2979H1ZR861</t>
  </si>
  <si>
    <t>07AFFPT6090P1ZM117</t>
  </si>
  <si>
    <t>07AFFPT6090P1ZM116</t>
  </si>
  <si>
    <t>07AAECL1015B1ZA348</t>
  </si>
  <si>
    <t>07AAACB6600L1ZU254</t>
  </si>
  <si>
    <t>07GQPPP9852L1ZN404</t>
  </si>
  <si>
    <t>07AIAPM0190K1ZC224</t>
  </si>
  <si>
    <t>07AFFPT6090P1ZM113</t>
  </si>
  <si>
    <t>07AIAPM0190K1ZC208</t>
  </si>
  <si>
    <t>07ADRPA1066G1ZQ50</t>
  </si>
  <si>
    <t>27AKKPS0664A2Z74018</t>
  </si>
  <si>
    <t>27JJPPS9147K1ZZ16</t>
  </si>
  <si>
    <t>07AIAPM0190K1ZC234</t>
  </si>
  <si>
    <t>07AAECL6017D1ZU203</t>
  </si>
  <si>
    <t>07AIAPM0190K1ZC263</t>
  </si>
  <si>
    <t>07AAKPG2765Q1Z460</t>
  </si>
  <si>
    <t>07AAACB6600L1ZU295</t>
  </si>
  <si>
    <t>07AIAPM0190K1ZC244</t>
  </si>
  <si>
    <t>07AIAPM0190K1ZC237</t>
  </si>
  <si>
    <t>07AIAPM0190K1ZC239</t>
  </si>
  <si>
    <t>07AIAPM0190K1ZC242</t>
  </si>
  <si>
    <t>07AAACB6600L1ZU317</t>
  </si>
  <si>
    <t>07AAJCC2112P1ZL12</t>
  </si>
  <si>
    <t>27AKKPS0664A2Z74021</t>
  </si>
  <si>
    <t>27AEPPB9602Q1ZW5</t>
  </si>
  <si>
    <t>27JJPPS9147K1ZZ19</t>
  </si>
  <si>
    <t>19ACVPI1276M1ZU225</t>
  </si>
  <si>
    <t>07ADRPA1066G1ZQ71</t>
  </si>
  <si>
    <t>07ASYPP2979H1ZR1133</t>
  </si>
  <si>
    <t>07ASYPP2979H1ZR1227</t>
  </si>
  <si>
    <t>07ADYPR7454A1Z2115</t>
  </si>
  <si>
    <t>07BZAPR3988N1ZI116</t>
  </si>
  <si>
    <t>07AIAPM0190K1ZC277</t>
  </si>
  <si>
    <t>07AFFPT6090P1ZM138</t>
  </si>
  <si>
    <t>07ABBCS5539B1ZJ146</t>
  </si>
  <si>
    <t>07APOPP3996D1ZC19</t>
  </si>
  <si>
    <t>27JJPPS9147K1ZZ22</t>
  </si>
  <si>
    <t>07AFFPT6090P1ZM165</t>
  </si>
  <si>
    <t>07AIAPM0190K1ZC335</t>
  </si>
  <si>
    <t>07AIAPM0190K1ZC337</t>
  </si>
  <si>
    <t>07AAACB6600L1ZU409</t>
  </si>
  <si>
    <t>07ASYPP2979H1ZR1331</t>
  </si>
  <si>
    <t>07AAECL1015B1ZA485</t>
  </si>
  <si>
    <t>07AAACB6600L1ZU413</t>
  </si>
  <si>
    <t>19ACVPI1276M1ZU226</t>
  </si>
  <si>
    <t>07AAACB6600L1ZU450</t>
  </si>
  <si>
    <t>07ASYPP2979H1ZR1422</t>
  </si>
  <si>
    <t>07ADRPA1066G1ZQ90</t>
  </si>
  <si>
    <t>07AAJPJ6458J1ZA120</t>
  </si>
  <si>
    <t>07AAECL1015B1ZA536</t>
  </si>
  <si>
    <t>07AFFPT6090P1ZM175</t>
  </si>
  <si>
    <t>07AIAPM0190K1ZC350</t>
  </si>
  <si>
    <t>07AIAPM0190K1ZC403</t>
  </si>
  <si>
    <t>07AIAPM0190K1ZC402</t>
  </si>
  <si>
    <t>07AIAPM0190K1ZC395</t>
  </si>
  <si>
    <t>07AECPC7173C1ZX113</t>
  </si>
  <si>
    <t>07HPOPK4469D1ZG19</t>
  </si>
  <si>
    <t>07AFFPT6090P1ZM196</t>
  </si>
  <si>
    <t>07AIAPM0190K1ZC388</t>
  </si>
  <si>
    <t>07AAICA3177F1ZQ1949</t>
  </si>
  <si>
    <t>07AAACB6600L1ZU461</t>
  </si>
  <si>
    <t>07AAFCL8789B1Z675</t>
  </si>
  <si>
    <t>07AAJCC2112P1ZL21</t>
  </si>
  <si>
    <t>07FHOPS5190B1ZZ20</t>
  </si>
  <si>
    <t>27AKKPS0664A2Z74037</t>
  </si>
  <si>
    <t>07AOXPM4347P2ZV132</t>
  </si>
  <si>
    <t>07AIAPM0190K1ZC422</t>
  </si>
  <si>
    <t>07AOXPM4347P2ZV133</t>
  </si>
  <si>
    <t>07AIAPM0190K1ZC425</t>
  </si>
  <si>
    <t>07AAECL1015B1ZA607</t>
  </si>
  <si>
    <t>07ASYPP2979H1ZR1694</t>
  </si>
  <si>
    <t>07AFFPT6090P1ZM207</t>
  </si>
  <si>
    <t>27AEPPB9602Q1ZW13</t>
  </si>
  <si>
    <t>07ASYPP2979H1ZR1810</t>
  </si>
  <si>
    <t>07ASYPP2979H1ZR1841</t>
  </si>
  <si>
    <t>07ASYPP2979H1ZR1781</t>
  </si>
  <si>
    <t>07AIAPM0190K1ZC445</t>
  </si>
  <si>
    <t>07AAICA3177F1ZQ2353</t>
  </si>
  <si>
    <t>07AAJCC2112P1ZL27</t>
  </si>
  <si>
    <t>07AAJCC2112P1ZL26</t>
  </si>
  <si>
    <t>07AAACB6600L1ZU524</t>
  </si>
  <si>
    <t>07AAECL1015B1ZA656</t>
  </si>
  <si>
    <t>19ACVPI1276M1ZU227</t>
  </si>
  <si>
    <t>07AUHPK5010H1ZX11</t>
  </si>
  <si>
    <t>07EKDPS0922N2ZS203</t>
  </si>
  <si>
    <t>07ASYPP2979H1ZR1951</t>
  </si>
  <si>
    <t>07ASYPP2979H1ZR1911</t>
  </si>
  <si>
    <t>07AAFCL8789B1Z688</t>
  </si>
  <si>
    <t>07AIAPM0190K1ZC500</t>
  </si>
  <si>
    <t>07AASCS8576L1Z89</t>
  </si>
  <si>
    <t>07AOXPM4347P2ZV153</t>
  </si>
  <si>
    <t>07AAACB6600L1ZU559</t>
  </si>
  <si>
    <t>07AIAPM0190K1ZC492</t>
  </si>
  <si>
    <t>07AFFPT6090P1ZM250</t>
  </si>
  <si>
    <t>07AFFPT6090P1ZM256</t>
  </si>
  <si>
    <t>07AIAPM0190K1ZC465</t>
  </si>
  <si>
    <t>07AIAPM0190K1ZC475</t>
  </si>
  <si>
    <t>07AAECL1015B1ZA685</t>
  </si>
  <si>
    <t>07AAJCC2112P1ZL29</t>
  </si>
  <si>
    <t>07ASYPP2979H1ZR2116</t>
  </si>
  <si>
    <t>07ASYPP2979H1ZR2078</t>
  </si>
  <si>
    <t>07AOXPM4347P2ZV162</t>
  </si>
  <si>
    <t>07AIAPM0190K1ZC511</t>
  </si>
  <si>
    <t>07AIAPM0190K1ZC521</t>
  </si>
  <si>
    <t>07AIAPM0190K1ZC529</t>
  </si>
  <si>
    <t>07AFFPT6090P1ZM292</t>
  </si>
  <si>
    <t>07AAACB6600L1ZU612</t>
  </si>
  <si>
    <t>07AAACB6600L1ZU616</t>
  </si>
  <si>
    <t>07AAJCC2112P1ZL30</t>
  </si>
  <si>
    <t>07AAACB6600L1ZU611</t>
  </si>
  <si>
    <t>07AIAPM0190K1ZC509</t>
  </si>
  <si>
    <t>07AAJCC2112P1ZL33</t>
  </si>
  <si>
    <t>27AKKPS0664A2Z74044</t>
  </si>
  <si>
    <t>27AKKPS0664A2Z74048</t>
  </si>
  <si>
    <t>19ACVPI1276M1ZU228</t>
  </si>
  <si>
    <t>19ACVPI1276M1ZU229</t>
  </si>
  <si>
    <t>07AAACB2894G1ZP2607000301832</t>
  </si>
  <si>
    <t>07AAJCC2112P1ZL35</t>
  </si>
  <si>
    <t>07AAJCC2112P1ZL34</t>
  </si>
  <si>
    <t>07AQEPB8214H1Z58</t>
  </si>
  <si>
    <t>07BZAPR3988N1ZI217</t>
  </si>
  <si>
    <t>07AIAPM0190K1ZC547</t>
  </si>
  <si>
    <t>07AFFPT6090P1ZM297</t>
  </si>
  <si>
    <t>07AIAPM0190K1ZC573</t>
  </si>
  <si>
    <t>07AIAPM0190K1ZC584</t>
  </si>
  <si>
    <t>07AFFPT6090P1ZM327</t>
  </si>
  <si>
    <t>27JJPPS9147K1ZZ27</t>
  </si>
  <si>
    <t>07ASYPP2979H1ZR2425</t>
  </si>
  <si>
    <t>07AIAPM0190K1ZC605</t>
  </si>
  <si>
    <t>07AOXPM4347P2ZV194</t>
  </si>
  <si>
    <t>07AIAPM0190K1ZC614</t>
  </si>
  <si>
    <t>07FHOPS5190B1ZZ31</t>
  </si>
  <si>
    <t>07AASCS8576L1Z816</t>
  </si>
  <si>
    <t>07AOXPM4347P2ZV196</t>
  </si>
  <si>
    <t>07AFFPT6090P1ZM344</t>
  </si>
  <si>
    <t>07AQEPB8214H1Z511</t>
  </si>
  <si>
    <t>07AFFPT6090P1ZM334</t>
  </si>
  <si>
    <t>07AAWFR4627E1ZU28</t>
  </si>
  <si>
    <t>07AIAPM0190K1ZC604</t>
  </si>
  <si>
    <t>27JJPPS9147K1ZZ28</t>
  </si>
  <si>
    <t>07ASYPP2979H1ZR2524</t>
  </si>
  <si>
    <t>07ABBCS5539B1ZJ317</t>
  </si>
  <si>
    <t>07ABBCS5539B1ZJ319</t>
  </si>
  <si>
    <t>07AIAPM0190K1ZC636</t>
  </si>
  <si>
    <t>07AAECL1015B1ZA936</t>
  </si>
  <si>
    <t>07AAACB6600L1ZU759</t>
  </si>
  <si>
    <t>07ADRPA1066G1ZQ147</t>
  </si>
  <si>
    <t>07AAACB6600L1ZU775</t>
  </si>
  <si>
    <t>07BZAPR3988N1ZI268</t>
  </si>
  <si>
    <t>07AAJPJ6458J1ZA241</t>
  </si>
  <si>
    <t>07ABBCS5539B1ZJ327</t>
  </si>
  <si>
    <t>07AFFPT6090P1ZM384</t>
  </si>
  <si>
    <t>07AAJPJ6458J1ZA247</t>
  </si>
  <si>
    <t>07AAACB6600L1ZU814</t>
  </si>
  <si>
    <t>07AIAPM0190K1ZC665</t>
  </si>
  <si>
    <t>07ASYPP2979H1ZR2846</t>
  </si>
  <si>
    <t>07ASYPP2979H1ZR2824</t>
  </si>
  <si>
    <t>07ASYPP2979H1ZR2803</t>
  </si>
  <si>
    <t>07AAWFR4627E1ZU35</t>
  </si>
  <si>
    <t>07AAJPJ6458J1ZA263</t>
  </si>
  <si>
    <t>07AAACB6600L1ZU853</t>
  </si>
  <si>
    <t>07AECPC7173C1ZX177</t>
  </si>
  <si>
    <t>07AAACB6600L1ZU834</t>
  </si>
  <si>
    <t>07ABBCS5539B1ZJ356</t>
  </si>
  <si>
    <t>07AAACB6600L1ZU868</t>
  </si>
  <si>
    <t>27JJPPS9147K1ZZ34</t>
  </si>
  <si>
    <t>27JJPPS9147K1ZZ35</t>
  </si>
  <si>
    <t>07BZAPR3988N1ZI302</t>
  </si>
  <si>
    <t>07ASYPP2979H1ZR2881</t>
  </si>
  <si>
    <t>07AOXPM4347P2ZV233</t>
  </si>
  <si>
    <t>07AIAPM0190K1ZC737</t>
  </si>
  <si>
    <t>07BZAPR3988N1ZI311</t>
  </si>
  <si>
    <t>07AAACB6600L1ZU877</t>
  </si>
  <si>
    <t>07AECPC7173C1ZX185</t>
  </si>
  <si>
    <t>07AAACB6600L1ZU892</t>
  </si>
  <si>
    <t>07AAJCC2112P1ZL50</t>
  </si>
  <si>
    <t>07ADRPA1066G1ZQ171</t>
  </si>
  <si>
    <t>07AAICA3177F1ZQ3780</t>
  </si>
  <si>
    <t>27JJPPS9147K1ZZ37</t>
  </si>
  <si>
    <t>27JJPPS9147K1ZZ38</t>
  </si>
  <si>
    <t>07ASYPP2979H1ZR3123</t>
  </si>
  <si>
    <t>07AIAPM0190K1ZC761</t>
  </si>
  <si>
    <t>07AAACB6600L1ZU931</t>
  </si>
  <si>
    <t>07ABBCS5539B1ZJ390</t>
  </si>
  <si>
    <t>07AAJCC2112P1ZL55</t>
  </si>
  <si>
    <t>07AAACB6600L1ZU925</t>
  </si>
  <si>
    <t>07AAACB6600L1ZU921</t>
  </si>
  <si>
    <t>07AOXPM4347P2ZV244</t>
  </si>
  <si>
    <t>07AAWFR4627E1ZU40</t>
  </si>
  <si>
    <t>07AAACB6600L1ZU938</t>
  </si>
  <si>
    <t>27JJPPS9147K1ZZ39</t>
  </si>
  <si>
    <t>27JJPPS9147K1ZZ43</t>
  </si>
  <si>
    <t>07AMPPK9290H1ZF1826</t>
  </si>
  <si>
    <t>07AAECL1015B1ZA1173</t>
  </si>
  <si>
    <t>07AIAPM0190K1ZC809</t>
  </si>
  <si>
    <t>07AMPPK9290H1ZF1792</t>
  </si>
  <si>
    <t>07AECPC7173C1ZX202</t>
  </si>
  <si>
    <t>07AAACB6600L1ZU956</t>
  </si>
  <si>
    <t>07AAACB6600L1ZU957</t>
  </si>
  <si>
    <t>07AAACB6600L1ZU973</t>
  </si>
  <si>
    <t>07AAJCC2112P1ZL60</t>
  </si>
  <si>
    <t>07AAJCC2112P1ZL61</t>
  </si>
  <si>
    <t>27JJPPS9147K1ZZ46</t>
  </si>
  <si>
    <t>07AAACB0446L1ZU202540700001533</t>
  </si>
  <si>
    <t>07AAACB0446L1ZU202540700001534</t>
  </si>
  <si>
    <t>07AAACB0446L1ZU202540700001212</t>
  </si>
  <si>
    <t>07AAACB0446L1ZU202540700001213</t>
  </si>
  <si>
    <t>07AAACB0446L1ZU202540700001214</t>
  </si>
  <si>
    <t>07ASYPP2979H1ZR3332</t>
  </si>
  <si>
    <t>07ASYPP2979H1ZR3296</t>
  </si>
  <si>
    <t>07AFFPT6090P1ZM474</t>
  </si>
  <si>
    <t>07AAECL1015B1ZA1195</t>
  </si>
  <si>
    <t>07AAICA3177F1ZQ4243</t>
  </si>
  <si>
    <t>07AAICA3177F1ZQ4184</t>
  </si>
  <si>
    <t>27JJPPS9147K1ZZ47</t>
  </si>
  <si>
    <t>27JJPPS9147K1ZZ48</t>
  </si>
  <si>
    <t>07AAACB6600L1ZU1011</t>
  </si>
  <si>
    <t>07AIAPM0190K1ZC850</t>
  </si>
  <si>
    <t>07AUHPK5010H1ZX17</t>
  </si>
  <si>
    <t>09BSHPJ1287Q1ZZ202500057</t>
  </si>
  <si>
    <t>07AABCT3518Q1ZY2500000056221</t>
  </si>
  <si>
    <t>07ABBCS5539B1ZJ373</t>
  </si>
  <si>
    <t>07AAJPJ6458J1ZA2</t>
  </si>
  <si>
    <t>29AAICA3918J1ZE193382</t>
  </si>
  <si>
    <t>29AAICA3918J1ZE222515</t>
  </si>
  <si>
    <t>27AEPPB9602Q1ZW14</t>
  </si>
  <si>
    <t>27AIIPJ9136G1Z257</t>
  </si>
  <si>
    <t>07FHOPS5190B1ZZ10920242</t>
  </si>
  <si>
    <t>07AAACI1195H1ZO138251267530315</t>
  </si>
  <si>
    <t>07APOPP3996D1ZC35</t>
  </si>
  <si>
    <t>07APOPP3996D1ZC51</t>
  </si>
  <si>
    <t>24ACCFS4479D1Z518</t>
  </si>
  <si>
    <t>07AOXPM4347P2ZV23</t>
  </si>
  <si>
    <t>07AOXPM4347P2ZV32</t>
  </si>
  <si>
    <t>07AAPPY1145D1ZK26</t>
  </si>
  <si>
    <t>07AAFFC6028H1ZL13</t>
  </si>
  <si>
    <t>07AFFPT6090P1ZM6</t>
  </si>
  <si>
    <t>07AFFPT6090P1ZM86</t>
  </si>
  <si>
    <t>07AHGPG2653N1Z5109</t>
  </si>
  <si>
    <t>07AAACU5552C1ZL3125101434819</t>
  </si>
  <si>
    <t>07KUMPK1434E1ZK11</t>
  </si>
  <si>
    <t>07AAYFP2647N1ZB11</t>
  </si>
  <si>
    <t>07AAUFC5457B1ZB12</t>
  </si>
  <si>
    <t>07AAUFC5457B1ZB21</t>
  </si>
  <si>
    <t>07AAUFC5457B1ZB26</t>
  </si>
  <si>
    <t>07AAUFC5457B1ZB27</t>
  </si>
  <si>
    <t>07AAUFC5457B1ZB29</t>
  </si>
  <si>
    <t>07AAUFC5457B1ZB30</t>
  </si>
  <si>
    <t>07AAUFC5457B1ZB33</t>
  </si>
  <si>
    <t>07AAUFC5457B1ZB34</t>
  </si>
  <si>
    <t>07AAUFC5457B1ZB35</t>
  </si>
  <si>
    <t>07AAUFC5457B1ZB4</t>
  </si>
  <si>
    <t>07AAUFC5457B1ZB45</t>
  </si>
  <si>
    <t>07AAUFC5457B1ZB5</t>
  </si>
  <si>
    <t>07AAUFC5457B1ZB50</t>
  </si>
  <si>
    <t>07AAUFC5457B1ZB55</t>
  </si>
  <si>
    <t>07AAUFC5457B1ZB60</t>
  </si>
  <si>
    <t>07AAUFC5457B1ZB61</t>
  </si>
  <si>
    <t>07AAUFC5457B1ZB65</t>
  </si>
  <si>
    <t>07AAUFC5457B1ZB7</t>
  </si>
  <si>
    <t>27AAACI1195H5ZI25040045903</t>
  </si>
  <si>
    <t>Difference</t>
  </si>
  <si>
    <t>Matched</t>
  </si>
  <si>
    <t>Not in GSTR2B</t>
  </si>
  <si>
    <t>Nominal Difference</t>
  </si>
  <si>
    <t>Not in Our Data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</si>
</sst>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&quot;&quot;0.00"/>
  </numFmts>
  <fonts count="13" x14ac:knownFonts="1">
    <font>
      <sz val="11"/>
      <color theme="1"/>
      <name val="Aptos Narrow"/>
      <family val="2"/>
      <scheme val="minor"/>
    </font>
    <font>
      <b/>
      <sz val="9"/>
      <color theme="0"/>
      <name val="Arial"/>
      <family val="2"/>
    </font>
    <font>
      <sz val="11"/>
      <name val="Calibri"/>
      <family val="2"/>
    </font>
    <font>
      <sz val="9"/>
      <color theme="1"/>
      <name val="Arial"/>
      <family val="2"/>
    </font>
    <font>
      <b/>
      <sz val="11"/>
      <color theme="1"/>
      <name val="Aptos Narrow"/>
      <family val="2"/>
      <scheme val="minor"/>
    </font>
    <font>
      <b/>
      <sz val="9"/>
      <color theme="1"/>
      <name val="Arial"/>
      <family val="2"/>
    </font>
    <font>
      <b/>
      <sz val="11"/>
      <name val="Calibri"/>
      <family val="2"/>
    </font>
    <font>
      <sz val="9"/>
      <color theme="0"/>
      <name val="Arial"/>
      <family val="2"/>
    </font>
    <font>
      <u/>
      <sz val="11"/>
      <color theme="10"/>
      <name val="Aptos Narrow"/>
      <family val="2"/>
      <scheme val="minor"/>
    </font>
    <font>
      <sz val="11"/>
      <color rgb="FF000000"/>
      <name val="Aptos Narrow"/>
      <family val="2"/>
    </font>
    <font>
      <b/>
      <sz val="11"/>
      <color rgb="FFFF0000"/>
      <name val="Calibri"/>
      <family val="2"/>
    </font>
    <font>
      <sz val="9"/>
      <color rgb="FFFF0000"/>
      <name val="Arial"/>
      <family val="2"/>
    </font>
    <font>
      <b/>
      <sz val="11"/>
      <color rgb="FFFF0000"/>
      <name val="Aptos Narrow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002060"/>
        <bgColor indexed="34"/>
      </patternFill>
    </fill>
    <fill>
      <patternFill patternType="solid">
        <fgColor rgb="FFFFC0CB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ADD8E6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8" fillId="0" borderId="0" applyNumberFormat="0" applyFill="0" applyBorder="0" applyAlignment="0" applyProtection="0"/>
  </cellStyleXfs>
  <cellXfs count="52">
    <xf numFmtId="0" fontId="0" fillId="0" borderId="0" xfId="0"/>
    <xf numFmtId="0" fontId="1" fillId="2" borderId="1" xfId="0" applyFont="1" applyFill="1" applyBorder="1" applyAlignment="1">
      <alignment vertical="center" wrapText="1"/>
    </xf>
    <xf numFmtId="0" fontId="1" fillId="2" borderId="2" xfId="0" applyFont="1" applyFill="1" applyBorder="1" applyAlignment="1">
      <alignment vertical="center" wrapText="1"/>
    </xf>
    <xf numFmtId="49" fontId="1" fillId="2" borderId="2" xfId="0" applyNumberFormat="1" applyFont="1" applyFill="1" applyBorder="1" applyAlignment="1">
      <alignment vertical="center" wrapText="1"/>
    </xf>
    <xf numFmtId="2" fontId="1" fillId="2" borderId="1" xfId="0" applyNumberFormat="1" applyFont="1" applyFill="1" applyBorder="1" applyAlignment="1">
      <alignment vertical="center" wrapText="1"/>
    </xf>
    <xf numFmtId="2" fontId="1" fillId="2" borderId="2" xfId="0" applyNumberFormat="1" applyFont="1" applyFill="1" applyBorder="1" applyAlignment="1">
      <alignment vertical="center" wrapText="1"/>
    </xf>
    <xf numFmtId="0" fontId="1" fillId="2" borderId="0" xfId="0" applyFont="1" applyFill="1" applyAlignment="1">
      <alignment vertical="center" wrapText="1"/>
    </xf>
    <xf numFmtId="2" fontId="1" fillId="2" borderId="0" xfId="0" applyNumberFormat="1" applyFont="1" applyFill="1" applyAlignment="1">
      <alignment vertical="center" wrapText="1"/>
    </xf>
    <xf numFmtId="0" fontId="7" fillId="2" borderId="2" xfId="0" applyFont="1" applyFill="1" applyBorder="1" applyAlignment="1">
      <alignment vertical="center" wrapText="1"/>
    </xf>
    <xf numFmtId="0" fontId="4" fillId="0" borderId="0" xfId="0" applyFont="1"/>
    <xf numFmtId="0" fontId="8" fillId="0" borderId="0" xfId="1" applyFill="1"/>
    <xf numFmtId="0" fontId="5" fillId="0" borderId="0" xfId="0" applyFont="1" applyAlignment="1">
      <alignment vertical="top"/>
    </xf>
    <xf numFmtId="0" fontId="3" fillId="0" borderId="0" xfId="0" applyFont="1" applyAlignment="1">
      <alignment vertical="top"/>
    </xf>
    <xf numFmtId="0" fontId="3" fillId="0" borderId="0" xfId="0" applyFont="1" applyAlignment="1">
      <alignment horizontal="right" vertical="top"/>
    </xf>
    <xf numFmtId="15" fontId="3" fillId="0" borderId="0" xfId="0" applyNumberFormat="1" applyFont="1" applyAlignment="1">
      <alignment horizontal="right" vertical="top"/>
    </xf>
    <xf numFmtId="2" fontId="6" fillId="0" borderId="0" xfId="0" applyNumberFormat="1" applyFont="1" applyAlignment="1">
      <alignment horizontal="right"/>
    </xf>
    <xf numFmtId="2" fontId="2" fillId="0" borderId="0" xfId="0" applyNumberFormat="1" applyFont="1" applyAlignment="1">
      <alignment horizontal="right"/>
    </xf>
    <xf numFmtId="0" fontId="5" fillId="3" borderId="0" xfId="0" applyFont="1" applyFill="1" applyAlignment="1">
      <alignment vertical="top"/>
    </xf>
    <xf numFmtId="0" fontId="3" fillId="3" borderId="0" xfId="0" applyFont="1" applyFill="1" applyAlignment="1">
      <alignment vertical="top"/>
    </xf>
    <xf numFmtId="0" fontId="3" fillId="3" borderId="0" xfId="0" applyFont="1" applyFill="1" applyAlignment="1">
      <alignment horizontal="right" vertical="top"/>
    </xf>
    <xf numFmtId="0" fontId="0" fillId="3" borderId="0" xfId="0" applyFill="1"/>
    <xf numFmtId="15" fontId="3" fillId="3" borderId="3" xfId="0" applyNumberFormat="1" applyFont="1" applyFill="1" applyBorder="1" applyAlignment="1">
      <alignment horizontal="right" vertical="top"/>
    </xf>
    <xf numFmtId="164" fontId="3" fillId="3" borderId="0" xfId="0" applyNumberFormat="1" applyFont="1" applyFill="1" applyAlignment="1">
      <alignment horizontal="right" vertical="top"/>
    </xf>
    <xf numFmtId="2" fontId="2" fillId="3" borderId="0" xfId="0" applyNumberFormat="1" applyFont="1" applyFill="1" applyAlignment="1">
      <alignment horizontal="right"/>
    </xf>
    <xf numFmtId="2" fontId="6" fillId="3" borderId="0" xfId="0" applyNumberFormat="1" applyFont="1" applyFill="1" applyAlignment="1">
      <alignment horizontal="right"/>
    </xf>
    <xf numFmtId="15" fontId="3" fillId="0" borderId="3" xfId="0" applyNumberFormat="1" applyFont="1" applyBorder="1" applyAlignment="1">
      <alignment horizontal="right" vertical="top"/>
    </xf>
    <xf numFmtId="164" fontId="3" fillId="0" borderId="0" xfId="0" applyNumberFormat="1" applyFont="1" applyAlignment="1">
      <alignment horizontal="right" vertical="top"/>
    </xf>
    <xf numFmtId="164" fontId="11" fillId="3" borderId="0" xfId="0" applyNumberFormat="1" applyFont="1" applyFill="1" applyAlignment="1">
      <alignment horizontal="right" vertical="top"/>
    </xf>
    <xf numFmtId="0" fontId="5" fillId="4" borderId="0" xfId="0" applyFont="1" applyFill="1" applyAlignment="1">
      <alignment vertical="top"/>
    </xf>
    <xf numFmtId="0" fontId="3" fillId="4" borderId="0" xfId="0" applyFont="1" applyFill="1" applyAlignment="1">
      <alignment vertical="top"/>
    </xf>
    <xf numFmtId="0" fontId="3" fillId="4" borderId="0" xfId="0" applyFont="1" applyFill="1" applyAlignment="1">
      <alignment horizontal="left" vertical="top"/>
    </xf>
    <xf numFmtId="0" fontId="0" fillId="4" borderId="0" xfId="0" applyFill="1"/>
    <xf numFmtId="15" fontId="3" fillId="4" borderId="3" xfId="0" applyNumberFormat="1" applyFont="1" applyFill="1" applyBorder="1" applyAlignment="1">
      <alignment horizontal="right" vertical="top"/>
    </xf>
    <xf numFmtId="164" fontId="3" fillId="4" borderId="0" xfId="0" applyNumberFormat="1" applyFont="1" applyFill="1" applyAlignment="1">
      <alignment horizontal="right" vertical="top"/>
    </xf>
    <xf numFmtId="2" fontId="2" fillId="4" borderId="0" xfId="0" applyNumberFormat="1" applyFont="1" applyFill="1" applyAlignment="1">
      <alignment horizontal="right"/>
    </xf>
    <xf numFmtId="2" fontId="6" fillId="4" borderId="0" xfId="0" applyNumberFormat="1" applyFont="1" applyFill="1" applyAlignment="1">
      <alignment horizontal="right"/>
    </xf>
    <xf numFmtId="0" fontId="3" fillId="0" borderId="0" xfId="0" applyFont="1" applyAlignment="1">
      <alignment horizontal="right" vertical="top" wrapText="1"/>
    </xf>
    <xf numFmtId="0" fontId="6" fillId="0" borderId="0" xfId="0" applyFont="1" applyAlignment="1">
      <alignment horizontal="left"/>
    </xf>
    <xf numFmtId="0" fontId="6" fillId="4" borderId="0" xfId="0" applyFont="1" applyFill="1" applyAlignment="1">
      <alignment horizontal="left"/>
    </xf>
    <xf numFmtId="0" fontId="0" fillId="4" borderId="0" xfId="0" applyFill="1" applyAlignment="1">
      <alignment horizontal="left"/>
    </xf>
    <xf numFmtId="0" fontId="0" fillId="0" borderId="0" xfId="0" applyAlignment="1">
      <alignment wrapText="1"/>
    </xf>
    <xf numFmtId="2" fontId="10" fillId="4" borderId="0" xfId="0" applyNumberFormat="1" applyFont="1" applyFill="1" applyAlignment="1">
      <alignment horizontal="right"/>
    </xf>
    <xf numFmtId="0" fontId="4" fillId="4" borderId="0" xfId="0" applyFont="1" applyFill="1"/>
    <xf numFmtId="0" fontId="0" fillId="5" borderId="0" xfId="0" applyFill="1"/>
    <xf numFmtId="0" fontId="0" fillId="5" borderId="0" xfId="0" applyFill="1" applyAlignment="1">
      <alignment horizontal="left"/>
    </xf>
    <xf numFmtId="2" fontId="6" fillId="5" borderId="0" xfId="0" applyNumberFormat="1" applyFont="1" applyFill="1" applyAlignment="1">
      <alignment horizontal="right"/>
    </xf>
    <xf numFmtId="2" fontId="2" fillId="5" borderId="0" xfId="0" applyNumberFormat="1" applyFont="1" applyFill="1" applyAlignment="1">
      <alignment horizontal="right"/>
    </xf>
    <xf numFmtId="2" fontId="10" fillId="5" borderId="0" xfId="0" applyNumberFormat="1" applyFont="1" applyFill="1" applyAlignment="1">
      <alignment horizontal="right"/>
    </xf>
    <xf numFmtId="0" fontId="12" fillId="4" borderId="0" xfId="0" applyFont="1" applyFill="1" applyAlignment="1">
      <alignment horizontal="left"/>
    </xf>
    <xf numFmtId="15" fontId="5" fillId="4" borderId="3" xfId="0" applyNumberFormat="1" applyFont="1" applyFill="1" applyBorder="1" applyAlignment="1">
      <alignment horizontal="right" vertical="top"/>
    </xf>
    <xf numFmtId="0" fontId="4" fillId="5" borderId="0" xfId="0" applyFont="1" applyFill="1"/>
    <xf numFmtId="0" fontId="12" fillId="5" borderId="0" xfId="0" applyFont="1" applyFill="1" applyAlignment="1">
      <alignment horizontal="left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85725</xdr:colOff>
          <xdr:row>5</xdr:row>
          <xdr:rowOff>76200</xdr:rowOff>
        </xdr:from>
        <xdr:to>
          <xdr:col>15</xdr:col>
          <xdr:colOff>485775</xdr:colOff>
          <xdr:row>8</xdr:row>
          <xdr:rowOff>38100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Reconcile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238125</xdr:colOff>
          <xdr:row>10</xdr:row>
          <xdr:rowOff>19050</xdr:rowOff>
        </xdr:from>
        <xdr:to>
          <xdr:col>15</xdr:col>
          <xdr:colOff>581025</xdr:colOff>
          <xdr:row>13</xdr:row>
          <xdr:rowOff>152400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ptos Narrow"/>
                </a:rPr>
                <a:t>Send Email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2AEED0B-660C-4AF3-898A-D85CA30D79AC}">
  <we:reference id="wa200005271" version="2.5.5.0" store="en-US" storeType="OMEX"/>
  <we:alternateReferences>
    <we:reference id="wa200005271" version="2.5.5.0" store="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_xldudf_AI_TABLE</we:customFunctionIds>
        <we:customFunctionIds>_xldudf_AI_FILL</we:customFunctionIds>
        <we:customFunctionIds>_xldudf_AI_LIST</we:customFunctionIds>
        <we:customFunctionIds>_xldudf_AI_ASK</we:customFunctionIds>
        <we:customFunctionIds>_xldudf_AI_FORMAT</we:customFunctionIds>
        <we:customFunctionIds>_xldudf_AI_EXTRACT</we:customFunctionIds>
        <we:customFunctionIds>_xldudf_AI_TRANSLATE</we:customFunctionIds>
        <we:customFunctionIds>_xldudf_AI_CHOICE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mailto:gupta.k.deepak@gmail.com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D3569E-37CC-4038-8E92-DEB8BD98BADC}">
  <sheetPr codeName="Sheet1"/>
  <dimension ref="A1:P565"/>
  <sheetViews>
    <sheetView tabSelected="1" topLeftCell="H1" zoomScale="170" zoomScaleNormal="170" zoomScalePageLayoutView="50" workbookViewId="0">
      <selection activeCell="M11" sqref="M11"/>
    </sheetView>
  </sheetViews>
  <sheetFormatPr defaultColWidth="8.7109375" defaultRowHeight="15" x14ac:dyDescent="0.25"/>
  <cols>
    <col min="1" max="1" width="18.140625" bestFit="1" customWidth="1"/>
    <col min="2" max="2" width="41.5703125" bestFit="1" customWidth="1"/>
    <col min="3" max="3" width="17.5703125" bestFit="1" customWidth="1"/>
    <col min="4" max="4" width="16" bestFit="1" customWidth="1"/>
    <col min="5" max="5" width="31.140625" bestFit="1" customWidth="1"/>
    <col min="6" max="6" width="10.7109375" bestFit="1" customWidth="1"/>
    <col min="7" max="7" width="15.5703125" customWidth="1"/>
    <col min="8" max="8" width="16" customWidth="1"/>
    <col min="9" max="9" width="12.7109375" customWidth="1"/>
    <col min="10" max="10" width="13.85546875" customWidth="1"/>
    <col min="11" max="11" width="13.85546875" style="9" customWidth="1"/>
    <col min="12" max="12" width="10.140625" bestFit="1" customWidth="1"/>
    <col min="13" max="13" width="18.28515625" bestFit="1" customWidth="1"/>
  </cols>
  <sheetData>
    <row r="1" spans="1:16" ht="24" x14ac:dyDescent="0.25">
      <c r="A1" s="1" t="s">
        <v>0</v>
      </c>
      <c r="B1" s="1" t="s">
        <v>1</v>
      </c>
      <c r="C1" s="2" t="s">
        <v>9</v>
      </c>
      <c r="D1" s="2" t="s">
        <v>10</v>
      </c>
      <c r="E1" s="8" t="s">
        <v>2</v>
      </c>
      <c r="F1" s="3" t="s">
        <v>3</v>
      </c>
      <c r="G1" s="4" t="s">
        <v>4</v>
      </c>
      <c r="H1" s="5" t="s">
        <v>5</v>
      </c>
      <c r="I1" s="5" t="s">
        <v>6</v>
      </c>
      <c r="J1" s="5" t="s">
        <v>7</v>
      </c>
      <c r="K1" s="7" t="s">
        <v>11</v>
      </c>
      <c r="L1" s="6" t="s">
        <v>8</v>
      </c>
      <c r="M1" s="7" t="s">
        <v>12</v>
      </c>
      <c r="O1" s="7" t="s">
        <v>14</v>
      </c>
    </row>
    <row r="2" spans="1:16" x14ac:dyDescent="0.25">
      <c r="A2" s="11" t="s">
        <v>17</v>
      </c>
      <c r="B2" s="12" t="s">
        <v>53</v>
      </c>
      <c r="C2" s="13" t="s">
        <v>468</v>
      </c>
      <c r="D2" s="13">
        <v>17</v>
      </c>
      <c r="E2" t="s">
        <v>475</v>
      </c>
      <c r="F2" s="14">
        <v>45748</v>
      </c>
      <c r="G2">
        <v>9600</v>
      </c>
      <c r="H2">
        <v>0</v>
      </c>
      <c r="I2">
        <v>864</v>
      </c>
      <c r="J2">
        <v>864</v>
      </c>
      <c r="K2" s="15">
        <f>G2+H2+I2+J2</f>
        <v>11328</v>
      </c>
      <c r="L2" s="16" t="s">
        <v>16</v>
      </c>
      <c r="M2" t="s">
        <v>797</v>
      </c>
      <c r="N2" s="16" t="s">
        <v>16</v>
      </c>
      <c r="P2" s="10" t="s">
        <v>466</v>
      </c>
    </row>
    <row r="3" spans="1:16" s="20" customFormat="1" x14ac:dyDescent="0.25">
      <c r="A3" s="17" t="s">
        <v>17</v>
      </c>
      <c r="B3" s="18" t="s">
        <v>53</v>
      </c>
      <c r="C3" s="19" t="s">
        <v>467</v>
      </c>
      <c r="D3" s="19">
        <v>16</v>
      </c>
      <c r="E3" s="20" t="s">
        <v>476</v>
      </c>
      <c r="F3" s="21">
        <v>45748</v>
      </c>
      <c r="G3" s="22">
        <v>3500</v>
      </c>
      <c r="H3" s="23"/>
      <c r="I3" s="23">
        <v>405</v>
      </c>
      <c r="J3" s="23">
        <v>405</v>
      </c>
      <c r="K3" s="24">
        <f t="shared" ref="K3:K66" si="0">G3+H3+I3+J3</f>
        <v>4310</v>
      </c>
      <c r="L3" s="23" t="s">
        <v>16</v>
      </c>
      <c r="M3" s="20" t="s">
        <v>796</v>
      </c>
      <c r="N3" s="23" t="s">
        <v>16</v>
      </c>
    </row>
    <row r="4" spans="1:16" x14ac:dyDescent="0.25">
      <c r="A4" s="11" t="s">
        <v>18</v>
      </c>
      <c r="B4" s="12" t="s">
        <v>54</v>
      </c>
      <c r="C4" s="13" t="s">
        <v>469</v>
      </c>
      <c r="D4" s="13">
        <v>35</v>
      </c>
      <c r="E4" t="s">
        <v>477</v>
      </c>
      <c r="F4" s="25">
        <v>45748</v>
      </c>
      <c r="G4" s="26">
        <v>1100</v>
      </c>
      <c r="H4" s="16"/>
      <c r="I4" s="16">
        <v>99</v>
      </c>
      <c r="J4" s="16">
        <v>99</v>
      </c>
      <c r="K4" s="15">
        <f t="shared" si="0"/>
        <v>1298</v>
      </c>
      <c r="L4" s="16" t="s">
        <v>16</v>
      </c>
      <c r="M4" t="s">
        <v>797</v>
      </c>
      <c r="N4" s="16" t="s">
        <v>13</v>
      </c>
    </row>
    <row r="5" spans="1:16" x14ac:dyDescent="0.25">
      <c r="A5" s="11" t="s">
        <v>19</v>
      </c>
      <c r="B5" s="12" t="s">
        <v>55</v>
      </c>
      <c r="C5" s="13" t="s">
        <v>92</v>
      </c>
      <c r="D5" s="13">
        <v>30</v>
      </c>
      <c r="E5" t="s">
        <v>478</v>
      </c>
      <c r="F5" s="25">
        <v>45748</v>
      </c>
      <c r="G5" s="26">
        <v>2627.12</v>
      </c>
      <c r="H5" s="16"/>
      <c r="I5" s="16">
        <v>236.44</v>
      </c>
      <c r="J5" s="16">
        <v>236.44</v>
      </c>
      <c r="K5" s="15">
        <f t="shared" si="0"/>
        <v>3100</v>
      </c>
      <c r="L5" s="16" t="s">
        <v>16</v>
      </c>
      <c r="M5" t="s">
        <v>797</v>
      </c>
    </row>
    <row r="6" spans="1:16" x14ac:dyDescent="0.25">
      <c r="A6" s="11" t="s">
        <v>20</v>
      </c>
      <c r="B6" s="12" t="s">
        <v>56</v>
      </c>
      <c r="C6" s="13" t="s">
        <v>93</v>
      </c>
      <c r="D6" s="13">
        <v>18</v>
      </c>
      <c r="E6" t="s">
        <v>479</v>
      </c>
      <c r="F6" s="25">
        <v>45748</v>
      </c>
      <c r="G6" s="26">
        <v>2550</v>
      </c>
      <c r="H6" s="16"/>
      <c r="I6" s="16">
        <v>229.5</v>
      </c>
      <c r="J6" s="16">
        <v>229.5</v>
      </c>
      <c r="K6" s="15">
        <f t="shared" si="0"/>
        <v>3009</v>
      </c>
      <c r="L6" s="16" t="s">
        <v>16</v>
      </c>
      <c r="M6" t="s">
        <v>797</v>
      </c>
    </row>
    <row r="7" spans="1:16" x14ac:dyDescent="0.25">
      <c r="A7" s="11" t="s">
        <v>21</v>
      </c>
      <c r="B7" s="12" t="s">
        <v>57</v>
      </c>
      <c r="C7" s="13" t="s">
        <v>94</v>
      </c>
      <c r="D7" s="13">
        <v>4</v>
      </c>
      <c r="E7" t="s">
        <v>480</v>
      </c>
      <c r="F7" s="25">
        <v>45748</v>
      </c>
      <c r="G7" s="26">
        <v>1100</v>
      </c>
      <c r="H7" s="16"/>
      <c r="I7" s="16">
        <v>99</v>
      </c>
      <c r="J7" s="16">
        <v>99</v>
      </c>
      <c r="K7" s="15">
        <f t="shared" si="0"/>
        <v>1298</v>
      </c>
      <c r="L7" s="16" t="s">
        <v>16</v>
      </c>
      <c r="M7" t="s">
        <v>797</v>
      </c>
    </row>
    <row r="8" spans="1:16" x14ac:dyDescent="0.25">
      <c r="A8" s="11" t="s">
        <v>22</v>
      </c>
      <c r="B8" s="12" t="s">
        <v>58</v>
      </c>
      <c r="C8" s="13" t="s">
        <v>95</v>
      </c>
      <c r="D8" s="13">
        <v>3</v>
      </c>
      <c r="E8" t="s">
        <v>481</v>
      </c>
      <c r="F8" s="25">
        <v>45748</v>
      </c>
      <c r="G8" s="26">
        <v>400</v>
      </c>
      <c r="H8" s="16"/>
      <c r="I8" s="16">
        <v>36</v>
      </c>
      <c r="J8" s="16">
        <v>36</v>
      </c>
      <c r="K8" s="15">
        <f t="shared" si="0"/>
        <v>472</v>
      </c>
      <c r="L8" s="16" t="s">
        <v>16</v>
      </c>
      <c r="M8" t="s">
        <v>797</v>
      </c>
    </row>
    <row r="9" spans="1:16" x14ac:dyDescent="0.25">
      <c r="A9" s="11" t="s">
        <v>23</v>
      </c>
      <c r="B9" s="12" t="s">
        <v>59</v>
      </c>
      <c r="C9" s="13" t="s">
        <v>96</v>
      </c>
      <c r="D9" s="13">
        <v>120</v>
      </c>
      <c r="E9" t="s">
        <v>482</v>
      </c>
      <c r="F9" s="25">
        <v>45748</v>
      </c>
      <c r="G9" s="26">
        <v>90</v>
      </c>
      <c r="H9" s="16"/>
      <c r="I9" s="16">
        <v>8.1</v>
      </c>
      <c r="J9" s="16">
        <v>8.1</v>
      </c>
      <c r="K9" s="15">
        <f t="shared" si="0"/>
        <v>106.19999999999999</v>
      </c>
      <c r="L9" s="16" t="s">
        <v>16</v>
      </c>
      <c r="M9" t="s">
        <v>797</v>
      </c>
    </row>
    <row r="10" spans="1:16" s="20" customFormat="1" x14ac:dyDescent="0.25">
      <c r="A10" s="17" t="s">
        <v>24</v>
      </c>
      <c r="B10" s="18" t="s">
        <v>60</v>
      </c>
      <c r="C10" s="19" t="s">
        <v>15</v>
      </c>
      <c r="D10" s="19">
        <v>1</v>
      </c>
      <c r="E10" s="20" t="s">
        <v>483</v>
      </c>
      <c r="F10" s="21">
        <v>45748</v>
      </c>
      <c r="G10" s="27">
        <v>14000</v>
      </c>
      <c r="H10" s="23"/>
      <c r="I10" s="23">
        <v>7560</v>
      </c>
      <c r="J10" s="23">
        <v>7560</v>
      </c>
      <c r="K10" s="24">
        <f t="shared" si="0"/>
        <v>29120</v>
      </c>
      <c r="L10" s="23" t="s">
        <v>16</v>
      </c>
      <c r="M10" s="20" t="s">
        <v>796</v>
      </c>
    </row>
    <row r="11" spans="1:16" x14ac:dyDescent="0.25">
      <c r="A11" s="11" t="s">
        <v>25</v>
      </c>
      <c r="B11" s="12" t="s">
        <v>61</v>
      </c>
      <c r="C11" s="13" t="s">
        <v>97</v>
      </c>
      <c r="D11" s="13">
        <v>48</v>
      </c>
      <c r="E11" t="s">
        <v>484</v>
      </c>
      <c r="F11" s="25">
        <v>45749</v>
      </c>
      <c r="G11" s="26">
        <v>1200</v>
      </c>
      <c r="H11" s="16">
        <v>216</v>
      </c>
      <c r="I11" s="16"/>
      <c r="J11" s="16"/>
      <c r="K11" s="15">
        <f t="shared" si="0"/>
        <v>1416</v>
      </c>
      <c r="L11" s="16" t="s">
        <v>16</v>
      </c>
      <c r="M11" t="s">
        <v>797</v>
      </c>
    </row>
    <row r="12" spans="1:16" x14ac:dyDescent="0.25">
      <c r="A12" s="11" t="s">
        <v>26</v>
      </c>
      <c r="B12" s="12" t="s">
        <v>62</v>
      </c>
      <c r="C12" s="13" t="s">
        <v>98</v>
      </c>
      <c r="D12" s="13">
        <v>15</v>
      </c>
      <c r="E12" t="s">
        <v>485</v>
      </c>
      <c r="F12" s="25">
        <v>45749</v>
      </c>
      <c r="G12" s="26">
        <v>4900</v>
      </c>
      <c r="H12" s="16"/>
      <c r="I12" s="16">
        <v>441</v>
      </c>
      <c r="J12" s="16">
        <v>441</v>
      </c>
      <c r="K12" s="15">
        <f t="shared" si="0"/>
        <v>5782</v>
      </c>
      <c r="L12" s="16" t="s">
        <v>16</v>
      </c>
      <c r="M12" t="s">
        <v>797</v>
      </c>
    </row>
    <row r="13" spans="1:16" x14ac:dyDescent="0.25">
      <c r="A13" s="11" t="s">
        <v>27</v>
      </c>
      <c r="B13" s="12" t="s">
        <v>63</v>
      </c>
      <c r="C13" s="13" t="s">
        <v>99</v>
      </c>
      <c r="D13" s="13">
        <v>268</v>
      </c>
      <c r="E13" t="s">
        <v>486</v>
      </c>
      <c r="F13" s="25">
        <v>45749</v>
      </c>
      <c r="G13" s="26">
        <v>805.09</v>
      </c>
      <c r="H13" s="16"/>
      <c r="I13" s="16">
        <v>72.459999999999994</v>
      </c>
      <c r="J13" s="16">
        <v>72.459999999999994</v>
      </c>
      <c r="K13" s="15">
        <f t="shared" si="0"/>
        <v>950.0100000000001</v>
      </c>
      <c r="L13" s="16" t="s">
        <v>16</v>
      </c>
      <c r="M13" t="s">
        <v>797</v>
      </c>
    </row>
    <row r="14" spans="1:16" x14ac:dyDescent="0.25">
      <c r="A14" s="11" t="s">
        <v>17</v>
      </c>
      <c r="B14" s="12" t="s">
        <v>53</v>
      </c>
      <c r="C14" s="13" t="s">
        <v>100</v>
      </c>
      <c r="D14" s="13">
        <v>41</v>
      </c>
      <c r="E14" t="s">
        <v>487</v>
      </c>
      <c r="F14" s="25">
        <v>45749</v>
      </c>
      <c r="G14" s="26">
        <v>5000</v>
      </c>
      <c r="H14" s="16"/>
      <c r="I14" s="16">
        <v>450</v>
      </c>
      <c r="J14" s="16">
        <v>450</v>
      </c>
      <c r="K14" s="15">
        <f t="shared" si="0"/>
        <v>5900</v>
      </c>
      <c r="L14" s="16" t="s">
        <v>16</v>
      </c>
      <c r="M14" t="s">
        <v>797</v>
      </c>
    </row>
    <row r="15" spans="1:16" x14ac:dyDescent="0.25">
      <c r="A15" s="11" t="s">
        <v>17</v>
      </c>
      <c r="B15" s="12" t="s">
        <v>53</v>
      </c>
      <c r="C15" s="13" t="s">
        <v>101</v>
      </c>
      <c r="D15" s="13">
        <v>61</v>
      </c>
      <c r="E15" t="s">
        <v>488</v>
      </c>
      <c r="F15" s="25">
        <v>45749</v>
      </c>
      <c r="G15" s="26">
        <v>3600</v>
      </c>
      <c r="H15" s="16"/>
      <c r="I15" s="16">
        <v>324</v>
      </c>
      <c r="J15" s="16">
        <v>324</v>
      </c>
      <c r="K15" s="15">
        <f t="shared" si="0"/>
        <v>4248</v>
      </c>
      <c r="L15" s="16" t="s">
        <v>16</v>
      </c>
      <c r="M15" t="s">
        <v>797</v>
      </c>
    </row>
    <row r="16" spans="1:16" x14ac:dyDescent="0.25">
      <c r="A16" s="11" t="s">
        <v>28</v>
      </c>
      <c r="B16" s="12" t="s">
        <v>64</v>
      </c>
      <c r="C16" s="13" t="s">
        <v>102</v>
      </c>
      <c r="D16" s="13">
        <v>2</v>
      </c>
      <c r="E16" t="s">
        <v>489</v>
      </c>
      <c r="F16" s="25">
        <v>45749</v>
      </c>
      <c r="G16" s="26">
        <v>1300</v>
      </c>
      <c r="H16" s="16"/>
      <c r="I16" s="16">
        <v>117</v>
      </c>
      <c r="J16" s="16">
        <v>117</v>
      </c>
      <c r="K16" s="15">
        <f t="shared" si="0"/>
        <v>1534</v>
      </c>
      <c r="L16" s="16" t="s">
        <v>16</v>
      </c>
      <c r="M16" t="s">
        <v>797</v>
      </c>
    </row>
    <row r="17" spans="1:13" x14ac:dyDescent="0.25">
      <c r="A17" s="11" t="s">
        <v>29</v>
      </c>
      <c r="B17" s="12" t="s">
        <v>65</v>
      </c>
      <c r="C17" s="13" t="s">
        <v>103</v>
      </c>
      <c r="D17" s="13">
        <v>12</v>
      </c>
      <c r="E17" t="s">
        <v>490</v>
      </c>
      <c r="F17" s="25">
        <v>45749</v>
      </c>
      <c r="G17" s="26">
        <v>1991.53</v>
      </c>
      <c r="H17" s="16"/>
      <c r="I17" s="16">
        <v>179.24</v>
      </c>
      <c r="J17" s="16">
        <v>179.24</v>
      </c>
      <c r="K17" s="15">
        <f t="shared" si="0"/>
        <v>2350.0100000000002</v>
      </c>
      <c r="L17" s="16" t="s">
        <v>16</v>
      </c>
      <c r="M17" t="s">
        <v>797</v>
      </c>
    </row>
    <row r="18" spans="1:13" x14ac:dyDescent="0.25">
      <c r="A18" s="11" t="s">
        <v>30</v>
      </c>
      <c r="B18" s="12" t="s">
        <v>66</v>
      </c>
      <c r="C18" s="13" t="s">
        <v>104</v>
      </c>
      <c r="D18" s="13">
        <v>1</v>
      </c>
      <c r="E18" t="s">
        <v>491</v>
      </c>
      <c r="F18" s="25">
        <v>45749</v>
      </c>
      <c r="G18" s="26">
        <v>4200</v>
      </c>
      <c r="H18" s="16"/>
      <c r="I18" s="16">
        <v>378</v>
      </c>
      <c r="J18" s="16">
        <v>378</v>
      </c>
      <c r="K18" s="15">
        <f t="shared" si="0"/>
        <v>4956</v>
      </c>
      <c r="L18" s="16" t="s">
        <v>16</v>
      </c>
      <c r="M18" t="s">
        <v>797</v>
      </c>
    </row>
    <row r="19" spans="1:13" x14ac:dyDescent="0.25">
      <c r="A19" s="11" t="s">
        <v>31</v>
      </c>
      <c r="B19" s="12" t="s">
        <v>67</v>
      </c>
      <c r="C19" s="13" t="s">
        <v>105</v>
      </c>
      <c r="D19" s="13">
        <v>43</v>
      </c>
      <c r="E19" t="s">
        <v>492</v>
      </c>
      <c r="F19" s="25">
        <v>45749</v>
      </c>
      <c r="G19" s="26">
        <v>13100</v>
      </c>
      <c r="H19" s="16"/>
      <c r="I19" s="16">
        <v>1179</v>
      </c>
      <c r="J19" s="16">
        <v>1179</v>
      </c>
      <c r="K19" s="15">
        <f t="shared" si="0"/>
        <v>15458</v>
      </c>
      <c r="L19" s="16" t="s">
        <v>16</v>
      </c>
      <c r="M19" t="s">
        <v>797</v>
      </c>
    </row>
    <row r="20" spans="1:13" s="31" customFormat="1" x14ac:dyDescent="0.25">
      <c r="A20" s="28" t="s">
        <v>32</v>
      </c>
      <c r="B20" s="29" t="s">
        <v>68</v>
      </c>
      <c r="C20" s="30" t="s">
        <v>106</v>
      </c>
      <c r="D20" s="30">
        <v>4</v>
      </c>
      <c r="E20" s="31" t="s">
        <v>493</v>
      </c>
      <c r="F20" s="32">
        <v>45749</v>
      </c>
      <c r="G20" s="33">
        <v>3542.37</v>
      </c>
      <c r="H20" s="34"/>
      <c r="I20" s="34">
        <v>318.81</v>
      </c>
      <c r="J20" s="34">
        <v>318.81</v>
      </c>
      <c r="K20" s="35">
        <f t="shared" si="0"/>
        <v>4179.99</v>
      </c>
      <c r="L20" s="34" t="s">
        <v>16</v>
      </c>
      <c r="M20" s="31" t="s">
        <v>798</v>
      </c>
    </row>
    <row r="21" spans="1:13" x14ac:dyDescent="0.25">
      <c r="A21" s="11" t="s">
        <v>33</v>
      </c>
      <c r="B21" s="12" t="s">
        <v>69</v>
      </c>
      <c r="C21" s="13" t="s">
        <v>107</v>
      </c>
      <c r="D21" s="13">
        <v>14</v>
      </c>
      <c r="E21" t="s">
        <v>494</v>
      </c>
      <c r="F21" s="25">
        <v>45749</v>
      </c>
      <c r="G21" s="26">
        <v>4618.6400000000003</v>
      </c>
      <c r="H21" s="16"/>
      <c r="I21" s="16">
        <v>415.68</v>
      </c>
      <c r="J21" s="16">
        <v>415.68</v>
      </c>
      <c r="K21" s="15">
        <f t="shared" si="0"/>
        <v>5450.0000000000009</v>
      </c>
      <c r="L21" s="16" t="s">
        <v>16</v>
      </c>
      <c r="M21" t="s">
        <v>797</v>
      </c>
    </row>
    <row r="22" spans="1:13" s="31" customFormat="1" x14ac:dyDescent="0.25">
      <c r="A22" s="28" t="s">
        <v>34</v>
      </c>
      <c r="B22" s="29" t="s">
        <v>70</v>
      </c>
      <c r="C22" s="30" t="s">
        <v>108</v>
      </c>
      <c r="D22" s="30">
        <v>109</v>
      </c>
      <c r="E22" s="31" t="s">
        <v>495</v>
      </c>
      <c r="F22" s="32">
        <v>45750</v>
      </c>
      <c r="G22" s="33">
        <v>11022.8</v>
      </c>
      <c r="H22" s="34"/>
      <c r="I22" s="34">
        <v>953.65</v>
      </c>
      <c r="J22" s="34">
        <v>953.65</v>
      </c>
      <c r="K22" s="35">
        <f t="shared" si="0"/>
        <v>12930.099999999999</v>
      </c>
      <c r="L22" s="34" t="s">
        <v>16</v>
      </c>
      <c r="M22" s="31" t="s">
        <v>798</v>
      </c>
    </row>
    <row r="23" spans="1:13" x14ac:dyDescent="0.25">
      <c r="A23" s="11" t="s">
        <v>35</v>
      </c>
      <c r="B23" s="12" t="s">
        <v>71</v>
      </c>
      <c r="C23" s="13" t="s">
        <v>109</v>
      </c>
      <c r="D23" s="13">
        <v>4007</v>
      </c>
      <c r="E23" t="s">
        <v>496</v>
      </c>
      <c r="F23" s="25">
        <v>45750</v>
      </c>
      <c r="G23" s="26">
        <v>8750</v>
      </c>
      <c r="H23" s="16">
        <v>1575</v>
      </c>
      <c r="I23" s="16"/>
      <c r="J23" s="16"/>
      <c r="K23" s="15">
        <f t="shared" si="0"/>
        <v>10325</v>
      </c>
      <c r="L23" s="16" t="s">
        <v>16</v>
      </c>
      <c r="M23" t="s">
        <v>797</v>
      </c>
    </row>
    <row r="24" spans="1:13" x14ac:dyDescent="0.25">
      <c r="A24" s="11" t="s">
        <v>23</v>
      </c>
      <c r="B24" s="12" t="s">
        <v>59</v>
      </c>
      <c r="C24" s="13" t="s">
        <v>110</v>
      </c>
      <c r="D24" s="13">
        <v>280</v>
      </c>
      <c r="E24" t="s">
        <v>497</v>
      </c>
      <c r="F24" s="25">
        <v>45750</v>
      </c>
      <c r="G24" s="26">
        <v>180</v>
      </c>
      <c r="H24" s="16"/>
      <c r="I24" s="16">
        <v>16.2</v>
      </c>
      <c r="J24" s="16">
        <v>16.2</v>
      </c>
      <c r="K24" s="15">
        <f t="shared" si="0"/>
        <v>212.39999999999998</v>
      </c>
      <c r="L24" s="16" t="s">
        <v>16</v>
      </c>
      <c r="M24" t="s">
        <v>797</v>
      </c>
    </row>
    <row r="25" spans="1:13" x14ac:dyDescent="0.25">
      <c r="A25" s="11" t="s">
        <v>23</v>
      </c>
      <c r="B25" s="12" t="s">
        <v>59</v>
      </c>
      <c r="C25" s="36" t="s">
        <v>111</v>
      </c>
      <c r="D25" s="36">
        <v>321</v>
      </c>
      <c r="E25" t="s">
        <v>498</v>
      </c>
      <c r="F25" s="25">
        <v>45750</v>
      </c>
      <c r="G25" s="26">
        <v>750</v>
      </c>
      <c r="H25" s="16"/>
      <c r="I25" s="16">
        <v>67.5</v>
      </c>
      <c r="J25" s="16">
        <v>67.5</v>
      </c>
      <c r="K25" s="15">
        <f t="shared" si="0"/>
        <v>885</v>
      </c>
      <c r="L25" s="16" t="s">
        <v>16</v>
      </c>
      <c r="M25" t="s">
        <v>797</v>
      </c>
    </row>
    <row r="26" spans="1:13" s="31" customFormat="1" x14ac:dyDescent="0.25">
      <c r="A26" s="28" t="s">
        <v>33</v>
      </c>
      <c r="B26" s="29" t="s">
        <v>69</v>
      </c>
      <c r="C26" s="30" t="s">
        <v>112</v>
      </c>
      <c r="D26" s="30">
        <v>15</v>
      </c>
      <c r="E26" s="31" t="s">
        <v>499</v>
      </c>
      <c r="F26" s="32">
        <v>45750</v>
      </c>
      <c r="G26" s="33">
        <v>6927.97</v>
      </c>
      <c r="H26" s="34"/>
      <c r="I26" s="34">
        <v>623.52</v>
      </c>
      <c r="J26" s="34">
        <v>623.52</v>
      </c>
      <c r="K26" s="35">
        <f t="shared" si="0"/>
        <v>8175.01</v>
      </c>
      <c r="L26" s="34" t="s">
        <v>16</v>
      </c>
      <c r="M26" s="31" t="s">
        <v>798</v>
      </c>
    </row>
    <row r="27" spans="1:13" s="31" customFormat="1" x14ac:dyDescent="0.25">
      <c r="A27" s="28" t="s">
        <v>32</v>
      </c>
      <c r="B27" s="29" t="s">
        <v>68</v>
      </c>
      <c r="C27" s="30" t="s">
        <v>113</v>
      </c>
      <c r="D27" s="30">
        <v>5</v>
      </c>
      <c r="E27" s="31" t="s">
        <v>500</v>
      </c>
      <c r="F27" s="32">
        <v>45750</v>
      </c>
      <c r="G27" s="33">
        <v>2516.9499999999998</v>
      </c>
      <c r="H27" s="34"/>
      <c r="I27" s="34">
        <v>226.53</v>
      </c>
      <c r="J27" s="34">
        <v>226.53</v>
      </c>
      <c r="K27" s="35">
        <f t="shared" si="0"/>
        <v>2970.01</v>
      </c>
      <c r="L27" s="34" t="s">
        <v>16</v>
      </c>
      <c r="M27" s="31" t="s">
        <v>798</v>
      </c>
    </row>
    <row r="28" spans="1:13" x14ac:dyDescent="0.25">
      <c r="A28" s="11" t="s">
        <v>31</v>
      </c>
      <c r="B28" s="12" t="s">
        <v>67</v>
      </c>
      <c r="C28" s="13" t="s">
        <v>114</v>
      </c>
      <c r="D28" s="13">
        <v>77</v>
      </c>
      <c r="E28" t="s">
        <v>501</v>
      </c>
      <c r="F28" s="25">
        <v>45750</v>
      </c>
      <c r="G28" s="26">
        <v>850</v>
      </c>
      <c r="H28" s="16"/>
      <c r="I28" s="16">
        <v>76.5</v>
      </c>
      <c r="J28" s="16">
        <v>76.5</v>
      </c>
      <c r="K28" s="15">
        <f t="shared" si="0"/>
        <v>1003</v>
      </c>
      <c r="L28" s="16" t="s">
        <v>16</v>
      </c>
      <c r="M28" t="s">
        <v>797</v>
      </c>
    </row>
    <row r="29" spans="1:13" x14ac:dyDescent="0.25">
      <c r="A29" s="11" t="s">
        <v>17</v>
      </c>
      <c r="B29" s="12" t="s">
        <v>53</v>
      </c>
      <c r="C29" s="13" t="s">
        <v>115</v>
      </c>
      <c r="D29" s="13">
        <v>80</v>
      </c>
      <c r="E29" t="s">
        <v>502</v>
      </c>
      <c r="F29" s="25">
        <v>45750</v>
      </c>
      <c r="G29" s="26">
        <v>4500</v>
      </c>
      <c r="H29" s="16"/>
      <c r="I29" s="16">
        <v>405</v>
      </c>
      <c r="J29" s="16">
        <v>405</v>
      </c>
      <c r="K29" s="15">
        <f t="shared" si="0"/>
        <v>5310</v>
      </c>
      <c r="L29" s="16" t="s">
        <v>16</v>
      </c>
      <c r="M29" t="s">
        <v>797</v>
      </c>
    </row>
    <row r="30" spans="1:13" x14ac:dyDescent="0.25">
      <c r="A30" s="11" t="s">
        <v>20</v>
      </c>
      <c r="B30" s="12" t="s">
        <v>56</v>
      </c>
      <c r="C30" s="13" t="s">
        <v>116</v>
      </c>
      <c r="D30" s="13">
        <v>29</v>
      </c>
      <c r="E30" t="s">
        <v>503</v>
      </c>
      <c r="F30" s="25">
        <v>45750</v>
      </c>
      <c r="G30" s="26">
        <v>2480</v>
      </c>
      <c r="H30" s="16"/>
      <c r="I30" s="16">
        <v>223.2</v>
      </c>
      <c r="J30" s="16">
        <v>223.2</v>
      </c>
      <c r="K30" s="15">
        <f t="shared" si="0"/>
        <v>2926.3999999999996</v>
      </c>
      <c r="L30" s="16" t="s">
        <v>16</v>
      </c>
      <c r="M30" t="s">
        <v>797</v>
      </c>
    </row>
    <row r="31" spans="1:13" x14ac:dyDescent="0.25">
      <c r="A31" s="11" t="s">
        <v>31</v>
      </c>
      <c r="B31" s="12" t="s">
        <v>67</v>
      </c>
      <c r="C31" s="13" t="s">
        <v>117</v>
      </c>
      <c r="D31" s="13">
        <v>78</v>
      </c>
      <c r="E31" t="s">
        <v>504</v>
      </c>
      <c r="F31" s="25">
        <v>45750</v>
      </c>
      <c r="G31" s="26">
        <v>7500</v>
      </c>
      <c r="H31" s="16"/>
      <c r="I31" s="16">
        <v>675</v>
      </c>
      <c r="J31" s="16">
        <v>675</v>
      </c>
      <c r="K31" s="15">
        <f t="shared" si="0"/>
        <v>8850</v>
      </c>
      <c r="L31" s="16" t="s">
        <v>16</v>
      </c>
      <c r="M31" t="s">
        <v>797</v>
      </c>
    </row>
    <row r="32" spans="1:13" x14ac:dyDescent="0.25">
      <c r="A32" s="11" t="s">
        <v>36</v>
      </c>
      <c r="B32" s="12" t="s">
        <v>72</v>
      </c>
      <c r="C32" s="13" t="s">
        <v>118</v>
      </c>
      <c r="D32" s="13">
        <v>4</v>
      </c>
      <c r="E32" t="s">
        <v>505</v>
      </c>
      <c r="F32" s="25">
        <v>45750</v>
      </c>
      <c r="G32" s="26">
        <v>35000</v>
      </c>
      <c r="H32" s="16"/>
      <c r="I32" s="16">
        <v>3150</v>
      </c>
      <c r="J32" s="16">
        <v>3150</v>
      </c>
      <c r="K32" s="15">
        <f t="shared" si="0"/>
        <v>41300</v>
      </c>
      <c r="L32" s="16" t="s">
        <v>16</v>
      </c>
      <c r="M32" t="s">
        <v>797</v>
      </c>
    </row>
    <row r="33" spans="1:13" x14ac:dyDescent="0.25">
      <c r="A33" s="11" t="s">
        <v>35</v>
      </c>
      <c r="B33" s="12" t="s">
        <v>71</v>
      </c>
      <c r="C33" s="13" t="s">
        <v>119</v>
      </c>
      <c r="D33" s="13">
        <v>4011</v>
      </c>
      <c r="E33" t="s">
        <v>506</v>
      </c>
      <c r="F33" s="25">
        <v>45751</v>
      </c>
      <c r="G33" s="26">
        <v>14150</v>
      </c>
      <c r="H33" s="16">
        <v>2547</v>
      </c>
      <c r="I33" s="16"/>
      <c r="J33" s="16"/>
      <c r="K33" s="15">
        <f t="shared" si="0"/>
        <v>16697</v>
      </c>
      <c r="L33" s="16" t="s">
        <v>16</v>
      </c>
      <c r="M33" t="s">
        <v>797</v>
      </c>
    </row>
    <row r="34" spans="1:13" x14ac:dyDescent="0.25">
      <c r="A34" s="11" t="s">
        <v>23</v>
      </c>
      <c r="B34" s="12" t="s">
        <v>59</v>
      </c>
      <c r="C34" s="13" t="s">
        <v>120</v>
      </c>
      <c r="D34" s="13">
        <v>484</v>
      </c>
      <c r="E34" t="s">
        <v>507</v>
      </c>
      <c r="F34" s="25">
        <v>45751</v>
      </c>
      <c r="G34" s="26">
        <v>1500</v>
      </c>
      <c r="H34" s="16"/>
      <c r="I34" s="16">
        <v>135</v>
      </c>
      <c r="J34" s="16">
        <v>135</v>
      </c>
      <c r="K34" s="15">
        <f t="shared" si="0"/>
        <v>1770</v>
      </c>
      <c r="L34" s="16" t="s">
        <v>16</v>
      </c>
      <c r="M34" t="s">
        <v>797</v>
      </c>
    </row>
    <row r="35" spans="1:13" x14ac:dyDescent="0.25">
      <c r="A35" s="11" t="s">
        <v>17</v>
      </c>
      <c r="B35" s="12" t="s">
        <v>53</v>
      </c>
      <c r="C35" s="13" t="s">
        <v>121</v>
      </c>
      <c r="D35" s="13">
        <v>129</v>
      </c>
      <c r="E35" t="s">
        <v>508</v>
      </c>
      <c r="F35" s="25">
        <v>45751</v>
      </c>
      <c r="G35" s="26">
        <v>6000</v>
      </c>
      <c r="H35" s="16"/>
      <c r="I35" s="16">
        <v>540</v>
      </c>
      <c r="J35" s="16">
        <v>540</v>
      </c>
      <c r="K35" s="15">
        <f t="shared" si="0"/>
        <v>7080</v>
      </c>
      <c r="L35" s="16" t="s">
        <v>16</v>
      </c>
      <c r="M35" t="s">
        <v>797</v>
      </c>
    </row>
    <row r="36" spans="1:13" x14ac:dyDescent="0.25">
      <c r="A36" s="11" t="s">
        <v>20</v>
      </c>
      <c r="B36" s="12" t="s">
        <v>56</v>
      </c>
      <c r="C36" s="13" t="s">
        <v>122</v>
      </c>
      <c r="D36" s="13">
        <v>37</v>
      </c>
      <c r="E36" t="s">
        <v>509</v>
      </c>
      <c r="F36" s="25">
        <v>45751</v>
      </c>
      <c r="G36" s="26">
        <v>2850</v>
      </c>
      <c r="H36" s="16"/>
      <c r="I36" s="16">
        <v>256.5</v>
      </c>
      <c r="J36" s="16">
        <v>256.5</v>
      </c>
      <c r="K36" s="15">
        <f t="shared" si="0"/>
        <v>3363</v>
      </c>
      <c r="L36" s="16" t="s">
        <v>16</v>
      </c>
      <c r="M36" t="s">
        <v>797</v>
      </c>
    </row>
    <row r="37" spans="1:13" x14ac:dyDescent="0.25">
      <c r="A37" s="11" t="s">
        <v>31</v>
      </c>
      <c r="B37" s="12" t="s">
        <v>67</v>
      </c>
      <c r="C37" s="13" t="s">
        <v>123</v>
      </c>
      <c r="D37" s="13">
        <v>82</v>
      </c>
      <c r="E37" t="s">
        <v>510</v>
      </c>
      <c r="F37" s="25">
        <v>45751</v>
      </c>
      <c r="G37" s="26">
        <v>970</v>
      </c>
      <c r="H37" s="16"/>
      <c r="I37" s="16">
        <v>87.3</v>
      </c>
      <c r="J37" s="16">
        <v>87.3</v>
      </c>
      <c r="K37" s="15">
        <f t="shared" si="0"/>
        <v>1144.5999999999999</v>
      </c>
      <c r="L37" s="16" t="s">
        <v>16</v>
      </c>
      <c r="M37" t="s">
        <v>797</v>
      </c>
    </row>
    <row r="38" spans="1:13" s="31" customFormat="1" x14ac:dyDescent="0.25">
      <c r="A38" s="28" t="s">
        <v>32</v>
      </c>
      <c r="B38" s="29" t="s">
        <v>68</v>
      </c>
      <c r="C38" s="30" t="s">
        <v>124</v>
      </c>
      <c r="D38" s="30">
        <v>7</v>
      </c>
      <c r="E38" s="31" t="s">
        <v>511</v>
      </c>
      <c r="F38" s="32">
        <v>45751</v>
      </c>
      <c r="G38" s="33">
        <v>4661.0200000000004</v>
      </c>
      <c r="H38" s="34"/>
      <c r="I38" s="34">
        <v>419.49</v>
      </c>
      <c r="J38" s="34">
        <v>419.49</v>
      </c>
      <c r="K38" s="35">
        <f t="shared" si="0"/>
        <v>5500</v>
      </c>
      <c r="L38" s="34" t="s">
        <v>16</v>
      </c>
      <c r="M38" s="31" t="s">
        <v>798</v>
      </c>
    </row>
    <row r="39" spans="1:13" s="31" customFormat="1" x14ac:dyDescent="0.25">
      <c r="A39" s="28" t="s">
        <v>33</v>
      </c>
      <c r="B39" s="29" t="s">
        <v>69</v>
      </c>
      <c r="C39" s="30" t="s">
        <v>125</v>
      </c>
      <c r="D39" s="30">
        <v>16</v>
      </c>
      <c r="E39" s="31" t="s">
        <v>512</v>
      </c>
      <c r="F39" s="32">
        <v>45751</v>
      </c>
      <c r="G39" s="33">
        <v>3048.31</v>
      </c>
      <c r="H39" s="34"/>
      <c r="I39" s="34">
        <v>274.35000000000002</v>
      </c>
      <c r="J39" s="34">
        <v>274.35000000000002</v>
      </c>
      <c r="K39" s="35">
        <f t="shared" si="0"/>
        <v>3597.0099999999998</v>
      </c>
      <c r="L39" s="34" t="s">
        <v>16</v>
      </c>
      <c r="M39" s="31" t="s">
        <v>798</v>
      </c>
    </row>
    <row r="40" spans="1:13" x14ac:dyDescent="0.25">
      <c r="A40" s="11" t="s">
        <v>17</v>
      </c>
      <c r="B40" s="12" t="s">
        <v>53</v>
      </c>
      <c r="C40" s="13" t="s">
        <v>126</v>
      </c>
      <c r="D40" s="13">
        <v>150</v>
      </c>
      <c r="E40" t="s">
        <v>513</v>
      </c>
      <c r="F40" s="25">
        <v>45751</v>
      </c>
      <c r="G40" s="26">
        <v>4000</v>
      </c>
      <c r="H40" s="16"/>
      <c r="I40" s="16">
        <v>360</v>
      </c>
      <c r="J40" s="16">
        <v>360</v>
      </c>
      <c r="K40" s="15">
        <f t="shared" si="0"/>
        <v>4720</v>
      </c>
      <c r="L40" s="16" t="s">
        <v>16</v>
      </c>
      <c r="M40" t="s">
        <v>797</v>
      </c>
    </row>
    <row r="41" spans="1:13" x14ac:dyDescent="0.25">
      <c r="A41" s="37" t="s">
        <v>17</v>
      </c>
      <c r="B41" t="s">
        <v>53</v>
      </c>
      <c r="C41" t="s">
        <v>127</v>
      </c>
      <c r="D41">
        <v>139</v>
      </c>
      <c r="E41" t="s">
        <v>514</v>
      </c>
      <c r="F41" s="25">
        <v>45751</v>
      </c>
      <c r="G41" s="16">
        <v>1800</v>
      </c>
      <c r="H41" s="16"/>
      <c r="I41" s="16">
        <v>162</v>
      </c>
      <c r="J41" s="16">
        <v>162</v>
      </c>
      <c r="K41" s="15">
        <f t="shared" si="0"/>
        <v>2124</v>
      </c>
      <c r="L41" s="16" t="s">
        <v>16</v>
      </c>
      <c r="M41" t="s">
        <v>797</v>
      </c>
    </row>
    <row r="42" spans="1:13" x14ac:dyDescent="0.25">
      <c r="A42" s="37" t="s">
        <v>17</v>
      </c>
      <c r="B42" t="s">
        <v>53</v>
      </c>
      <c r="C42" t="s">
        <v>128</v>
      </c>
      <c r="D42">
        <v>138</v>
      </c>
      <c r="E42" t="s">
        <v>515</v>
      </c>
      <c r="F42" s="25">
        <v>45751</v>
      </c>
      <c r="G42" s="16">
        <v>4000</v>
      </c>
      <c r="H42" s="16"/>
      <c r="I42" s="16">
        <v>360</v>
      </c>
      <c r="J42" s="16">
        <v>360</v>
      </c>
      <c r="K42" s="15">
        <f t="shared" si="0"/>
        <v>4720</v>
      </c>
      <c r="L42" s="16" t="s">
        <v>16</v>
      </c>
      <c r="M42" t="s">
        <v>797</v>
      </c>
    </row>
    <row r="43" spans="1:13" x14ac:dyDescent="0.25">
      <c r="A43" s="37" t="s">
        <v>31</v>
      </c>
      <c r="B43" t="s">
        <v>67</v>
      </c>
      <c r="C43" t="s">
        <v>129</v>
      </c>
      <c r="D43">
        <v>119</v>
      </c>
      <c r="E43" t="s">
        <v>516</v>
      </c>
      <c r="F43" s="25">
        <v>45751</v>
      </c>
      <c r="G43" s="16">
        <v>11600</v>
      </c>
      <c r="H43" s="16"/>
      <c r="I43" s="16">
        <v>1044</v>
      </c>
      <c r="J43" s="16">
        <v>1044</v>
      </c>
      <c r="K43" s="15">
        <f t="shared" si="0"/>
        <v>13688</v>
      </c>
      <c r="L43" s="16" t="s">
        <v>16</v>
      </c>
      <c r="M43" t="s">
        <v>797</v>
      </c>
    </row>
    <row r="44" spans="1:13" x14ac:dyDescent="0.25">
      <c r="A44" s="37" t="s">
        <v>37</v>
      </c>
      <c r="B44" t="s">
        <v>73</v>
      </c>
      <c r="C44" t="s">
        <v>130</v>
      </c>
      <c r="D44">
        <v>14</v>
      </c>
      <c r="E44" t="s">
        <v>517</v>
      </c>
      <c r="F44" s="25">
        <v>45751</v>
      </c>
      <c r="G44" s="16">
        <v>1000</v>
      </c>
      <c r="H44" s="16"/>
      <c r="I44" s="16">
        <v>90</v>
      </c>
      <c r="J44" s="16">
        <v>90</v>
      </c>
      <c r="K44" s="15">
        <f t="shared" si="0"/>
        <v>1180</v>
      </c>
      <c r="L44" s="16" t="s">
        <v>16</v>
      </c>
      <c r="M44" t="s">
        <v>797</v>
      </c>
    </row>
    <row r="45" spans="1:13" x14ac:dyDescent="0.25">
      <c r="A45" s="37" t="s">
        <v>22</v>
      </c>
      <c r="B45" t="s">
        <v>58</v>
      </c>
      <c r="C45" t="s">
        <v>131</v>
      </c>
      <c r="D45">
        <v>67</v>
      </c>
      <c r="E45" t="s">
        <v>518</v>
      </c>
      <c r="F45" s="25">
        <v>45751</v>
      </c>
      <c r="G45" s="16">
        <v>700</v>
      </c>
      <c r="H45" s="16"/>
      <c r="I45" s="16">
        <v>63</v>
      </c>
      <c r="J45" s="16">
        <v>63</v>
      </c>
      <c r="K45" s="15">
        <f t="shared" si="0"/>
        <v>826</v>
      </c>
      <c r="L45" s="16" t="s">
        <v>16</v>
      </c>
      <c r="M45" t="s">
        <v>797</v>
      </c>
    </row>
    <row r="46" spans="1:13" x14ac:dyDescent="0.25">
      <c r="A46" s="37" t="s">
        <v>31</v>
      </c>
      <c r="B46" t="s">
        <v>67</v>
      </c>
      <c r="C46" t="s">
        <v>132</v>
      </c>
      <c r="D46">
        <v>124</v>
      </c>
      <c r="E46" t="s">
        <v>519</v>
      </c>
      <c r="F46" s="25">
        <v>45751</v>
      </c>
      <c r="G46" s="16">
        <v>7000</v>
      </c>
      <c r="H46" s="16"/>
      <c r="I46" s="16">
        <v>630</v>
      </c>
      <c r="J46" s="16">
        <v>630</v>
      </c>
      <c r="K46" s="15">
        <f t="shared" si="0"/>
        <v>8260</v>
      </c>
      <c r="L46" s="16" t="s">
        <v>16</v>
      </c>
      <c r="M46" t="s">
        <v>797</v>
      </c>
    </row>
    <row r="47" spans="1:13" x14ac:dyDescent="0.25">
      <c r="A47" s="37" t="s">
        <v>38</v>
      </c>
      <c r="B47" t="s">
        <v>74</v>
      </c>
      <c r="C47" t="s">
        <v>133</v>
      </c>
      <c r="D47">
        <v>70</v>
      </c>
      <c r="E47" t="s">
        <v>520</v>
      </c>
      <c r="F47" s="25">
        <v>45752</v>
      </c>
      <c r="G47">
        <v>3050.85</v>
      </c>
      <c r="I47">
        <v>274.58</v>
      </c>
      <c r="J47">
        <v>274.58</v>
      </c>
      <c r="K47" s="15">
        <f t="shared" si="0"/>
        <v>3600.0099999999998</v>
      </c>
      <c r="L47" s="16" t="s">
        <v>16</v>
      </c>
      <c r="M47" t="s">
        <v>797</v>
      </c>
    </row>
    <row r="48" spans="1:13" x14ac:dyDescent="0.25">
      <c r="A48" s="37" t="s">
        <v>17</v>
      </c>
      <c r="B48" t="s">
        <v>53</v>
      </c>
      <c r="C48" t="s">
        <v>134</v>
      </c>
      <c r="D48">
        <v>169</v>
      </c>
      <c r="E48" t="s">
        <v>521</v>
      </c>
      <c r="F48" s="25">
        <v>45752</v>
      </c>
      <c r="G48">
        <v>7000</v>
      </c>
      <c r="I48">
        <v>630</v>
      </c>
      <c r="J48">
        <v>630</v>
      </c>
      <c r="K48" s="15">
        <f t="shared" si="0"/>
        <v>8260</v>
      </c>
      <c r="L48" s="16" t="s">
        <v>16</v>
      </c>
      <c r="M48" t="s">
        <v>797</v>
      </c>
    </row>
    <row r="49" spans="1:13" x14ac:dyDescent="0.25">
      <c r="A49" s="37" t="s">
        <v>22</v>
      </c>
      <c r="B49" t="s">
        <v>58</v>
      </c>
      <c r="C49" t="s">
        <v>135</v>
      </c>
      <c r="D49">
        <v>82</v>
      </c>
      <c r="E49" t="s">
        <v>522</v>
      </c>
      <c r="F49" s="25">
        <v>45752</v>
      </c>
      <c r="G49">
        <v>600</v>
      </c>
      <c r="I49">
        <v>54</v>
      </c>
      <c r="J49">
        <v>54</v>
      </c>
      <c r="K49" s="15">
        <f t="shared" si="0"/>
        <v>708</v>
      </c>
      <c r="L49" s="16" t="s">
        <v>16</v>
      </c>
      <c r="M49" t="s">
        <v>797</v>
      </c>
    </row>
    <row r="50" spans="1:13" x14ac:dyDescent="0.25">
      <c r="A50" s="37" t="s">
        <v>31</v>
      </c>
      <c r="B50" t="s">
        <v>67</v>
      </c>
      <c r="C50" t="s">
        <v>136</v>
      </c>
      <c r="D50">
        <v>128</v>
      </c>
      <c r="E50" t="s">
        <v>523</v>
      </c>
      <c r="F50" s="25">
        <v>45752</v>
      </c>
      <c r="G50">
        <v>250</v>
      </c>
      <c r="I50">
        <v>22.5</v>
      </c>
      <c r="J50">
        <v>22.5</v>
      </c>
      <c r="K50" s="15">
        <f t="shared" si="0"/>
        <v>295</v>
      </c>
      <c r="L50" s="16" t="s">
        <v>16</v>
      </c>
      <c r="M50" t="s">
        <v>797</v>
      </c>
    </row>
    <row r="51" spans="1:13" x14ac:dyDescent="0.25">
      <c r="A51" s="37" t="s">
        <v>35</v>
      </c>
      <c r="B51" t="s">
        <v>71</v>
      </c>
      <c r="C51" t="s">
        <v>137</v>
      </c>
      <c r="D51">
        <v>4013</v>
      </c>
      <c r="E51" t="s">
        <v>524</v>
      </c>
      <c r="F51" s="25">
        <v>45752</v>
      </c>
      <c r="G51">
        <v>6150</v>
      </c>
      <c r="H51">
        <v>1107</v>
      </c>
      <c r="K51" s="15">
        <f t="shared" si="0"/>
        <v>7257</v>
      </c>
      <c r="L51" s="16" t="s">
        <v>16</v>
      </c>
      <c r="M51" t="s">
        <v>797</v>
      </c>
    </row>
    <row r="52" spans="1:13" x14ac:dyDescent="0.25">
      <c r="A52" s="37" t="s">
        <v>17</v>
      </c>
      <c r="B52" t="s">
        <v>53</v>
      </c>
      <c r="C52" t="s">
        <v>138</v>
      </c>
      <c r="D52">
        <v>218</v>
      </c>
      <c r="E52" t="s">
        <v>525</v>
      </c>
      <c r="F52" s="25">
        <v>45754</v>
      </c>
      <c r="G52">
        <v>4500</v>
      </c>
      <c r="I52">
        <v>405</v>
      </c>
      <c r="J52">
        <v>405</v>
      </c>
      <c r="K52" s="15">
        <f t="shared" si="0"/>
        <v>5310</v>
      </c>
      <c r="L52" s="16" t="s">
        <v>16</v>
      </c>
      <c r="M52" t="s">
        <v>797</v>
      </c>
    </row>
    <row r="53" spans="1:13" x14ac:dyDescent="0.25">
      <c r="A53" s="37" t="s">
        <v>31</v>
      </c>
      <c r="B53" t="s">
        <v>67</v>
      </c>
      <c r="C53" t="s">
        <v>139</v>
      </c>
      <c r="D53">
        <v>173</v>
      </c>
      <c r="E53" t="s">
        <v>526</v>
      </c>
      <c r="F53" s="25">
        <v>45754</v>
      </c>
      <c r="G53">
        <v>600</v>
      </c>
      <c r="I53">
        <v>54</v>
      </c>
      <c r="J53">
        <v>54</v>
      </c>
      <c r="K53" s="15">
        <f t="shared" si="0"/>
        <v>708</v>
      </c>
      <c r="L53" s="16" t="s">
        <v>16</v>
      </c>
      <c r="M53" t="s">
        <v>797</v>
      </c>
    </row>
    <row r="54" spans="1:13" x14ac:dyDescent="0.25">
      <c r="A54" s="37" t="s">
        <v>31</v>
      </c>
      <c r="B54" t="s">
        <v>67</v>
      </c>
      <c r="C54" t="s">
        <v>140</v>
      </c>
      <c r="D54">
        <v>179</v>
      </c>
      <c r="E54" t="s">
        <v>527</v>
      </c>
      <c r="F54" s="25">
        <v>45754</v>
      </c>
      <c r="G54">
        <v>400</v>
      </c>
      <c r="I54">
        <v>36</v>
      </c>
      <c r="J54">
        <v>36</v>
      </c>
      <c r="K54" s="15">
        <f t="shared" si="0"/>
        <v>472</v>
      </c>
      <c r="L54" s="16" t="s">
        <v>16</v>
      </c>
      <c r="M54" t="s">
        <v>797</v>
      </c>
    </row>
    <row r="55" spans="1:13" x14ac:dyDescent="0.25">
      <c r="A55" s="37" t="s">
        <v>17</v>
      </c>
      <c r="B55" t="s">
        <v>53</v>
      </c>
      <c r="C55" t="s">
        <v>141</v>
      </c>
      <c r="D55">
        <v>226</v>
      </c>
      <c r="E55" t="s">
        <v>528</v>
      </c>
      <c r="F55" s="25">
        <v>45754</v>
      </c>
      <c r="G55">
        <v>1900</v>
      </c>
      <c r="I55">
        <v>171</v>
      </c>
      <c r="J55">
        <v>171</v>
      </c>
      <c r="K55" s="15">
        <f t="shared" si="0"/>
        <v>2242</v>
      </c>
      <c r="L55" s="16" t="s">
        <v>16</v>
      </c>
      <c r="M55" t="s">
        <v>797</v>
      </c>
    </row>
    <row r="56" spans="1:13" x14ac:dyDescent="0.25">
      <c r="A56" s="37" t="s">
        <v>20</v>
      </c>
      <c r="B56" t="s">
        <v>56</v>
      </c>
      <c r="C56" t="s">
        <v>142</v>
      </c>
      <c r="D56">
        <v>69</v>
      </c>
      <c r="E56" t="s">
        <v>529</v>
      </c>
      <c r="F56" s="25">
        <v>45754</v>
      </c>
      <c r="G56">
        <v>5000</v>
      </c>
      <c r="I56">
        <v>450</v>
      </c>
      <c r="J56">
        <v>450</v>
      </c>
      <c r="K56" s="15">
        <f t="shared" si="0"/>
        <v>5900</v>
      </c>
      <c r="L56" s="16" t="s">
        <v>16</v>
      </c>
      <c r="M56" t="s">
        <v>797</v>
      </c>
    </row>
    <row r="57" spans="1:13" x14ac:dyDescent="0.25">
      <c r="A57" s="37" t="s">
        <v>21</v>
      </c>
      <c r="B57" t="s">
        <v>57</v>
      </c>
      <c r="C57" t="s">
        <v>143</v>
      </c>
      <c r="D57">
        <v>14</v>
      </c>
      <c r="E57" t="s">
        <v>530</v>
      </c>
      <c r="F57" s="25">
        <v>45754</v>
      </c>
      <c r="G57">
        <v>20200</v>
      </c>
      <c r="I57">
        <v>1818</v>
      </c>
      <c r="J57">
        <v>1818</v>
      </c>
      <c r="K57" s="15">
        <f t="shared" si="0"/>
        <v>23836</v>
      </c>
      <c r="L57" s="16" t="s">
        <v>16</v>
      </c>
      <c r="M57" t="s">
        <v>797</v>
      </c>
    </row>
    <row r="58" spans="1:13" x14ac:dyDescent="0.25">
      <c r="A58" s="37" t="s">
        <v>31</v>
      </c>
      <c r="B58" t="s">
        <v>67</v>
      </c>
      <c r="C58" t="s">
        <v>144</v>
      </c>
      <c r="D58">
        <v>192</v>
      </c>
      <c r="E58" t="s">
        <v>531</v>
      </c>
      <c r="F58" s="25">
        <v>45754</v>
      </c>
      <c r="G58">
        <v>1650</v>
      </c>
      <c r="I58">
        <v>148.5</v>
      </c>
      <c r="J58">
        <v>148.5</v>
      </c>
      <c r="K58" s="15">
        <f t="shared" si="0"/>
        <v>1947</v>
      </c>
      <c r="L58" s="16" t="s">
        <v>16</v>
      </c>
      <c r="M58" t="s">
        <v>797</v>
      </c>
    </row>
    <row r="59" spans="1:13" x14ac:dyDescent="0.25">
      <c r="A59" s="37" t="s">
        <v>17</v>
      </c>
      <c r="B59" t="s">
        <v>53</v>
      </c>
      <c r="C59" t="s">
        <v>145</v>
      </c>
      <c r="D59">
        <v>246</v>
      </c>
      <c r="E59" t="s">
        <v>532</v>
      </c>
      <c r="F59" s="25">
        <v>45754</v>
      </c>
      <c r="G59">
        <v>4000</v>
      </c>
      <c r="I59">
        <v>360</v>
      </c>
      <c r="J59">
        <v>360</v>
      </c>
      <c r="K59" s="15">
        <f t="shared" si="0"/>
        <v>4720</v>
      </c>
      <c r="L59" s="16" t="s">
        <v>16</v>
      </c>
      <c r="M59" t="s">
        <v>797</v>
      </c>
    </row>
    <row r="60" spans="1:13" s="31" customFormat="1" x14ac:dyDescent="0.25">
      <c r="A60" s="38" t="s">
        <v>39</v>
      </c>
      <c r="B60" s="31" t="s">
        <v>75</v>
      </c>
      <c r="C60" s="39" t="s">
        <v>146</v>
      </c>
      <c r="D60" s="39">
        <v>12</v>
      </c>
      <c r="E60" s="31" t="s">
        <v>533</v>
      </c>
      <c r="F60" s="32">
        <v>45754</v>
      </c>
      <c r="G60" s="31">
        <v>7600</v>
      </c>
      <c r="H60" s="31">
        <v>1368</v>
      </c>
      <c r="K60" s="35">
        <f t="shared" si="0"/>
        <v>8968</v>
      </c>
      <c r="L60" s="34" t="s">
        <v>16</v>
      </c>
      <c r="M60" s="31" t="s">
        <v>798</v>
      </c>
    </row>
    <row r="61" spans="1:13" x14ac:dyDescent="0.25">
      <c r="A61" s="37" t="s">
        <v>23</v>
      </c>
      <c r="B61" t="s">
        <v>59</v>
      </c>
      <c r="C61" t="s">
        <v>147</v>
      </c>
      <c r="D61">
        <v>868</v>
      </c>
      <c r="E61" t="s">
        <v>534</v>
      </c>
      <c r="F61" s="25">
        <v>45755</v>
      </c>
      <c r="G61">
        <v>2350</v>
      </c>
      <c r="I61">
        <v>211.5</v>
      </c>
      <c r="J61">
        <v>211.5</v>
      </c>
      <c r="K61" s="15">
        <f t="shared" si="0"/>
        <v>2773</v>
      </c>
      <c r="L61" s="16" t="s">
        <v>16</v>
      </c>
      <c r="M61" t="s">
        <v>797</v>
      </c>
    </row>
    <row r="62" spans="1:13" x14ac:dyDescent="0.25">
      <c r="A62" s="37" t="s">
        <v>23</v>
      </c>
      <c r="B62" t="s">
        <v>59</v>
      </c>
      <c r="C62" t="s">
        <v>148</v>
      </c>
      <c r="D62">
        <v>861</v>
      </c>
      <c r="E62" t="s">
        <v>535</v>
      </c>
      <c r="F62" s="25">
        <v>45755</v>
      </c>
      <c r="G62">
        <v>1300</v>
      </c>
      <c r="I62">
        <v>117</v>
      </c>
      <c r="J62">
        <v>117</v>
      </c>
      <c r="K62" s="15">
        <f t="shared" si="0"/>
        <v>1534</v>
      </c>
      <c r="L62" s="16" t="s">
        <v>16</v>
      </c>
      <c r="M62" t="s">
        <v>797</v>
      </c>
    </row>
    <row r="63" spans="1:13" x14ac:dyDescent="0.25">
      <c r="A63" s="37" t="s">
        <v>22</v>
      </c>
      <c r="B63" t="s">
        <v>58</v>
      </c>
      <c r="C63" t="s">
        <v>149</v>
      </c>
      <c r="D63">
        <v>117</v>
      </c>
      <c r="E63" t="s">
        <v>536</v>
      </c>
      <c r="F63" s="25">
        <v>45755</v>
      </c>
      <c r="G63">
        <v>200</v>
      </c>
      <c r="I63">
        <v>18</v>
      </c>
      <c r="J63">
        <v>18</v>
      </c>
      <c r="K63" s="15">
        <f t="shared" si="0"/>
        <v>236</v>
      </c>
      <c r="L63" s="16" t="s">
        <v>16</v>
      </c>
      <c r="M63" t="s">
        <v>797</v>
      </c>
    </row>
    <row r="64" spans="1:13" x14ac:dyDescent="0.25">
      <c r="A64" s="37" t="s">
        <v>22</v>
      </c>
      <c r="B64" t="s">
        <v>58</v>
      </c>
      <c r="C64" t="s">
        <v>150</v>
      </c>
      <c r="D64">
        <v>116</v>
      </c>
      <c r="E64" t="s">
        <v>537</v>
      </c>
      <c r="F64" s="25">
        <v>45755</v>
      </c>
      <c r="G64">
        <v>400</v>
      </c>
      <c r="I64">
        <v>36</v>
      </c>
      <c r="J64">
        <v>36</v>
      </c>
      <c r="K64" s="15">
        <f t="shared" si="0"/>
        <v>472</v>
      </c>
      <c r="L64" s="16" t="s">
        <v>16</v>
      </c>
      <c r="M64" t="s">
        <v>797</v>
      </c>
    </row>
    <row r="65" spans="1:13" x14ac:dyDescent="0.25">
      <c r="A65" s="37" t="s">
        <v>18</v>
      </c>
      <c r="B65" t="s">
        <v>54</v>
      </c>
      <c r="C65" t="s">
        <v>151</v>
      </c>
      <c r="D65">
        <v>348</v>
      </c>
      <c r="E65" t="s">
        <v>538</v>
      </c>
      <c r="F65" s="25">
        <v>45755</v>
      </c>
      <c r="G65">
        <v>1300</v>
      </c>
      <c r="I65">
        <v>117</v>
      </c>
      <c r="J65">
        <v>117</v>
      </c>
      <c r="K65" s="15">
        <f t="shared" si="0"/>
        <v>1534</v>
      </c>
      <c r="L65" s="16" t="s">
        <v>16</v>
      </c>
      <c r="M65" t="s">
        <v>797</v>
      </c>
    </row>
    <row r="66" spans="1:13" x14ac:dyDescent="0.25">
      <c r="A66" s="37" t="s">
        <v>17</v>
      </c>
      <c r="B66" t="s">
        <v>53</v>
      </c>
      <c r="C66" t="s">
        <v>152</v>
      </c>
      <c r="D66">
        <v>254</v>
      </c>
      <c r="E66" t="s">
        <v>539</v>
      </c>
      <c r="F66" s="25">
        <v>45755</v>
      </c>
      <c r="G66">
        <v>22000</v>
      </c>
      <c r="I66">
        <v>1980</v>
      </c>
      <c r="J66">
        <v>1980</v>
      </c>
      <c r="K66" s="15">
        <f t="shared" si="0"/>
        <v>25960</v>
      </c>
      <c r="L66" s="16" t="s">
        <v>16</v>
      </c>
      <c r="M66" t="s">
        <v>797</v>
      </c>
    </row>
    <row r="67" spans="1:13" x14ac:dyDescent="0.25">
      <c r="A67" s="37" t="s">
        <v>19</v>
      </c>
      <c r="B67" t="s">
        <v>55</v>
      </c>
      <c r="C67" t="s">
        <v>153</v>
      </c>
      <c r="D67">
        <v>404</v>
      </c>
      <c r="E67" t="s">
        <v>540</v>
      </c>
      <c r="F67" s="25">
        <v>45755</v>
      </c>
      <c r="G67">
        <v>1991.53</v>
      </c>
      <c r="I67">
        <v>179.24</v>
      </c>
      <c r="J67">
        <v>179.24</v>
      </c>
      <c r="K67" s="15">
        <f t="shared" ref="K67:K130" si="1">G67+H67+I67+J67</f>
        <v>2350.0100000000002</v>
      </c>
      <c r="L67" s="16" t="s">
        <v>16</v>
      </c>
      <c r="M67" t="s">
        <v>797</v>
      </c>
    </row>
    <row r="68" spans="1:13" x14ac:dyDescent="0.25">
      <c r="A68" s="37" t="s">
        <v>31</v>
      </c>
      <c r="B68" t="s">
        <v>67</v>
      </c>
      <c r="C68" t="s">
        <v>154</v>
      </c>
      <c r="D68">
        <v>224</v>
      </c>
      <c r="E68" t="s">
        <v>541</v>
      </c>
      <c r="F68" s="25">
        <v>45755</v>
      </c>
      <c r="G68">
        <v>600</v>
      </c>
      <c r="I68">
        <v>54</v>
      </c>
      <c r="J68">
        <v>54</v>
      </c>
      <c r="K68" s="15">
        <f t="shared" si="1"/>
        <v>708</v>
      </c>
      <c r="L68" s="16" t="s">
        <v>16</v>
      </c>
      <c r="M68" t="s">
        <v>797</v>
      </c>
    </row>
    <row r="69" spans="1:13" x14ac:dyDescent="0.25">
      <c r="A69" s="37" t="s">
        <v>22</v>
      </c>
      <c r="B69" t="s">
        <v>58</v>
      </c>
      <c r="C69" s="40" t="s">
        <v>155</v>
      </c>
      <c r="D69" s="40">
        <v>113</v>
      </c>
      <c r="E69" t="s">
        <v>542</v>
      </c>
      <c r="F69" s="25">
        <v>45755</v>
      </c>
      <c r="G69">
        <v>450</v>
      </c>
      <c r="I69">
        <v>40.5</v>
      </c>
      <c r="J69">
        <v>40.5</v>
      </c>
      <c r="K69" s="15">
        <f t="shared" si="1"/>
        <v>531</v>
      </c>
      <c r="L69" s="16" t="s">
        <v>16</v>
      </c>
      <c r="M69" t="s">
        <v>797</v>
      </c>
    </row>
    <row r="70" spans="1:13" x14ac:dyDescent="0.25">
      <c r="A70" s="37" t="s">
        <v>31</v>
      </c>
      <c r="B70" t="s">
        <v>67</v>
      </c>
      <c r="C70" t="s">
        <v>156</v>
      </c>
      <c r="D70">
        <v>208</v>
      </c>
      <c r="E70" t="s">
        <v>543</v>
      </c>
      <c r="F70" s="25">
        <v>45755</v>
      </c>
      <c r="G70">
        <v>3630</v>
      </c>
      <c r="I70">
        <v>326.7</v>
      </c>
      <c r="J70">
        <v>326.7</v>
      </c>
      <c r="K70" s="15">
        <f t="shared" si="1"/>
        <v>4283.3999999999996</v>
      </c>
      <c r="L70" s="16" t="s">
        <v>16</v>
      </c>
      <c r="M70" t="s">
        <v>797</v>
      </c>
    </row>
    <row r="71" spans="1:13" x14ac:dyDescent="0.25">
      <c r="A71" s="37" t="s">
        <v>29</v>
      </c>
      <c r="B71" t="s">
        <v>65</v>
      </c>
      <c r="C71" t="s">
        <v>157</v>
      </c>
      <c r="D71">
        <v>50</v>
      </c>
      <c r="E71" t="s">
        <v>544</v>
      </c>
      <c r="F71" s="25">
        <v>45755</v>
      </c>
      <c r="G71">
        <v>2203.39</v>
      </c>
      <c r="I71">
        <v>198.31</v>
      </c>
      <c r="J71">
        <v>198.31</v>
      </c>
      <c r="K71" s="15">
        <f t="shared" si="1"/>
        <v>2600.0099999999998</v>
      </c>
      <c r="L71" s="16" t="s">
        <v>16</v>
      </c>
      <c r="M71" t="s">
        <v>797</v>
      </c>
    </row>
    <row r="72" spans="1:13" x14ac:dyDescent="0.25">
      <c r="A72" s="37" t="s">
        <v>35</v>
      </c>
      <c r="B72" t="s">
        <v>71</v>
      </c>
      <c r="C72" t="s">
        <v>158</v>
      </c>
      <c r="D72">
        <v>4018</v>
      </c>
      <c r="E72" t="s">
        <v>545</v>
      </c>
      <c r="F72" s="25">
        <v>45755</v>
      </c>
      <c r="G72">
        <v>14400</v>
      </c>
      <c r="H72">
        <v>2592</v>
      </c>
      <c r="K72" s="15">
        <f t="shared" si="1"/>
        <v>16992</v>
      </c>
      <c r="L72" s="16" t="s">
        <v>16</v>
      </c>
      <c r="M72" t="s">
        <v>797</v>
      </c>
    </row>
    <row r="73" spans="1:13" s="31" customFormat="1" x14ac:dyDescent="0.25">
      <c r="A73" s="38" t="s">
        <v>39</v>
      </c>
      <c r="B73" s="31" t="s">
        <v>75</v>
      </c>
      <c r="C73" s="39" t="s">
        <v>159</v>
      </c>
      <c r="D73" s="39">
        <v>16</v>
      </c>
      <c r="E73" s="31" t="s">
        <v>546</v>
      </c>
      <c r="F73" s="32">
        <v>45755</v>
      </c>
      <c r="G73" s="31">
        <v>33700</v>
      </c>
      <c r="H73" s="31">
        <v>6066</v>
      </c>
      <c r="K73" s="35">
        <f t="shared" si="1"/>
        <v>39766</v>
      </c>
      <c r="L73" s="34" t="s">
        <v>16</v>
      </c>
      <c r="M73" s="31" t="s">
        <v>798</v>
      </c>
    </row>
    <row r="74" spans="1:13" x14ac:dyDescent="0.25">
      <c r="A74" s="37" t="s">
        <v>31</v>
      </c>
      <c r="B74" t="s">
        <v>67</v>
      </c>
      <c r="C74" t="s">
        <v>160</v>
      </c>
      <c r="D74">
        <v>234</v>
      </c>
      <c r="E74" t="s">
        <v>547</v>
      </c>
      <c r="F74" s="25">
        <v>45756</v>
      </c>
      <c r="G74">
        <v>850</v>
      </c>
      <c r="I74">
        <v>76.5</v>
      </c>
      <c r="J74">
        <v>76.5</v>
      </c>
      <c r="K74" s="15">
        <f t="shared" si="1"/>
        <v>1003</v>
      </c>
      <c r="L74" s="16" t="s">
        <v>16</v>
      </c>
      <c r="M74" t="s">
        <v>797</v>
      </c>
    </row>
    <row r="75" spans="1:13" x14ac:dyDescent="0.25">
      <c r="A75" s="37" t="s">
        <v>40</v>
      </c>
      <c r="B75" t="s">
        <v>76</v>
      </c>
      <c r="C75" t="s">
        <v>161</v>
      </c>
      <c r="D75">
        <v>203</v>
      </c>
      <c r="E75" t="s">
        <v>548</v>
      </c>
      <c r="F75" s="25">
        <v>45756</v>
      </c>
      <c r="G75">
        <v>450</v>
      </c>
      <c r="I75">
        <v>40.5</v>
      </c>
      <c r="J75">
        <v>40.5</v>
      </c>
      <c r="K75" s="15">
        <f t="shared" si="1"/>
        <v>531</v>
      </c>
      <c r="L75" s="16" t="s">
        <v>16</v>
      </c>
      <c r="M75" t="s">
        <v>797</v>
      </c>
    </row>
    <row r="76" spans="1:13" x14ac:dyDescent="0.25">
      <c r="A76" s="37" t="s">
        <v>31</v>
      </c>
      <c r="B76" t="s">
        <v>67</v>
      </c>
      <c r="C76" t="s">
        <v>162</v>
      </c>
      <c r="D76">
        <v>263</v>
      </c>
      <c r="E76" t="s">
        <v>549</v>
      </c>
      <c r="F76" s="25">
        <v>45756</v>
      </c>
      <c r="G76">
        <v>1000</v>
      </c>
      <c r="I76">
        <v>90</v>
      </c>
      <c r="J76">
        <v>90</v>
      </c>
      <c r="K76" s="15">
        <f t="shared" si="1"/>
        <v>1180</v>
      </c>
      <c r="L76" s="16" t="s">
        <v>16</v>
      </c>
      <c r="M76" t="s">
        <v>797</v>
      </c>
    </row>
    <row r="77" spans="1:13" x14ac:dyDescent="0.25">
      <c r="A77" s="37" t="s">
        <v>41</v>
      </c>
      <c r="B77" t="s">
        <v>77</v>
      </c>
      <c r="C77" t="s">
        <v>163</v>
      </c>
      <c r="D77">
        <v>60</v>
      </c>
      <c r="E77" t="s">
        <v>550</v>
      </c>
      <c r="F77" s="25">
        <v>45756</v>
      </c>
      <c r="G77">
        <v>150</v>
      </c>
      <c r="I77">
        <v>13.5</v>
      </c>
      <c r="J77">
        <v>13.5</v>
      </c>
      <c r="K77" s="15">
        <f t="shared" si="1"/>
        <v>177</v>
      </c>
      <c r="L77" s="16" t="s">
        <v>16</v>
      </c>
      <c r="M77" t="s">
        <v>797</v>
      </c>
    </row>
    <row r="78" spans="1:13" x14ac:dyDescent="0.25">
      <c r="A78" s="37" t="s">
        <v>17</v>
      </c>
      <c r="B78" s="12" t="s">
        <v>53</v>
      </c>
      <c r="C78" t="s">
        <v>164</v>
      </c>
      <c r="D78">
        <v>295</v>
      </c>
      <c r="E78" t="s">
        <v>551</v>
      </c>
      <c r="F78" s="25">
        <v>45756</v>
      </c>
      <c r="G78">
        <v>4500</v>
      </c>
      <c r="I78">
        <v>405</v>
      </c>
      <c r="J78">
        <v>405</v>
      </c>
      <c r="K78" s="15">
        <f t="shared" si="1"/>
        <v>5310</v>
      </c>
      <c r="L78" s="16" t="s">
        <v>16</v>
      </c>
      <c r="M78" t="s">
        <v>797</v>
      </c>
    </row>
    <row r="79" spans="1:13" x14ac:dyDescent="0.25">
      <c r="A79" s="37" t="s">
        <v>31</v>
      </c>
      <c r="B79" s="12" t="s">
        <v>67</v>
      </c>
      <c r="C79" t="s">
        <v>165</v>
      </c>
      <c r="D79">
        <v>244</v>
      </c>
      <c r="E79" t="s">
        <v>552</v>
      </c>
      <c r="F79" s="25">
        <v>45756</v>
      </c>
      <c r="G79">
        <v>3250</v>
      </c>
      <c r="I79">
        <v>292.5</v>
      </c>
      <c r="J79">
        <v>292.5</v>
      </c>
      <c r="K79" s="15">
        <f t="shared" si="1"/>
        <v>3835</v>
      </c>
      <c r="L79" s="16" t="s">
        <v>16</v>
      </c>
      <c r="M79" t="s">
        <v>797</v>
      </c>
    </row>
    <row r="80" spans="1:13" x14ac:dyDescent="0.25">
      <c r="A80" s="37" t="s">
        <v>31</v>
      </c>
      <c r="B80" t="s">
        <v>67</v>
      </c>
      <c r="C80" t="s">
        <v>166</v>
      </c>
      <c r="D80">
        <v>237</v>
      </c>
      <c r="E80" t="s">
        <v>553</v>
      </c>
      <c r="F80" s="25">
        <v>45756</v>
      </c>
      <c r="G80">
        <v>1000</v>
      </c>
      <c r="I80">
        <v>90</v>
      </c>
      <c r="J80">
        <v>90</v>
      </c>
      <c r="K80" s="15">
        <f t="shared" si="1"/>
        <v>1180</v>
      </c>
      <c r="L80" s="16" t="s">
        <v>16</v>
      </c>
      <c r="M80" t="s">
        <v>797</v>
      </c>
    </row>
    <row r="81" spans="1:13" x14ac:dyDescent="0.25">
      <c r="A81" s="37" t="s">
        <v>31</v>
      </c>
      <c r="B81" t="s">
        <v>67</v>
      </c>
      <c r="C81" t="s">
        <v>167</v>
      </c>
      <c r="D81">
        <v>239</v>
      </c>
      <c r="E81" t="s">
        <v>554</v>
      </c>
      <c r="F81" s="25">
        <v>45756</v>
      </c>
      <c r="G81">
        <v>6500</v>
      </c>
      <c r="I81">
        <v>585</v>
      </c>
      <c r="J81">
        <v>585</v>
      </c>
      <c r="K81" s="15">
        <f t="shared" si="1"/>
        <v>7670</v>
      </c>
      <c r="L81" s="16" t="s">
        <v>16</v>
      </c>
      <c r="M81" t="s">
        <v>797</v>
      </c>
    </row>
    <row r="82" spans="1:13" x14ac:dyDescent="0.25">
      <c r="A82" s="37" t="s">
        <v>31</v>
      </c>
      <c r="B82" t="s">
        <v>67</v>
      </c>
      <c r="C82" t="s">
        <v>168</v>
      </c>
      <c r="D82">
        <v>242</v>
      </c>
      <c r="E82" t="s">
        <v>555</v>
      </c>
      <c r="F82" s="25">
        <v>45756</v>
      </c>
      <c r="G82">
        <v>10500</v>
      </c>
      <c r="I82">
        <v>945</v>
      </c>
      <c r="J82">
        <v>945</v>
      </c>
      <c r="K82" s="15">
        <f t="shared" si="1"/>
        <v>12390</v>
      </c>
      <c r="L82" s="16" t="s">
        <v>16</v>
      </c>
      <c r="M82" t="s">
        <v>797</v>
      </c>
    </row>
    <row r="83" spans="1:13" x14ac:dyDescent="0.25">
      <c r="A83" s="37" t="s">
        <v>17</v>
      </c>
      <c r="B83" t="s">
        <v>53</v>
      </c>
      <c r="C83" t="s">
        <v>169</v>
      </c>
      <c r="D83">
        <v>317</v>
      </c>
      <c r="E83" t="s">
        <v>556</v>
      </c>
      <c r="F83" s="25">
        <v>45756</v>
      </c>
      <c r="G83">
        <v>17000</v>
      </c>
      <c r="I83">
        <v>1530</v>
      </c>
      <c r="J83">
        <v>1530</v>
      </c>
      <c r="K83" s="15">
        <f t="shared" si="1"/>
        <v>20060</v>
      </c>
      <c r="L83" s="16" t="s">
        <v>16</v>
      </c>
      <c r="M83" t="s">
        <v>797</v>
      </c>
    </row>
    <row r="84" spans="1:13" s="42" customFormat="1" x14ac:dyDescent="0.25">
      <c r="A84" s="38" t="s">
        <v>32</v>
      </c>
      <c r="B84" s="42" t="s">
        <v>68</v>
      </c>
      <c r="C84" s="48" t="s">
        <v>170</v>
      </c>
      <c r="D84" s="48">
        <v>12</v>
      </c>
      <c r="E84" s="42" t="s">
        <v>557</v>
      </c>
      <c r="F84" s="49">
        <v>45756</v>
      </c>
      <c r="G84" s="42">
        <v>5593.22</v>
      </c>
      <c r="I84" s="42">
        <v>503.39</v>
      </c>
      <c r="J84" s="42">
        <v>503.39</v>
      </c>
      <c r="K84" s="41">
        <f t="shared" si="1"/>
        <v>6600.0000000000009</v>
      </c>
      <c r="L84" s="35" t="s">
        <v>16</v>
      </c>
      <c r="M84" s="42" t="s">
        <v>798</v>
      </c>
    </row>
    <row r="85" spans="1:13" x14ac:dyDescent="0.25">
      <c r="A85" s="9" t="s">
        <v>35</v>
      </c>
      <c r="B85" t="s">
        <v>71</v>
      </c>
      <c r="C85" t="s">
        <v>171</v>
      </c>
      <c r="D85">
        <v>4021</v>
      </c>
      <c r="E85" t="s">
        <v>558</v>
      </c>
      <c r="F85" s="25">
        <v>45756</v>
      </c>
      <c r="G85">
        <v>8650</v>
      </c>
      <c r="H85">
        <v>1557</v>
      </c>
      <c r="K85" s="15">
        <f t="shared" si="1"/>
        <v>10207</v>
      </c>
      <c r="L85" s="16" t="s">
        <v>16</v>
      </c>
      <c r="M85" t="s">
        <v>797</v>
      </c>
    </row>
    <row r="86" spans="1:13" x14ac:dyDescent="0.25">
      <c r="A86" s="9" t="s">
        <v>42</v>
      </c>
      <c r="B86" t="s">
        <v>78</v>
      </c>
      <c r="C86" t="s">
        <v>172</v>
      </c>
      <c r="D86">
        <v>5</v>
      </c>
      <c r="E86" t="s">
        <v>559</v>
      </c>
      <c r="F86" s="25">
        <v>45756</v>
      </c>
      <c r="G86">
        <v>10445.799999999999</v>
      </c>
      <c r="H86">
        <v>1880.24</v>
      </c>
      <c r="K86" s="15">
        <f t="shared" si="1"/>
        <v>12326.039999999999</v>
      </c>
      <c r="L86" s="16" t="s">
        <v>16</v>
      </c>
      <c r="M86" t="s">
        <v>799</v>
      </c>
    </row>
    <row r="87" spans="1:13" s="31" customFormat="1" x14ac:dyDescent="0.25">
      <c r="A87" s="42" t="s">
        <v>39</v>
      </c>
      <c r="B87" s="31" t="s">
        <v>75</v>
      </c>
      <c r="C87" s="39" t="s">
        <v>173</v>
      </c>
      <c r="D87" s="39">
        <v>19</v>
      </c>
      <c r="E87" s="31" t="s">
        <v>560</v>
      </c>
      <c r="F87" s="32">
        <v>45756</v>
      </c>
      <c r="G87" s="31">
        <v>33200</v>
      </c>
      <c r="H87" s="31">
        <v>5976</v>
      </c>
      <c r="K87" s="35">
        <f t="shared" si="1"/>
        <v>39176</v>
      </c>
      <c r="L87" s="34" t="s">
        <v>16</v>
      </c>
      <c r="M87" s="31" t="s">
        <v>798</v>
      </c>
    </row>
    <row r="88" spans="1:13" s="31" customFormat="1" x14ac:dyDescent="0.25">
      <c r="A88" s="42" t="s">
        <v>43</v>
      </c>
      <c r="B88" s="31" t="s">
        <v>79</v>
      </c>
      <c r="C88" s="39" t="s">
        <v>174</v>
      </c>
      <c r="D88" s="39">
        <v>225</v>
      </c>
      <c r="E88" s="31" t="s">
        <v>561</v>
      </c>
      <c r="F88" s="32">
        <v>45756</v>
      </c>
      <c r="G88" s="31">
        <v>36355.919999999998</v>
      </c>
      <c r="H88" s="31">
        <v>6544.07</v>
      </c>
      <c r="K88" s="35">
        <f t="shared" si="1"/>
        <v>42899.99</v>
      </c>
      <c r="L88" s="34" t="s">
        <v>16</v>
      </c>
      <c r="M88" s="31" t="s">
        <v>798</v>
      </c>
    </row>
    <row r="89" spans="1:13" x14ac:dyDescent="0.25">
      <c r="A89" s="9" t="s">
        <v>29</v>
      </c>
      <c r="B89" t="s">
        <v>65</v>
      </c>
      <c r="C89" t="s">
        <v>175</v>
      </c>
      <c r="D89">
        <v>71</v>
      </c>
      <c r="E89" t="s">
        <v>562</v>
      </c>
      <c r="F89" s="25">
        <v>45757</v>
      </c>
      <c r="G89">
        <v>805.08</v>
      </c>
      <c r="I89">
        <v>72.459999999999994</v>
      </c>
      <c r="J89">
        <v>72.459999999999994</v>
      </c>
      <c r="K89" s="15">
        <f t="shared" si="1"/>
        <v>950.00000000000011</v>
      </c>
      <c r="L89" s="16" t="s">
        <v>16</v>
      </c>
      <c r="M89" t="s">
        <v>797</v>
      </c>
    </row>
    <row r="90" spans="1:13" x14ac:dyDescent="0.25">
      <c r="A90" s="9" t="s">
        <v>23</v>
      </c>
      <c r="B90" t="s">
        <v>59</v>
      </c>
      <c r="C90" t="s">
        <v>176</v>
      </c>
      <c r="D90">
        <v>1133</v>
      </c>
      <c r="E90" t="s">
        <v>563</v>
      </c>
      <c r="F90" s="25">
        <v>45757</v>
      </c>
      <c r="G90">
        <v>270</v>
      </c>
      <c r="I90">
        <v>24.3</v>
      </c>
      <c r="J90">
        <v>24.3</v>
      </c>
      <c r="K90" s="15">
        <f t="shared" si="1"/>
        <v>318.60000000000002</v>
      </c>
      <c r="L90" s="16" t="s">
        <v>16</v>
      </c>
      <c r="M90" t="s">
        <v>797</v>
      </c>
    </row>
    <row r="91" spans="1:13" x14ac:dyDescent="0.25">
      <c r="A91" s="9" t="s">
        <v>23</v>
      </c>
      <c r="B91" t="s">
        <v>59</v>
      </c>
      <c r="C91" t="s">
        <v>177</v>
      </c>
      <c r="D91">
        <v>1227</v>
      </c>
      <c r="E91" t="s">
        <v>564</v>
      </c>
      <c r="F91" s="25">
        <v>45757</v>
      </c>
      <c r="G91">
        <v>900</v>
      </c>
      <c r="I91">
        <v>81</v>
      </c>
      <c r="J91">
        <v>81</v>
      </c>
      <c r="K91" s="15">
        <f t="shared" si="1"/>
        <v>1062</v>
      </c>
      <c r="L91" s="16" t="s">
        <v>16</v>
      </c>
      <c r="M91" t="s">
        <v>797</v>
      </c>
    </row>
    <row r="92" spans="1:13" x14ac:dyDescent="0.25">
      <c r="A92" s="9" t="s">
        <v>26</v>
      </c>
      <c r="B92" t="s">
        <v>62</v>
      </c>
      <c r="C92" t="s">
        <v>178</v>
      </c>
      <c r="D92">
        <v>115</v>
      </c>
      <c r="E92" t="s">
        <v>565</v>
      </c>
      <c r="F92" s="25">
        <v>45757</v>
      </c>
      <c r="G92">
        <v>3500</v>
      </c>
      <c r="I92">
        <v>315</v>
      </c>
      <c r="J92">
        <v>315</v>
      </c>
      <c r="K92" s="15">
        <f t="shared" si="1"/>
        <v>4130</v>
      </c>
      <c r="L92" s="16" t="s">
        <v>16</v>
      </c>
      <c r="M92" t="s">
        <v>797</v>
      </c>
    </row>
    <row r="93" spans="1:13" x14ac:dyDescent="0.25">
      <c r="A93" s="9" t="s">
        <v>44</v>
      </c>
      <c r="B93" t="s">
        <v>80</v>
      </c>
      <c r="C93" t="s">
        <v>179</v>
      </c>
      <c r="D93">
        <v>116</v>
      </c>
      <c r="E93" t="s">
        <v>566</v>
      </c>
      <c r="F93" s="25">
        <v>45757</v>
      </c>
      <c r="G93">
        <v>1300</v>
      </c>
      <c r="I93">
        <v>117</v>
      </c>
      <c r="J93">
        <v>117</v>
      </c>
      <c r="K93" s="15">
        <f t="shared" si="1"/>
        <v>1534</v>
      </c>
      <c r="L93" s="16" t="s">
        <v>16</v>
      </c>
      <c r="M93" t="s">
        <v>797</v>
      </c>
    </row>
    <row r="94" spans="1:13" x14ac:dyDescent="0.25">
      <c r="A94" s="9" t="s">
        <v>31</v>
      </c>
      <c r="B94" t="s">
        <v>67</v>
      </c>
      <c r="C94" t="s">
        <v>180</v>
      </c>
      <c r="D94">
        <v>277</v>
      </c>
      <c r="E94" t="s">
        <v>567</v>
      </c>
      <c r="F94" s="25">
        <v>45757</v>
      </c>
      <c r="G94">
        <v>6000</v>
      </c>
      <c r="I94">
        <v>540</v>
      </c>
      <c r="J94">
        <v>540</v>
      </c>
      <c r="K94" s="15">
        <f t="shared" si="1"/>
        <v>7080</v>
      </c>
      <c r="L94" s="16" t="s">
        <v>16</v>
      </c>
      <c r="M94" t="s">
        <v>797</v>
      </c>
    </row>
    <row r="95" spans="1:13" x14ac:dyDescent="0.25">
      <c r="A95" s="9" t="s">
        <v>22</v>
      </c>
      <c r="B95" t="s">
        <v>58</v>
      </c>
      <c r="C95" t="s">
        <v>181</v>
      </c>
      <c r="D95">
        <v>138</v>
      </c>
      <c r="E95" t="s">
        <v>568</v>
      </c>
      <c r="F95" s="25">
        <v>45757</v>
      </c>
      <c r="G95">
        <v>700</v>
      </c>
      <c r="I95">
        <v>63</v>
      </c>
      <c r="J95">
        <v>63</v>
      </c>
      <c r="K95" s="15">
        <f t="shared" si="1"/>
        <v>826</v>
      </c>
      <c r="L95" s="16" t="s">
        <v>16</v>
      </c>
      <c r="M95" t="s">
        <v>797</v>
      </c>
    </row>
    <row r="96" spans="1:13" x14ac:dyDescent="0.25">
      <c r="A96" s="9" t="s">
        <v>38</v>
      </c>
      <c r="B96" t="s">
        <v>74</v>
      </c>
      <c r="C96" t="s">
        <v>182</v>
      </c>
      <c r="D96">
        <v>146</v>
      </c>
      <c r="E96" t="s">
        <v>569</v>
      </c>
      <c r="F96" s="25">
        <v>45757</v>
      </c>
      <c r="G96">
        <v>1864.41</v>
      </c>
      <c r="I96">
        <v>167.8</v>
      </c>
      <c r="J96">
        <v>167.8</v>
      </c>
      <c r="K96" s="15">
        <f t="shared" si="1"/>
        <v>2200.0100000000002</v>
      </c>
      <c r="L96" s="16" t="s">
        <v>16</v>
      </c>
      <c r="M96" t="s">
        <v>797</v>
      </c>
    </row>
    <row r="97" spans="1:13" x14ac:dyDescent="0.25">
      <c r="A97" s="9" t="s">
        <v>21</v>
      </c>
      <c r="B97" t="s">
        <v>57</v>
      </c>
      <c r="C97" t="s">
        <v>183</v>
      </c>
      <c r="D97">
        <v>19</v>
      </c>
      <c r="E97" t="s">
        <v>570</v>
      </c>
      <c r="F97" s="25">
        <v>45757</v>
      </c>
      <c r="G97">
        <v>800</v>
      </c>
      <c r="I97">
        <v>72</v>
      </c>
      <c r="J97">
        <v>72</v>
      </c>
      <c r="K97" s="15">
        <f t="shared" si="1"/>
        <v>944</v>
      </c>
      <c r="L97" s="16" t="s">
        <v>16</v>
      </c>
      <c r="M97" t="s">
        <v>797</v>
      </c>
    </row>
    <row r="98" spans="1:13" s="31" customFormat="1" x14ac:dyDescent="0.25">
      <c r="A98" s="42" t="s">
        <v>39</v>
      </c>
      <c r="B98" s="31" t="s">
        <v>75</v>
      </c>
      <c r="C98" s="39" t="s">
        <v>184</v>
      </c>
      <c r="D98" s="39">
        <v>22</v>
      </c>
      <c r="E98" s="31" t="s">
        <v>571</v>
      </c>
      <c r="F98" s="32">
        <v>45757</v>
      </c>
      <c r="G98" s="31">
        <v>18400</v>
      </c>
      <c r="H98" s="31">
        <v>3312</v>
      </c>
      <c r="K98" s="35">
        <f t="shared" si="1"/>
        <v>21712</v>
      </c>
      <c r="L98" s="34" t="s">
        <v>16</v>
      </c>
      <c r="M98" s="31" t="s">
        <v>798</v>
      </c>
    </row>
    <row r="99" spans="1:13" x14ac:dyDescent="0.25">
      <c r="A99" s="9" t="s">
        <v>22</v>
      </c>
      <c r="B99" t="s">
        <v>58</v>
      </c>
      <c r="C99" t="s">
        <v>185</v>
      </c>
      <c r="D99">
        <v>165</v>
      </c>
      <c r="E99" t="s">
        <v>572</v>
      </c>
      <c r="F99" s="25">
        <v>45758</v>
      </c>
      <c r="G99">
        <v>400</v>
      </c>
      <c r="I99">
        <v>36</v>
      </c>
      <c r="J99">
        <v>36</v>
      </c>
      <c r="K99" s="15">
        <f t="shared" si="1"/>
        <v>472</v>
      </c>
      <c r="L99" s="16" t="s">
        <v>16</v>
      </c>
      <c r="M99" t="s">
        <v>797</v>
      </c>
    </row>
    <row r="100" spans="1:13" x14ac:dyDescent="0.25">
      <c r="A100" s="9" t="s">
        <v>31</v>
      </c>
      <c r="B100" t="s">
        <v>67</v>
      </c>
      <c r="C100" t="s">
        <v>186</v>
      </c>
      <c r="D100">
        <v>335</v>
      </c>
      <c r="E100" t="s">
        <v>573</v>
      </c>
      <c r="F100" s="25">
        <v>45758</v>
      </c>
      <c r="G100">
        <v>6775</v>
      </c>
      <c r="I100">
        <v>609.75</v>
      </c>
      <c r="J100">
        <v>609.75</v>
      </c>
      <c r="K100" s="15">
        <f t="shared" si="1"/>
        <v>7994.5</v>
      </c>
      <c r="L100" s="16" t="s">
        <v>16</v>
      </c>
      <c r="M100" t="s">
        <v>797</v>
      </c>
    </row>
    <row r="101" spans="1:13" x14ac:dyDescent="0.25">
      <c r="A101" s="9" t="s">
        <v>31</v>
      </c>
      <c r="B101" t="s">
        <v>67</v>
      </c>
      <c r="C101" t="s">
        <v>187</v>
      </c>
      <c r="D101">
        <v>337</v>
      </c>
      <c r="E101" t="s">
        <v>574</v>
      </c>
      <c r="F101" s="25">
        <v>45758</v>
      </c>
      <c r="G101">
        <v>7500</v>
      </c>
      <c r="I101">
        <v>675</v>
      </c>
      <c r="J101">
        <v>675</v>
      </c>
      <c r="K101" s="15">
        <f t="shared" si="1"/>
        <v>8850</v>
      </c>
      <c r="L101" s="16" t="s">
        <v>16</v>
      </c>
      <c r="M101" t="s">
        <v>797</v>
      </c>
    </row>
    <row r="102" spans="1:13" x14ac:dyDescent="0.25">
      <c r="A102" s="9" t="s">
        <v>17</v>
      </c>
      <c r="B102" t="s">
        <v>53</v>
      </c>
      <c r="C102" t="s">
        <v>188</v>
      </c>
      <c r="D102">
        <v>409</v>
      </c>
      <c r="E102" t="s">
        <v>575</v>
      </c>
      <c r="F102" s="25">
        <v>45758</v>
      </c>
      <c r="G102">
        <v>4500</v>
      </c>
      <c r="I102">
        <v>405</v>
      </c>
      <c r="J102">
        <v>405</v>
      </c>
      <c r="K102" s="15">
        <f t="shared" si="1"/>
        <v>5310</v>
      </c>
      <c r="L102" s="16" t="s">
        <v>16</v>
      </c>
      <c r="M102" t="s">
        <v>797</v>
      </c>
    </row>
    <row r="103" spans="1:13" x14ac:dyDescent="0.25">
      <c r="A103" s="9" t="s">
        <v>23</v>
      </c>
      <c r="B103" t="s">
        <v>59</v>
      </c>
      <c r="C103" t="s">
        <v>189</v>
      </c>
      <c r="D103">
        <v>1331</v>
      </c>
      <c r="E103" t="s">
        <v>576</v>
      </c>
      <c r="F103" s="25">
        <v>45758</v>
      </c>
      <c r="G103">
        <v>12400</v>
      </c>
      <c r="I103">
        <v>1116</v>
      </c>
      <c r="J103">
        <v>1116</v>
      </c>
      <c r="K103" s="15">
        <f t="shared" si="1"/>
        <v>14632</v>
      </c>
      <c r="L103" s="16" t="s">
        <v>16</v>
      </c>
      <c r="M103" t="s">
        <v>797</v>
      </c>
    </row>
    <row r="104" spans="1:13" x14ac:dyDescent="0.25">
      <c r="A104" s="9" t="s">
        <v>18</v>
      </c>
      <c r="B104" t="s">
        <v>54</v>
      </c>
      <c r="C104" t="s">
        <v>190</v>
      </c>
      <c r="D104">
        <v>485</v>
      </c>
      <c r="E104" t="s">
        <v>577</v>
      </c>
      <c r="F104" s="25">
        <v>45758</v>
      </c>
      <c r="G104">
        <v>1600</v>
      </c>
      <c r="I104">
        <v>144</v>
      </c>
      <c r="J104">
        <v>144</v>
      </c>
      <c r="K104" s="15">
        <f t="shared" si="1"/>
        <v>1888</v>
      </c>
      <c r="L104" s="16" t="s">
        <v>16</v>
      </c>
      <c r="M104" t="s">
        <v>797</v>
      </c>
    </row>
    <row r="105" spans="1:13" x14ac:dyDescent="0.25">
      <c r="A105" s="9" t="s">
        <v>17</v>
      </c>
      <c r="B105" t="s">
        <v>53</v>
      </c>
      <c r="C105" t="s">
        <v>191</v>
      </c>
      <c r="D105">
        <v>413</v>
      </c>
      <c r="E105" t="s">
        <v>578</v>
      </c>
      <c r="F105" s="25">
        <v>45758</v>
      </c>
      <c r="G105">
        <v>2000</v>
      </c>
      <c r="I105">
        <v>180</v>
      </c>
      <c r="J105">
        <v>180</v>
      </c>
      <c r="K105" s="15">
        <f t="shared" si="1"/>
        <v>2360</v>
      </c>
      <c r="L105" s="16" t="s">
        <v>16</v>
      </c>
      <c r="M105" t="s">
        <v>797</v>
      </c>
    </row>
    <row r="106" spans="1:13" s="31" customFormat="1" x14ac:dyDescent="0.25">
      <c r="A106" s="42" t="s">
        <v>43</v>
      </c>
      <c r="B106" s="31" t="s">
        <v>79</v>
      </c>
      <c r="C106" s="39" t="s">
        <v>192</v>
      </c>
      <c r="D106" s="39">
        <v>226</v>
      </c>
      <c r="E106" s="31" t="s">
        <v>579</v>
      </c>
      <c r="F106" s="32">
        <v>45758</v>
      </c>
      <c r="G106" s="31">
        <v>36355.919999999998</v>
      </c>
      <c r="H106" s="31">
        <v>6544.07</v>
      </c>
      <c r="K106" s="35">
        <f t="shared" si="1"/>
        <v>42899.99</v>
      </c>
      <c r="L106" s="34" t="s">
        <v>16</v>
      </c>
      <c r="M106" s="31" t="s">
        <v>798</v>
      </c>
    </row>
    <row r="107" spans="1:13" x14ac:dyDescent="0.25">
      <c r="A107" s="9" t="s">
        <v>17</v>
      </c>
      <c r="B107" t="s">
        <v>53</v>
      </c>
      <c r="C107" t="s">
        <v>193</v>
      </c>
      <c r="D107">
        <v>450</v>
      </c>
      <c r="E107" t="s">
        <v>580</v>
      </c>
      <c r="F107" s="25">
        <v>45759</v>
      </c>
      <c r="G107">
        <v>50847.44</v>
      </c>
      <c r="I107">
        <v>4576.2700000000004</v>
      </c>
      <c r="J107">
        <v>4576.2700000000004</v>
      </c>
      <c r="K107" s="15">
        <f t="shared" si="1"/>
        <v>59999.98000000001</v>
      </c>
      <c r="L107" s="16" t="s">
        <v>16</v>
      </c>
      <c r="M107" t="s">
        <v>797</v>
      </c>
    </row>
    <row r="108" spans="1:13" x14ac:dyDescent="0.25">
      <c r="A108" s="9" t="s">
        <v>23</v>
      </c>
      <c r="B108" t="s">
        <v>59</v>
      </c>
      <c r="C108" t="s">
        <v>194</v>
      </c>
      <c r="D108">
        <v>1422</v>
      </c>
      <c r="E108" t="s">
        <v>581</v>
      </c>
      <c r="F108" s="25">
        <v>45759</v>
      </c>
      <c r="G108">
        <v>350</v>
      </c>
      <c r="I108">
        <v>31.5</v>
      </c>
      <c r="J108">
        <v>31.5</v>
      </c>
      <c r="K108" s="15">
        <f t="shared" si="1"/>
        <v>413</v>
      </c>
      <c r="L108" s="16" t="s">
        <v>16</v>
      </c>
      <c r="M108" t="s">
        <v>797</v>
      </c>
    </row>
    <row r="109" spans="1:13" x14ac:dyDescent="0.25">
      <c r="A109" s="9" t="s">
        <v>29</v>
      </c>
      <c r="B109" t="s">
        <v>65</v>
      </c>
      <c r="C109" t="s">
        <v>195</v>
      </c>
      <c r="D109">
        <v>90</v>
      </c>
      <c r="E109" t="s">
        <v>582</v>
      </c>
      <c r="F109" s="25">
        <v>45759</v>
      </c>
      <c r="G109">
        <v>2203.39</v>
      </c>
      <c r="I109">
        <v>198.31</v>
      </c>
      <c r="J109">
        <v>198.31</v>
      </c>
      <c r="K109" s="15">
        <f t="shared" si="1"/>
        <v>2600.0099999999998</v>
      </c>
      <c r="L109" s="16" t="s">
        <v>16</v>
      </c>
      <c r="M109" t="s">
        <v>797</v>
      </c>
    </row>
    <row r="110" spans="1:13" x14ac:dyDescent="0.25">
      <c r="A110" s="9" t="s">
        <v>45</v>
      </c>
      <c r="B110" t="s">
        <v>81</v>
      </c>
      <c r="C110" t="s">
        <v>196</v>
      </c>
      <c r="D110">
        <v>120</v>
      </c>
      <c r="E110" t="s">
        <v>583</v>
      </c>
      <c r="F110" s="25">
        <v>45759</v>
      </c>
      <c r="G110">
        <v>1900</v>
      </c>
      <c r="I110">
        <v>171</v>
      </c>
      <c r="J110">
        <v>171</v>
      </c>
      <c r="K110" s="15">
        <f t="shared" si="1"/>
        <v>2242</v>
      </c>
      <c r="L110" s="16" t="s">
        <v>16</v>
      </c>
      <c r="M110" t="s">
        <v>797</v>
      </c>
    </row>
    <row r="111" spans="1:13" x14ac:dyDescent="0.25">
      <c r="A111" s="9" t="s">
        <v>18</v>
      </c>
      <c r="B111" t="s">
        <v>54</v>
      </c>
      <c r="C111" t="s">
        <v>197</v>
      </c>
      <c r="D111">
        <v>536</v>
      </c>
      <c r="E111" t="s">
        <v>584</v>
      </c>
      <c r="F111" s="25">
        <v>45759</v>
      </c>
      <c r="G111">
        <v>1600</v>
      </c>
      <c r="I111">
        <v>144</v>
      </c>
      <c r="J111">
        <v>144</v>
      </c>
      <c r="K111" s="15">
        <f t="shared" si="1"/>
        <v>1888</v>
      </c>
      <c r="L111" s="16" t="s">
        <v>16</v>
      </c>
      <c r="M111" t="s">
        <v>797</v>
      </c>
    </row>
    <row r="112" spans="1:13" x14ac:dyDescent="0.25">
      <c r="A112" s="9" t="s">
        <v>22</v>
      </c>
      <c r="B112" t="s">
        <v>58</v>
      </c>
      <c r="C112" t="s">
        <v>198</v>
      </c>
      <c r="D112">
        <v>175</v>
      </c>
      <c r="E112" t="s">
        <v>585</v>
      </c>
      <c r="F112" s="25">
        <v>45759</v>
      </c>
      <c r="G112">
        <v>1300</v>
      </c>
      <c r="I112">
        <v>117</v>
      </c>
      <c r="J112">
        <v>117</v>
      </c>
      <c r="K112" s="15">
        <f t="shared" si="1"/>
        <v>1534</v>
      </c>
      <c r="L112" s="16" t="s">
        <v>16</v>
      </c>
      <c r="M112" t="s">
        <v>797</v>
      </c>
    </row>
    <row r="113" spans="1:13" x14ac:dyDescent="0.25">
      <c r="A113" s="9" t="s">
        <v>31</v>
      </c>
      <c r="B113" t="s">
        <v>67</v>
      </c>
      <c r="C113" t="s">
        <v>199</v>
      </c>
      <c r="D113">
        <v>350</v>
      </c>
      <c r="E113" t="s">
        <v>586</v>
      </c>
      <c r="F113" s="25">
        <v>45759</v>
      </c>
      <c r="G113">
        <v>700</v>
      </c>
      <c r="I113">
        <v>63</v>
      </c>
      <c r="J113">
        <v>63</v>
      </c>
      <c r="K113" s="15">
        <f t="shared" si="1"/>
        <v>826</v>
      </c>
      <c r="L113" s="16" t="s">
        <v>16</v>
      </c>
      <c r="M113" t="s">
        <v>797</v>
      </c>
    </row>
    <row r="114" spans="1:13" x14ac:dyDescent="0.25">
      <c r="A114" s="9" t="s">
        <v>31</v>
      </c>
      <c r="B114" t="s">
        <v>67</v>
      </c>
      <c r="C114" t="s">
        <v>200</v>
      </c>
      <c r="D114">
        <v>403</v>
      </c>
      <c r="E114" t="s">
        <v>587</v>
      </c>
      <c r="F114" s="25">
        <v>45761</v>
      </c>
      <c r="G114">
        <v>2300</v>
      </c>
      <c r="I114">
        <v>207</v>
      </c>
      <c r="J114">
        <v>207</v>
      </c>
      <c r="K114" s="15">
        <f t="shared" si="1"/>
        <v>2714</v>
      </c>
      <c r="L114" s="16" t="s">
        <v>16</v>
      </c>
      <c r="M114" t="s">
        <v>797</v>
      </c>
    </row>
    <row r="115" spans="1:13" x14ac:dyDescent="0.25">
      <c r="A115" s="9" t="s">
        <v>31</v>
      </c>
      <c r="B115" t="s">
        <v>67</v>
      </c>
      <c r="C115" t="s">
        <v>201</v>
      </c>
      <c r="D115">
        <v>402</v>
      </c>
      <c r="E115" t="s">
        <v>588</v>
      </c>
      <c r="F115" s="25">
        <v>45761</v>
      </c>
      <c r="G115">
        <v>1150</v>
      </c>
      <c r="I115">
        <v>103.5</v>
      </c>
      <c r="J115">
        <v>103.5</v>
      </c>
      <c r="K115" s="15">
        <f t="shared" si="1"/>
        <v>1357</v>
      </c>
      <c r="L115" s="16" t="s">
        <v>16</v>
      </c>
      <c r="M115" t="s">
        <v>797</v>
      </c>
    </row>
    <row r="116" spans="1:13" x14ac:dyDescent="0.25">
      <c r="A116" s="9" t="s">
        <v>31</v>
      </c>
      <c r="B116" t="s">
        <v>67</v>
      </c>
      <c r="C116" t="s">
        <v>202</v>
      </c>
      <c r="D116">
        <v>395</v>
      </c>
      <c r="E116" t="s">
        <v>589</v>
      </c>
      <c r="F116" s="25">
        <v>45761</v>
      </c>
      <c r="G116">
        <v>600</v>
      </c>
      <c r="I116">
        <v>54</v>
      </c>
      <c r="J116">
        <v>54</v>
      </c>
      <c r="K116" s="15">
        <f t="shared" si="1"/>
        <v>708</v>
      </c>
      <c r="L116" s="16" t="s">
        <v>16</v>
      </c>
      <c r="M116" t="s">
        <v>797</v>
      </c>
    </row>
    <row r="117" spans="1:13" x14ac:dyDescent="0.25">
      <c r="A117" s="9" t="s">
        <v>20</v>
      </c>
      <c r="B117" t="s">
        <v>56</v>
      </c>
      <c r="C117" t="s">
        <v>203</v>
      </c>
      <c r="D117">
        <v>113</v>
      </c>
      <c r="E117" t="s">
        <v>590</v>
      </c>
      <c r="F117" s="25">
        <v>45761</v>
      </c>
      <c r="G117">
        <v>700</v>
      </c>
      <c r="I117">
        <v>63</v>
      </c>
      <c r="J117">
        <v>63</v>
      </c>
      <c r="K117" s="15">
        <f t="shared" si="1"/>
        <v>826</v>
      </c>
      <c r="L117" s="16" t="s">
        <v>16</v>
      </c>
      <c r="M117" t="s">
        <v>797</v>
      </c>
    </row>
    <row r="118" spans="1:13" x14ac:dyDescent="0.25">
      <c r="A118" s="9" t="s">
        <v>28</v>
      </c>
      <c r="B118" t="s">
        <v>64</v>
      </c>
      <c r="C118" t="s">
        <v>204</v>
      </c>
      <c r="D118">
        <v>19</v>
      </c>
      <c r="E118" t="s">
        <v>591</v>
      </c>
      <c r="F118" s="25">
        <v>45761</v>
      </c>
      <c r="G118">
        <v>2000</v>
      </c>
      <c r="I118">
        <v>180</v>
      </c>
      <c r="J118">
        <v>180</v>
      </c>
      <c r="K118" s="15">
        <f t="shared" si="1"/>
        <v>2360</v>
      </c>
      <c r="L118" s="16" t="s">
        <v>16</v>
      </c>
      <c r="M118" t="s">
        <v>797</v>
      </c>
    </row>
    <row r="119" spans="1:13" x14ac:dyDescent="0.25">
      <c r="A119" s="9" t="s">
        <v>22</v>
      </c>
      <c r="B119" t="s">
        <v>58</v>
      </c>
      <c r="C119" t="s">
        <v>205</v>
      </c>
      <c r="D119">
        <v>196</v>
      </c>
      <c r="E119" t="s">
        <v>592</v>
      </c>
      <c r="F119" s="25">
        <v>45761</v>
      </c>
      <c r="G119">
        <v>400</v>
      </c>
      <c r="I119">
        <v>36</v>
      </c>
      <c r="J119">
        <v>36</v>
      </c>
      <c r="K119" s="15">
        <f t="shared" si="1"/>
        <v>472</v>
      </c>
      <c r="L119" s="16" t="s">
        <v>16</v>
      </c>
      <c r="M119" t="s">
        <v>797</v>
      </c>
    </row>
    <row r="120" spans="1:13" x14ac:dyDescent="0.25">
      <c r="A120" s="9" t="s">
        <v>31</v>
      </c>
      <c r="B120" t="s">
        <v>67</v>
      </c>
      <c r="C120" t="s">
        <v>206</v>
      </c>
      <c r="D120">
        <v>388</v>
      </c>
      <c r="E120" t="s">
        <v>593</v>
      </c>
      <c r="F120" s="25">
        <v>45761</v>
      </c>
      <c r="G120">
        <v>250</v>
      </c>
      <c r="I120">
        <v>22.5</v>
      </c>
      <c r="J120">
        <v>22.5</v>
      </c>
      <c r="K120" s="15">
        <f t="shared" si="1"/>
        <v>295</v>
      </c>
      <c r="L120" s="16" t="s">
        <v>16</v>
      </c>
      <c r="M120" t="s">
        <v>797</v>
      </c>
    </row>
    <row r="121" spans="1:13" x14ac:dyDescent="0.25">
      <c r="A121" s="9" t="s">
        <v>27</v>
      </c>
      <c r="B121" t="s">
        <v>63</v>
      </c>
      <c r="C121" t="s">
        <v>207</v>
      </c>
      <c r="D121">
        <v>1949</v>
      </c>
      <c r="E121" t="s">
        <v>594</v>
      </c>
      <c r="F121" s="25">
        <v>45761</v>
      </c>
      <c r="G121">
        <v>3500</v>
      </c>
      <c r="I121">
        <v>315</v>
      </c>
      <c r="J121">
        <v>315</v>
      </c>
      <c r="K121" s="15">
        <f t="shared" si="1"/>
        <v>4130</v>
      </c>
      <c r="L121" s="16" t="s">
        <v>16</v>
      </c>
      <c r="M121" t="s">
        <v>797</v>
      </c>
    </row>
    <row r="122" spans="1:13" x14ac:dyDescent="0.25">
      <c r="A122" s="9" t="s">
        <v>17</v>
      </c>
      <c r="B122" t="s">
        <v>53</v>
      </c>
      <c r="C122" t="s">
        <v>208</v>
      </c>
      <c r="D122">
        <v>461</v>
      </c>
      <c r="E122" t="s">
        <v>595</v>
      </c>
      <c r="F122" s="25">
        <v>45761</v>
      </c>
      <c r="G122">
        <v>14000</v>
      </c>
      <c r="I122">
        <v>1260</v>
      </c>
      <c r="J122">
        <v>1260</v>
      </c>
      <c r="K122" s="15">
        <f t="shared" si="1"/>
        <v>16520</v>
      </c>
      <c r="L122" s="16" t="s">
        <v>16</v>
      </c>
      <c r="M122" t="s">
        <v>797</v>
      </c>
    </row>
    <row r="123" spans="1:13" x14ac:dyDescent="0.25">
      <c r="A123" s="9" t="s">
        <v>37</v>
      </c>
      <c r="B123" t="s">
        <v>73</v>
      </c>
      <c r="C123" t="s">
        <v>209</v>
      </c>
      <c r="D123">
        <v>75</v>
      </c>
      <c r="E123" t="s">
        <v>596</v>
      </c>
      <c r="F123" s="25">
        <v>45761</v>
      </c>
      <c r="G123">
        <v>200</v>
      </c>
      <c r="I123">
        <v>18</v>
      </c>
      <c r="J123">
        <v>18</v>
      </c>
      <c r="K123" s="15">
        <f t="shared" si="1"/>
        <v>236</v>
      </c>
      <c r="L123" s="16" t="s">
        <v>16</v>
      </c>
      <c r="M123" t="s">
        <v>797</v>
      </c>
    </row>
    <row r="124" spans="1:13" s="31" customFormat="1" x14ac:dyDescent="0.25">
      <c r="A124" s="42" t="s">
        <v>32</v>
      </c>
      <c r="B124" s="31" t="s">
        <v>68</v>
      </c>
      <c r="C124" s="39" t="s">
        <v>210</v>
      </c>
      <c r="D124" s="39">
        <v>21</v>
      </c>
      <c r="E124" s="31" t="s">
        <v>597</v>
      </c>
      <c r="F124" s="32">
        <v>45761</v>
      </c>
      <c r="G124" s="31">
        <v>4661.0200000000004</v>
      </c>
      <c r="I124" s="31">
        <v>419.49</v>
      </c>
      <c r="J124" s="31">
        <v>419.49</v>
      </c>
      <c r="K124" s="35">
        <f t="shared" si="1"/>
        <v>5500</v>
      </c>
      <c r="L124" s="34" t="s">
        <v>16</v>
      </c>
      <c r="M124" s="31" t="s">
        <v>798</v>
      </c>
    </row>
    <row r="125" spans="1:13" s="31" customFormat="1" x14ac:dyDescent="0.25">
      <c r="A125" s="42" t="s">
        <v>46</v>
      </c>
      <c r="B125" s="31" t="s">
        <v>82</v>
      </c>
      <c r="C125" s="39" t="s">
        <v>211</v>
      </c>
      <c r="D125" s="39">
        <v>20</v>
      </c>
      <c r="E125" s="31" t="s">
        <v>598</v>
      </c>
      <c r="F125" s="32">
        <v>45761</v>
      </c>
      <c r="G125" s="31">
        <v>1400</v>
      </c>
      <c r="I125" s="31">
        <v>126</v>
      </c>
      <c r="J125" s="31">
        <v>126</v>
      </c>
      <c r="K125" s="35">
        <f t="shared" si="1"/>
        <v>1652</v>
      </c>
      <c r="L125" s="34" t="s">
        <v>16</v>
      </c>
      <c r="M125" s="31" t="s">
        <v>798</v>
      </c>
    </row>
    <row r="126" spans="1:13" x14ac:dyDescent="0.25">
      <c r="A126" s="9" t="s">
        <v>35</v>
      </c>
      <c r="B126" t="s">
        <v>71</v>
      </c>
      <c r="C126" t="s">
        <v>212</v>
      </c>
      <c r="D126">
        <v>4037</v>
      </c>
      <c r="E126" t="s">
        <v>599</v>
      </c>
      <c r="F126" s="25">
        <v>45762</v>
      </c>
      <c r="G126">
        <v>9150</v>
      </c>
      <c r="H126">
        <v>1647</v>
      </c>
      <c r="K126" s="15">
        <f t="shared" si="1"/>
        <v>10797</v>
      </c>
      <c r="L126" s="16" t="s">
        <v>16</v>
      </c>
      <c r="M126" t="s">
        <v>797</v>
      </c>
    </row>
    <row r="127" spans="1:13" x14ac:dyDescent="0.25">
      <c r="A127" s="9" t="s">
        <v>33</v>
      </c>
      <c r="B127" t="s">
        <v>69</v>
      </c>
      <c r="C127" t="s">
        <v>213</v>
      </c>
      <c r="D127">
        <v>132</v>
      </c>
      <c r="E127" t="s">
        <v>600</v>
      </c>
      <c r="F127" s="25">
        <v>45762</v>
      </c>
      <c r="G127">
        <v>2700</v>
      </c>
      <c r="I127">
        <v>243</v>
      </c>
      <c r="J127">
        <v>243</v>
      </c>
      <c r="K127" s="15">
        <f t="shared" si="1"/>
        <v>3186</v>
      </c>
      <c r="L127" s="16" t="s">
        <v>16</v>
      </c>
      <c r="M127" t="s">
        <v>797</v>
      </c>
    </row>
    <row r="128" spans="1:13" x14ac:dyDescent="0.25">
      <c r="A128" s="9" t="s">
        <v>31</v>
      </c>
      <c r="B128" t="s">
        <v>67</v>
      </c>
      <c r="C128" t="s">
        <v>214</v>
      </c>
      <c r="D128">
        <v>422</v>
      </c>
      <c r="E128" t="s">
        <v>601</v>
      </c>
      <c r="F128" s="25">
        <v>45762</v>
      </c>
      <c r="G128">
        <v>975</v>
      </c>
      <c r="I128">
        <v>87.75</v>
      </c>
      <c r="J128">
        <v>87.75</v>
      </c>
      <c r="K128" s="15">
        <f t="shared" si="1"/>
        <v>1150.5</v>
      </c>
      <c r="L128" s="16" t="s">
        <v>16</v>
      </c>
      <c r="M128" t="s">
        <v>797</v>
      </c>
    </row>
    <row r="129" spans="1:13" x14ac:dyDescent="0.25">
      <c r="A129" s="9" t="s">
        <v>33</v>
      </c>
      <c r="B129" t="s">
        <v>69</v>
      </c>
      <c r="C129" t="s">
        <v>215</v>
      </c>
      <c r="D129">
        <v>133</v>
      </c>
      <c r="E129" t="s">
        <v>602</v>
      </c>
      <c r="F129" s="25">
        <v>45762</v>
      </c>
      <c r="G129">
        <v>11084.74</v>
      </c>
      <c r="I129">
        <v>997.63</v>
      </c>
      <c r="J129">
        <v>997.63</v>
      </c>
      <c r="K129" s="15">
        <f t="shared" si="1"/>
        <v>13079.999999999998</v>
      </c>
      <c r="L129" s="16" t="s">
        <v>16</v>
      </c>
      <c r="M129" t="s">
        <v>797</v>
      </c>
    </row>
    <row r="130" spans="1:13" x14ac:dyDescent="0.25">
      <c r="A130" s="9" t="s">
        <v>31</v>
      </c>
      <c r="B130" t="s">
        <v>67</v>
      </c>
      <c r="C130" t="s">
        <v>216</v>
      </c>
      <c r="D130">
        <v>425</v>
      </c>
      <c r="E130" t="s">
        <v>603</v>
      </c>
      <c r="F130" s="25">
        <v>45762</v>
      </c>
      <c r="G130">
        <v>600</v>
      </c>
      <c r="I130">
        <v>54</v>
      </c>
      <c r="J130">
        <v>54</v>
      </c>
      <c r="K130" s="15">
        <f t="shared" si="1"/>
        <v>708</v>
      </c>
      <c r="L130" s="16" t="s">
        <v>16</v>
      </c>
      <c r="M130" t="s">
        <v>797</v>
      </c>
    </row>
    <row r="131" spans="1:13" x14ac:dyDescent="0.25">
      <c r="A131" s="9" t="s">
        <v>18</v>
      </c>
      <c r="B131" t="s">
        <v>54</v>
      </c>
      <c r="C131" t="s">
        <v>217</v>
      </c>
      <c r="D131">
        <v>607</v>
      </c>
      <c r="E131" t="s">
        <v>604</v>
      </c>
      <c r="F131" s="25">
        <v>45762</v>
      </c>
      <c r="G131">
        <v>1750</v>
      </c>
      <c r="I131">
        <v>157.5</v>
      </c>
      <c r="J131">
        <v>157.5</v>
      </c>
      <c r="K131" s="15">
        <f t="shared" ref="K131:K194" si="2">G131+H131+I131+J131</f>
        <v>2065</v>
      </c>
      <c r="L131" s="16" t="s">
        <v>16</v>
      </c>
      <c r="M131" t="s">
        <v>797</v>
      </c>
    </row>
    <row r="132" spans="1:13" x14ac:dyDescent="0.25">
      <c r="A132" s="9" t="s">
        <v>23</v>
      </c>
      <c r="B132" t="s">
        <v>59</v>
      </c>
      <c r="C132" t="s">
        <v>218</v>
      </c>
      <c r="D132">
        <v>1694</v>
      </c>
      <c r="E132" t="s">
        <v>605</v>
      </c>
      <c r="F132" s="25">
        <v>45762</v>
      </c>
      <c r="G132">
        <v>500</v>
      </c>
      <c r="I132">
        <v>45</v>
      </c>
      <c r="J132">
        <v>45</v>
      </c>
      <c r="K132" s="15">
        <f t="shared" si="2"/>
        <v>590</v>
      </c>
      <c r="L132" s="16" t="s">
        <v>16</v>
      </c>
      <c r="M132" t="s">
        <v>797</v>
      </c>
    </row>
    <row r="133" spans="1:13" x14ac:dyDescent="0.25">
      <c r="A133" s="9" t="s">
        <v>22</v>
      </c>
      <c r="B133" t="s">
        <v>58</v>
      </c>
      <c r="C133" t="s">
        <v>219</v>
      </c>
      <c r="D133">
        <v>207</v>
      </c>
      <c r="E133" t="s">
        <v>606</v>
      </c>
      <c r="F133" s="25">
        <v>45762</v>
      </c>
      <c r="G133">
        <v>2500</v>
      </c>
      <c r="I133">
        <v>225</v>
      </c>
      <c r="J133">
        <v>225</v>
      </c>
      <c r="K133" s="15">
        <f t="shared" si="2"/>
        <v>2950</v>
      </c>
      <c r="L133" s="16" t="s">
        <v>16</v>
      </c>
      <c r="M133" t="s">
        <v>797</v>
      </c>
    </row>
    <row r="134" spans="1:13" x14ac:dyDescent="0.25">
      <c r="A134" s="9" t="s">
        <v>42</v>
      </c>
      <c r="B134" t="s">
        <v>78</v>
      </c>
      <c r="C134" t="s">
        <v>220</v>
      </c>
      <c r="D134">
        <v>13</v>
      </c>
      <c r="E134" t="s">
        <v>607</v>
      </c>
      <c r="F134" s="25">
        <v>45762</v>
      </c>
      <c r="G134">
        <v>30567.7</v>
      </c>
      <c r="H134">
        <v>5502.19</v>
      </c>
      <c r="K134" s="15">
        <f t="shared" si="2"/>
        <v>36069.89</v>
      </c>
      <c r="L134" s="16" t="s">
        <v>16</v>
      </c>
      <c r="M134" t="s">
        <v>799</v>
      </c>
    </row>
    <row r="135" spans="1:13" x14ac:dyDescent="0.25">
      <c r="A135" s="9" t="s">
        <v>23</v>
      </c>
      <c r="B135" t="s">
        <v>59</v>
      </c>
      <c r="C135" t="s">
        <v>221</v>
      </c>
      <c r="D135">
        <v>1810</v>
      </c>
      <c r="E135" t="s">
        <v>608</v>
      </c>
      <c r="F135" s="25">
        <v>45763</v>
      </c>
      <c r="G135">
        <v>700</v>
      </c>
      <c r="I135">
        <v>63</v>
      </c>
      <c r="J135">
        <v>63</v>
      </c>
      <c r="K135" s="15">
        <f t="shared" si="2"/>
        <v>826</v>
      </c>
      <c r="L135" s="16" t="s">
        <v>16</v>
      </c>
      <c r="M135" t="s">
        <v>797</v>
      </c>
    </row>
    <row r="136" spans="1:13" x14ac:dyDescent="0.25">
      <c r="A136" s="9" t="s">
        <v>23</v>
      </c>
      <c r="B136" t="s">
        <v>59</v>
      </c>
      <c r="C136" t="s">
        <v>222</v>
      </c>
      <c r="D136">
        <v>1841</v>
      </c>
      <c r="E136" t="s">
        <v>609</v>
      </c>
      <c r="F136" s="25">
        <v>45763</v>
      </c>
      <c r="G136">
        <v>600</v>
      </c>
      <c r="I136">
        <v>54</v>
      </c>
      <c r="J136">
        <v>54</v>
      </c>
      <c r="K136" s="15">
        <f t="shared" si="2"/>
        <v>708</v>
      </c>
      <c r="L136" s="16" t="s">
        <v>16</v>
      </c>
      <c r="M136" t="s">
        <v>797</v>
      </c>
    </row>
    <row r="137" spans="1:13" x14ac:dyDescent="0.25">
      <c r="A137" s="9" t="s">
        <v>23</v>
      </c>
      <c r="B137" t="s">
        <v>59</v>
      </c>
      <c r="C137" t="s">
        <v>223</v>
      </c>
      <c r="D137">
        <v>1781</v>
      </c>
      <c r="E137" t="s">
        <v>610</v>
      </c>
      <c r="F137" s="25">
        <v>45763</v>
      </c>
      <c r="G137">
        <v>1800</v>
      </c>
      <c r="I137">
        <v>162</v>
      </c>
      <c r="J137">
        <v>162</v>
      </c>
      <c r="K137" s="15">
        <f t="shared" si="2"/>
        <v>2124</v>
      </c>
      <c r="L137" s="16" t="s">
        <v>16</v>
      </c>
      <c r="M137" t="s">
        <v>797</v>
      </c>
    </row>
    <row r="138" spans="1:13" x14ac:dyDescent="0.25">
      <c r="A138" s="9" t="s">
        <v>31</v>
      </c>
      <c r="B138" t="s">
        <v>67</v>
      </c>
      <c r="C138" t="s">
        <v>224</v>
      </c>
      <c r="D138">
        <v>445</v>
      </c>
      <c r="E138" t="s">
        <v>611</v>
      </c>
      <c r="F138" s="25">
        <v>45763</v>
      </c>
      <c r="G138">
        <v>8830</v>
      </c>
      <c r="I138">
        <v>794.7</v>
      </c>
      <c r="J138">
        <v>794.7</v>
      </c>
      <c r="K138" s="15">
        <f t="shared" si="2"/>
        <v>10419.400000000001</v>
      </c>
      <c r="L138" s="16" t="s">
        <v>16</v>
      </c>
      <c r="M138" t="s">
        <v>797</v>
      </c>
    </row>
    <row r="139" spans="1:13" x14ac:dyDescent="0.25">
      <c r="A139" s="9" t="s">
        <v>27</v>
      </c>
      <c r="B139" t="s">
        <v>63</v>
      </c>
      <c r="C139" t="s">
        <v>225</v>
      </c>
      <c r="D139">
        <v>2353</v>
      </c>
      <c r="E139" t="s">
        <v>612</v>
      </c>
      <c r="F139" s="25">
        <v>45763</v>
      </c>
      <c r="G139">
        <v>17827.14</v>
      </c>
      <c r="I139">
        <v>1604.44</v>
      </c>
      <c r="J139">
        <v>1604.44</v>
      </c>
      <c r="K139" s="15">
        <f t="shared" si="2"/>
        <v>21036.019999999997</v>
      </c>
      <c r="L139" s="16" t="s">
        <v>16</v>
      </c>
      <c r="M139" t="s">
        <v>797</v>
      </c>
    </row>
    <row r="140" spans="1:13" s="31" customFormat="1" x14ac:dyDescent="0.25">
      <c r="A140" s="42" t="s">
        <v>32</v>
      </c>
      <c r="B140" s="31" t="s">
        <v>68</v>
      </c>
      <c r="C140" s="39" t="s">
        <v>226</v>
      </c>
      <c r="D140" s="39">
        <v>27</v>
      </c>
      <c r="E140" s="31" t="s">
        <v>613</v>
      </c>
      <c r="F140" s="32">
        <v>45763</v>
      </c>
      <c r="G140" s="31">
        <v>1398.31</v>
      </c>
      <c r="I140" s="31">
        <v>125.85</v>
      </c>
      <c r="J140" s="31">
        <v>125.85</v>
      </c>
      <c r="K140" s="35">
        <f t="shared" si="2"/>
        <v>1650.0099999999998</v>
      </c>
      <c r="L140" s="34" t="s">
        <v>16</v>
      </c>
      <c r="M140" s="31" t="s">
        <v>798</v>
      </c>
    </row>
    <row r="141" spans="1:13" s="31" customFormat="1" x14ac:dyDescent="0.25">
      <c r="A141" s="42" t="s">
        <v>32</v>
      </c>
      <c r="B141" s="31" t="s">
        <v>68</v>
      </c>
      <c r="C141" s="39" t="s">
        <v>227</v>
      </c>
      <c r="D141" s="39">
        <v>26</v>
      </c>
      <c r="E141" s="31" t="s">
        <v>614</v>
      </c>
      <c r="F141" s="32">
        <v>45763</v>
      </c>
      <c r="G141" s="31">
        <v>13050.85</v>
      </c>
      <c r="I141" s="31">
        <v>1174.58</v>
      </c>
      <c r="J141" s="31">
        <v>1174.58</v>
      </c>
      <c r="K141" s="35">
        <f t="shared" si="2"/>
        <v>15400.01</v>
      </c>
      <c r="L141" s="34" t="s">
        <v>16</v>
      </c>
      <c r="M141" s="31" t="s">
        <v>798</v>
      </c>
    </row>
    <row r="142" spans="1:13" x14ac:dyDescent="0.25">
      <c r="A142" s="9" t="s">
        <v>17</v>
      </c>
      <c r="B142" t="s">
        <v>53</v>
      </c>
      <c r="C142" t="s">
        <v>228</v>
      </c>
      <c r="D142">
        <v>524</v>
      </c>
      <c r="E142" t="s">
        <v>615</v>
      </c>
      <c r="F142" s="25">
        <v>45763</v>
      </c>
      <c r="G142">
        <v>11000</v>
      </c>
      <c r="I142">
        <v>990</v>
      </c>
      <c r="J142">
        <v>990</v>
      </c>
      <c r="K142" s="15">
        <f t="shared" si="2"/>
        <v>12980</v>
      </c>
      <c r="L142" s="16" t="s">
        <v>16</v>
      </c>
      <c r="M142" t="s">
        <v>797</v>
      </c>
    </row>
    <row r="143" spans="1:13" x14ac:dyDescent="0.25">
      <c r="A143" s="9" t="s">
        <v>18</v>
      </c>
      <c r="B143" t="s">
        <v>54</v>
      </c>
      <c r="C143" t="s">
        <v>229</v>
      </c>
      <c r="D143">
        <v>656</v>
      </c>
      <c r="E143" t="s">
        <v>616</v>
      </c>
      <c r="F143" s="25">
        <v>45763</v>
      </c>
      <c r="G143">
        <v>2000</v>
      </c>
      <c r="I143">
        <v>180</v>
      </c>
      <c r="J143">
        <v>180</v>
      </c>
      <c r="K143" s="15">
        <f t="shared" si="2"/>
        <v>2360</v>
      </c>
      <c r="L143" s="16" t="s">
        <v>16</v>
      </c>
      <c r="M143" t="s">
        <v>797</v>
      </c>
    </row>
    <row r="144" spans="1:13" s="31" customFormat="1" x14ac:dyDescent="0.25">
      <c r="A144" s="42" t="s">
        <v>43</v>
      </c>
      <c r="B144" s="31" t="s">
        <v>79</v>
      </c>
      <c r="C144" s="39" t="s">
        <v>230</v>
      </c>
      <c r="D144" s="39">
        <v>227</v>
      </c>
      <c r="E144" s="31" t="s">
        <v>617</v>
      </c>
      <c r="F144" s="32">
        <v>45763</v>
      </c>
      <c r="G144" s="31">
        <v>36355.919999999998</v>
      </c>
      <c r="H144" s="31">
        <v>6544.07</v>
      </c>
      <c r="K144" s="35">
        <f t="shared" si="2"/>
        <v>42899.99</v>
      </c>
      <c r="L144" s="34" t="s">
        <v>16</v>
      </c>
      <c r="M144" s="31" t="s">
        <v>798</v>
      </c>
    </row>
    <row r="145" spans="1:13" x14ac:dyDescent="0.25">
      <c r="A145" s="9" t="s">
        <v>36</v>
      </c>
      <c r="B145" t="s">
        <v>72</v>
      </c>
      <c r="C145" t="s">
        <v>231</v>
      </c>
      <c r="D145">
        <v>11</v>
      </c>
      <c r="E145" t="s">
        <v>618</v>
      </c>
      <c r="F145" s="25">
        <v>45763</v>
      </c>
      <c r="G145">
        <v>18000</v>
      </c>
      <c r="I145">
        <v>1620</v>
      </c>
      <c r="J145">
        <v>1620</v>
      </c>
      <c r="K145" s="15">
        <f t="shared" si="2"/>
        <v>21240</v>
      </c>
      <c r="L145" s="16" t="s">
        <v>16</v>
      </c>
      <c r="M145" t="s">
        <v>797</v>
      </c>
    </row>
    <row r="146" spans="1:13" x14ac:dyDescent="0.25">
      <c r="A146" s="9" t="s">
        <v>47</v>
      </c>
      <c r="B146" t="s">
        <v>83</v>
      </c>
      <c r="C146" t="s">
        <v>232</v>
      </c>
      <c r="D146">
        <v>203</v>
      </c>
      <c r="E146" t="s">
        <v>619</v>
      </c>
      <c r="F146" s="25">
        <v>45764</v>
      </c>
      <c r="G146">
        <v>15868.64</v>
      </c>
      <c r="I146">
        <v>1428.18</v>
      </c>
      <c r="J146">
        <v>1428.18</v>
      </c>
      <c r="K146" s="15">
        <f t="shared" si="2"/>
        <v>18725</v>
      </c>
      <c r="L146" s="16" t="s">
        <v>16</v>
      </c>
      <c r="M146" t="s">
        <v>797</v>
      </c>
    </row>
    <row r="147" spans="1:13" x14ac:dyDescent="0.25">
      <c r="A147" s="9" t="s">
        <v>23</v>
      </c>
      <c r="B147" t="s">
        <v>59</v>
      </c>
      <c r="C147" t="s">
        <v>233</v>
      </c>
      <c r="D147">
        <v>1951</v>
      </c>
      <c r="E147" t="s">
        <v>620</v>
      </c>
      <c r="F147" s="25">
        <v>45764</v>
      </c>
      <c r="G147">
        <v>1200</v>
      </c>
      <c r="I147">
        <v>108</v>
      </c>
      <c r="J147">
        <v>108</v>
      </c>
      <c r="K147" s="15">
        <f t="shared" si="2"/>
        <v>1416</v>
      </c>
      <c r="L147" s="16" t="s">
        <v>16</v>
      </c>
      <c r="M147" t="s">
        <v>797</v>
      </c>
    </row>
    <row r="148" spans="1:13" x14ac:dyDescent="0.25">
      <c r="A148" s="9" t="s">
        <v>23</v>
      </c>
      <c r="B148" t="s">
        <v>59</v>
      </c>
      <c r="C148" t="s">
        <v>234</v>
      </c>
      <c r="D148">
        <v>1911</v>
      </c>
      <c r="E148" t="s">
        <v>621</v>
      </c>
      <c r="F148" s="25">
        <v>45764</v>
      </c>
      <c r="G148">
        <v>2550</v>
      </c>
      <c r="I148">
        <v>229.5</v>
      </c>
      <c r="J148">
        <v>229.5</v>
      </c>
      <c r="K148" s="15">
        <f t="shared" si="2"/>
        <v>3009</v>
      </c>
      <c r="L148" s="16" t="s">
        <v>16</v>
      </c>
      <c r="M148" t="s">
        <v>797</v>
      </c>
    </row>
    <row r="149" spans="1:13" x14ac:dyDescent="0.25">
      <c r="A149" s="9" t="s">
        <v>37</v>
      </c>
      <c r="B149" t="s">
        <v>73</v>
      </c>
      <c r="C149" t="s">
        <v>235</v>
      </c>
      <c r="D149">
        <v>88</v>
      </c>
      <c r="E149" t="s">
        <v>622</v>
      </c>
      <c r="F149" s="25">
        <v>45764</v>
      </c>
      <c r="G149">
        <v>600</v>
      </c>
      <c r="I149">
        <v>54</v>
      </c>
      <c r="J149">
        <v>54</v>
      </c>
      <c r="K149" s="15">
        <f t="shared" si="2"/>
        <v>708</v>
      </c>
      <c r="L149" s="16" t="s">
        <v>16</v>
      </c>
      <c r="M149" t="s">
        <v>797</v>
      </c>
    </row>
    <row r="150" spans="1:13" x14ac:dyDescent="0.25">
      <c r="A150" s="9" t="s">
        <v>31</v>
      </c>
      <c r="B150" t="s">
        <v>67</v>
      </c>
      <c r="C150" t="s">
        <v>236</v>
      </c>
      <c r="D150">
        <v>500</v>
      </c>
      <c r="E150" t="s">
        <v>623</v>
      </c>
      <c r="F150" s="25">
        <v>45764</v>
      </c>
      <c r="G150">
        <v>400</v>
      </c>
      <c r="I150">
        <v>36</v>
      </c>
      <c r="J150">
        <v>36</v>
      </c>
      <c r="K150" s="15">
        <f t="shared" si="2"/>
        <v>472</v>
      </c>
      <c r="L150" s="16" t="s">
        <v>16</v>
      </c>
      <c r="M150" t="s">
        <v>797</v>
      </c>
    </row>
    <row r="151" spans="1:13" x14ac:dyDescent="0.25">
      <c r="A151" s="9" t="s">
        <v>48</v>
      </c>
      <c r="B151" t="s">
        <v>84</v>
      </c>
      <c r="C151" t="s">
        <v>237</v>
      </c>
      <c r="D151">
        <v>9</v>
      </c>
      <c r="E151" t="s">
        <v>624</v>
      </c>
      <c r="F151" s="25">
        <v>45764</v>
      </c>
      <c r="G151">
        <v>7000</v>
      </c>
      <c r="I151">
        <v>630</v>
      </c>
      <c r="J151">
        <v>630</v>
      </c>
      <c r="K151" s="15">
        <f t="shared" si="2"/>
        <v>8260</v>
      </c>
      <c r="L151" s="16" t="s">
        <v>16</v>
      </c>
      <c r="M151" t="s">
        <v>797</v>
      </c>
    </row>
    <row r="152" spans="1:13" x14ac:dyDescent="0.25">
      <c r="A152" s="9" t="s">
        <v>33</v>
      </c>
      <c r="B152" t="s">
        <v>69</v>
      </c>
      <c r="C152" t="s">
        <v>238</v>
      </c>
      <c r="D152">
        <v>153</v>
      </c>
      <c r="E152" t="s">
        <v>625</v>
      </c>
      <c r="F152" s="25">
        <v>45764</v>
      </c>
      <c r="G152">
        <v>16627.11</v>
      </c>
      <c r="I152">
        <v>1496.44</v>
      </c>
      <c r="J152">
        <v>1496.44</v>
      </c>
      <c r="K152" s="15">
        <f t="shared" si="2"/>
        <v>19619.989999999998</v>
      </c>
      <c r="L152" s="16" t="s">
        <v>16</v>
      </c>
      <c r="M152" t="s">
        <v>797</v>
      </c>
    </row>
    <row r="153" spans="1:13" x14ac:dyDescent="0.25">
      <c r="A153" s="9" t="s">
        <v>17</v>
      </c>
      <c r="B153" t="s">
        <v>53</v>
      </c>
      <c r="C153" t="s">
        <v>239</v>
      </c>
      <c r="D153">
        <v>559</v>
      </c>
      <c r="E153" t="s">
        <v>626</v>
      </c>
      <c r="F153" s="25">
        <v>45764</v>
      </c>
      <c r="G153">
        <v>27000</v>
      </c>
      <c r="I153">
        <v>2430</v>
      </c>
      <c r="J153">
        <v>2430</v>
      </c>
      <c r="K153" s="15">
        <f t="shared" si="2"/>
        <v>31860</v>
      </c>
      <c r="L153" s="16" t="s">
        <v>16</v>
      </c>
      <c r="M153" t="s">
        <v>797</v>
      </c>
    </row>
    <row r="154" spans="1:13" x14ac:dyDescent="0.25">
      <c r="A154" s="9" t="s">
        <v>31</v>
      </c>
      <c r="B154" t="s">
        <v>67</v>
      </c>
      <c r="C154" t="s">
        <v>240</v>
      </c>
      <c r="D154">
        <v>492</v>
      </c>
      <c r="E154" t="s">
        <v>627</v>
      </c>
      <c r="F154" s="25">
        <v>45764</v>
      </c>
      <c r="G154">
        <v>1600</v>
      </c>
      <c r="I154">
        <v>144</v>
      </c>
      <c r="J154">
        <v>144</v>
      </c>
      <c r="K154" s="15">
        <f t="shared" si="2"/>
        <v>1888</v>
      </c>
      <c r="L154" s="16" t="s">
        <v>16</v>
      </c>
      <c r="M154" t="s">
        <v>797</v>
      </c>
    </row>
    <row r="155" spans="1:13" x14ac:dyDescent="0.25">
      <c r="A155" s="9" t="s">
        <v>22</v>
      </c>
      <c r="B155" t="s">
        <v>58</v>
      </c>
      <c r="C155" t="s">
        <v>241</v>
      </c>
      <c r="D155">
        <v>250</v>
      </c>
      <c r="E155" t="s">
        <v>628</v>
      </c>
      <c r="F155" s="25">
        <v>45764</v>
      </c>
      <c r="G155">
        <v>700</v>
      </c>
      <c r="I155">
        <v>63</v>
      </c>
      <c r="J155">
        <v>63</v>
      </c>
      <c r="K155" s="15">
        <f t="shared" si="2"/>
        <v>826</v>
      </c>
      <c r="L155" s="16" t="s">
        <v>16</v>
      </c>
      <c r="M155" t="s">
        <v>797</v>
      </c>
    </row>
    <row r="156" spans="1:13" x14ac:dyDescent="0.25">
      <c r="A156" s="9" t="s">
        <v>22</v>
      </c>
      <c r="B156" t="s">
        <v>58</v>
      </c>
      <c r="C156" t="s">
        <v>242</v>
      </c>
      <c r="D156">
        <v>256</v>
      </c>
      <c r="E156" t="s">
        <v>629</v>
      </c>
      <c r="F156" s="25">
        <v>45764</v>
      </c>
      <c r="G156">
        <v>600</v>
      </c>
      <c r="I156">
        <v>54</v>
      </c>
      <c r="J156">
        <v>54</v>
      </c>
      <c r="K156" s="15">
        <f t="shared" si="2"/>
        <v>708</v>
      </c>
      <c r="L156" s="16" t="s">
        <v>16</v>
      </c>
      <c r="M156" t="s">
        <v>797</v>
      </c>
    </row>
    <row r="157" spans="1:13" x14ac:dyDescent="0.25">
      <c r="A157" s="9" t="s">
        <v>31</v>
      </c>
      <c r="B157" t="s">
        <v>67</v>
      </c>
      <c r="C157" t="s">
        <v>243</v>
      </c>
      <c r="D157">
        <v>465</v>
      </c>
      <c r="E157" t="s">
        <v>630</v>
      </c>
      <c r="F157" s="25">
        <v>45764</v>
      </c>
      <c r="G157">
        <v>2825</v>
      </c>
      <c r="I157">
        <v>254.25</v>
      </c>
      <c r="J157">
        <v>254.25</v>
      </c>
      <c r="K157" s="15">
        <f t="shared" si="2"/>
        <v>3333.5</v>
      </c>
      <c r="L157" s="16" t="s">
        <v>16</v>
      </c>
      <c r="M157" t="s">
        <v>797</v>
      </c>
    </row>
    <row r="158" spans="1:13" x14ac:dyDescent="0.25">
      <c r="A158" s="9" t="s">
        <v>31</v>
      </c>
      <c r="B158" t="s">
        <v>67</v>
      </c>
      <c r="C158" t="s">
        <v>244</v>
      </c>
      <c r="D158">
        <v>475</v>
      </c>
      <c r="E158" t="s">
        <v>631</v>
      </c>
      <c r="F158" s="25">
        <v>45764</v>
      </c>
      <c r="G158">
        <v>2250</v>
      </c>
      <c r="I158">
        <v>202.5</v>
      </c>
      <c r="J158">
        <v>202.5</v>
      </c>
      <c r="K158" s="15">
        <f t="shared" si="2"/>
        <v>2655</v>
      </c>
      <c r="L158" s="16" t="s">
        <v>16</v>
      </c>
      <c r="M158" t="s">
        <v>797</v>
      </c>
    </row>
    <row r="159" spans="1:13" x14ac:dyDescent="0.25">
      <c r="A159" s="9" t="s">
        <v>18</v>
      </c>
      <c r="B159" t="s">
        <v>54</v>
      </c>
      <c r="C159" t="s">
        <v>245</v>
      </c>
      <c r="D159">
        <v>685</v>
      </c>
      <c r="E159" t="s">
        <v>632</v>
      </c>
      <c r="F159" s="25">
        <v>45764</v>
      </c>
      <c r="G159">
        <v>1100</v>
      </c>
      <c r="I159">
        <v>99</v>
      </c>
      <c r="J159">
        <v>99</v>
      </c>
      <c r="K159" s="15">
        <f t="shared" si="2"/>
        <v>1298</v>
      </c>
      <c r="L159" s="16" t="s">
        <v>16</v>
      </c>
      <c r="M159" t="s">
        <v>797</v>
      </c>
    </row>
    <row r="160" spans="1:13" s="31" customFormat="1" x14ac:dyDescent="0.25">
      <c r="A160" s="42" t="s">
        <v>32</v>
      </c>
      <c r="B160" s="31" t="s">
        <v>68</v>
      </c>
      <c r="C160" s="39" t="s">
        <v>246</v>
      </c>
      <c r="D160" s="39">
        <v>29</v>
      </c>
      <c r="E160" s="31" t="s">
        <v>633</v>
      </c>
      <c r="F160" s="32">
        <v>45764</v>
      </c>
      <c r="G160" s="31">
        <v>3169.48</v>
      </c>
      <c r="I160" s="31">
        <v>285.24</v>
      </c>
      <c r="J160" s="31">
        <v>285.24</v>
      </c>
      <c r="K160" s="35">
        <f t="shared" si="2"/>
        <v>3739.96</v>
      </c>
      <c r="L160" s="34" t="s">
        <v>16</v>
      </c>
      <c r="M160" s="31" t="s">
        <v>798</v>
      </c>
    </row>
    <row r="161" spans="1:13" x14ac:dyDescent="0.25">
      <c r="A161" s="9" t="s">
        <v>23</v>
      </c>
      <c r="B161" t="s">
        <v>59</v>
      </c>
      <c r="C161" t="s">
        <v>247</v>
      </c>
      <c r="D161">
        <v>2116</v>
      </c>
      <c r="E161" t="s">
        <v>634</v>
      </c>
      <c r="F161" s="25">
        <v>45765</v>
      </c>
      <c r="G161">
        <v>1100</v>
      </c>
      <c r="I161">
        <v>99</v>
      </c>
      <c r="J161">
        <v>99</v>
      </c>
      <c r="K161" s="15">
        <f t="shared" si="2"/>
        <v>1298</v>
      </c>
      <c r="L161" s="16" t="s">
        <v>16</v>
      </c>
      <c r="M161" t="s">
        <v>797</v>
      </c>
    </row>
    <row r="162" spans="1:13" x14ac:dyDescent="0.25">
      <c r="A162" s="9" t="s">
        <v>23</v>
      </c>
      <c r="B162" t="s">
        <v>59</v>
      </c>
      <c r="C162" t="s">
        <v>248</v>
      </c>
      <c r="D162">
        <v>2078</v>
      </c>
      <c r="E162" t="s">
        <v>635</v>
      </c>
      <c r="F162" s="25">
        <v>45765</v>
      </c>
      <c r="G162">
        <v>1200</v>
      </c>
      <c r="I162">
        <v>108</v>
      </c>
      <c r="J162">
        <v>108</v>
      </c>
      <c r="K162" s="15">
        <f t="shared" si="2"/>
        <v>1416</v>
      </c>
      <c r="L162" s="16" t="s">
        <v>16</v>
      </c>
      <c r="M162" t="s">
        <v>797</v>
      </c>
    </row>
    <row r="163" spans="1:13" x14ac:dyDescent="0.25">
      <c r="A163" s="9" t="s">
        <v>33</v>
      </c>
      <c r="B163" t="s">
        <v>69</v>
      </c>
      <c r="C163" t="s">
        <v>249</v>
      </c>
      <c r="D163">
        <v>162</v>
      </c>
      <c r="E163" t="s">
        <v>636</v>
      </c>
      <c r="F163" s="25">
        <v>45765</v>
      </c>
      <c r="G163">
        <v>8313.56</v>
      </c>
      <c r="I163">
        <v>748.22</v>
      </c>
      <c r="J163">
        <v>748.22</v>
      </c>
      <c r="K163" s="15">
        <f t="shared" si="2"/>
        <v>9809.9999999999982</v>
      </c>
      <c r="L163" s="16" t="s">
        <v>16</v>
      </c>
      <c r="M163" t="s">
        <v>797</v>
      </c>
    </row>
    <row r="164" spans="1:13" x14ac:dyDescent="0.25">
      <c r="A164" s="9" t="s">
        <v>31</v>
      </c>
      <c r="B164" t="s">
        <v>67</v>
      </c>
      <c r="C164" t="s">
        <v>250</v>
      </c>
      <c r="D164">
        <v>511</v>
      </c>
      <c r="E164" t="s">
        <v>637</v>
      </c>
      <c r="F164" s="25">
        <v>45765</v>
      </c>
      <c r="G164">
        <v>2775</v>
      </c>
      <c r="I164">
        <v>249.75</v>
      </c>
      <c r="J164">
        <v>249.75</v>
      </c>
      <c r="K164" s="15">
        <f t="shared" si="2"/>
        <v>3274.5</v>
      </c>
      <c r="L164" s="16" t="s">
        <v>16</v>
      </c>
      <c r="M164" t="s">
        <v>797</v>
      </c>
    </row>
    <row r="165" spans="1:13" x14ac:dyDescent="0.25">
      <c r="A165" s="9" t="s">
        <v>31</v>
      </c>
      <c r="B165" t="s">
        <v>67</v>
      </c>
      <c r="C165" t="s">
        <v>251</v>
      </c>
      <c r="D165">
        <v>521</v>
      </c>
      <c r="E165" t="s">
        <v>638</v>
      </c>
      <c r="F165" s="25">
        <v>45765</v>
      </c>
      <c r="G165">
        <v>600</v>
      </c>
      <c r="I165">
        <v>54</v>
      </c>
      <c r="J165">
        <v>54</v>
      </c>
      <c r="K165" s="15">
        <f t="shared" si="2"/>
        <v>708</v>
      </c>
      <c r="L165" s="16" t="s">
        <v>16</v>
      </c>
      <c r="M165" t="s">
        <v>797</v>
      </c>
    </row>
    <row r="166" spans="1:13" x14ac:dyDescent="0.25">
      <c r="A166" s="9" t="s">
        <v>31</v>
      </c>
      <c r="B166" t="s">
        <v>67</v>
      </c>
      <c r="C166" t="s">
        <v>252</v>
      </c>
      <c r="D166">
        <v>529</v>
      </c>
      <c r="E166" t="s">
        <v>639</v>
      </c>
      <c r="F166" s="25">
        <v>45765</v>
      </c>
      <c r="G166">
        <v>230</v>
      </c>
      <c r="I166">
        <v>20.7</v>
      </c>
      <c r="J166">
        <v>20.7</v>
      </c>
      <c r="K166" s="15">
        <f t="shared" si="2"/>
        <v>271.39999999999998</v>
      </c>
      <c r="L166" s="16" t="s">
        <v>16</v>
      </c>
      <c r="M166" t="s">
        <v>797</v>
      </c>
    </row>
    <row r="167" spans="1:13" x14ac:dyDescent="0.25">
      <c r="A167" s="9" t="s">
        <v>22</v>
      </c>
      <c r="B167" t="s">
        <v>58</v>
      </c>
      <c r="C167" t="s">
        <v>253</v>
      </c>
      <c r="D167">
        <v>292</v>
      </c>
      <c r="E167" t="s">
        <v>640</v>
      </c>
      <c r="F167" s="25">
        <v>45765</v>
      </c>
      <c r="G167">
        <v>700</v>
      </c>
      <c r="I167">
        <v>63</v>
      </c>
      <c r="J167">
        <v>63</v>
      </c>
      <c r="K167" s="15">
        <f t="shared" si="2"/>
        <v>826</v>
      </c>
      <c r="L167" s="16" t="s">
        <v>16</v>
      </c>
      <c r="M167" t="s">
        <v>797</v>
      </c>
    </row>
    <row r="168" spans="1:13" x14ac:dyDescent="0.25">
      <c r="A168" s="9" t="s">
        <v>17</v>
      </c>
      <c r="B168" t="s">
        <v>53</v>
      </c>
      <c r="C168" t="s">
        <v>254</v>
      </c>
      <c r="D168">
        <v>612</v>
      </c>
      <c r="E168" t="s">
        <v>641</v>
      </c>
      <c r="F168" s="25">
        <v>45765</v>
      </c>
      <c r="G168">
        <v>8000</v>
      </c>
      <c r="I168">
        <v>720</v>
      </c>
      <c r="J168">
        <v>720</v>
      </c>
      <c r="K168" s="15">
        <f t="shared" si="2"/>
        <v>9440</v>
      </c>
      <c r="L168" s="16" t="s">
        <v>16</v>
      </c>
      <c r="M168" t="s">
        <v>797</v>
      </c>
    </row>
    <row r="169" spans="1:13" x14ac:dyDescent="0.25">
      <c r="A169" s="9" t="s">
        <v>17</v>
      </c>
      <c r="B169" t="s">
        <v>53</v>
      </c>
      <c r="C169" t="s">
        <v>255</v>
      </c>
      <c r="D169">
        <v>616</v>
      </c>
      <c r="E169" t="s">
        <v>642</v>
      </c>
      <c r="F169" s="25">
        <v>45765</v>
      </c>
      <c r="G169">
        <v>15000</v>
      </c>
      <c r="I169">
        <v>1350</v>
      </c>
      <c r="J169">
        <v>1350</v>
      </c>
      <c r="K169" s="15">
        <f t="shared" si="2"/>
        <v>17700</v>
      </c>
      <c r="L169" s="16" t="s">
        <v>16</v>
      </c>
      <c r="M169" t="s">
        <v>797</v>
      </c>
    </row>
    <row r="170" spans="1:13" s="31" customFormat="1" x14ac:dyDescent="0.25">
      <c r="A170" s="42" t="s">
        <v>32</v>
      </c>
      <c r="B170" s="31" t="s">
        <v>68</v>
      </c>
      <c r="C170" s="39" t="s">
        <v>256</v>
      </c>
      <c r="D170" s="39">
        <v>30</v>
      </c>
      <c r="E170" s="31" t="s">
        <v>643</v>
      </c>
      <c r="F170" s="32">
        <v>45765</v>
      </c>
      <c r="G170" s="31">
        <v>2796.61</v>
      </c>
      <c r="I170" s="31">
        <v>251.69</v>
      </c>
      <c r="J170" s="31">
        <v>251.69</v>
      </c>
      <c r="K170" s="35">
        <f t="shared" si="2"/>
        <v>3299.9900000000002</v>
      </c>
      <c r="L170" s="34" t="s">
        <v>16</v>
      </c>
      <c r="M170" s="31" t="s">
        <v>798</v>
      </c>
    </row>
    <row r="171" spans="1:13" x14ac:dyDescent="0.25">
      <c r="A171" s="9" t="s">
        <v>17</v>
      </c>
      <c r="B171" t="s">
        <v>53</v>
      </c>
      <c r="C171" t="s">
        <v>257</v>
      </c>
      <c r="D171">
        <v>611</v>
      </c>
      <c r="E171" t="s">
        <v>644</v>
      </c>
      <c r="F171" s="25">
        <v>45765</v>
      </c>
      <c r="G171">
        <v>5000</v>
      </c>
      <c r="I171">
        <v>450</v>
      </c>
      <c r="J171">
        <v>450</v>
      </c>
      <c r="K171" s="15">
        <f t="shared" si="2"/>
        <v>5900</v>
      </c>
      <c r="L171" s="16" t="s">
        <v>16</v>
      </c>
      <c r="M171" t="s">
        <v>797</v>
      </c>
    </row>
    <row r="172" spans="1:13" x14ac:dyDescent="0.25">
      <c r="A172" s="9" t="s">
        <v>31</v>
      </c>
      <c r="B172" t="s">
        <v>67</v>
      </c>
      <c r="C172" t="s">
        <v>258</v>
      </c>
      <c r="D172">
        <v>509</v>
      </c>
      <c r="E172" t="s">
        <v>645</v>
      </c>
      <c r="F172" s="25">
        <v>45765</v>
      </c>
      <c r="G172">
        <v>800</v>
      </c>
      <c r="I172">
        <v>72</v>
      </c>
      <c r="J172">
        <v>72</v>
      </c>
      <c r="K172" s="15">
        <f t="shared" si="2"/>
        <v>944</v>
      </c>
      <c r="L172" s="16" t="s">
        <v>16</v>
      </c>
      <c r="M172" t="s">
        <v>797</v>
      </c>
    </row>
    <row r="173" spans="1:13" s="31" customFormat="1" x14ac:dyDescent="0.25">
      <c r="A173" s="42" t="s">
        <v>32</v>
      </c>
      <c r="B173" s="31" t="s">
        <v>68</v>
      </c>
      <c r="C173" s="39" t="s">
        <v>259</v>
      </c>
      <c r="D173" s="39">
        <v>33</v>
      </c>
      <c r="E173" s="31" t="s">
        <v>646</v>
      </c>
      <c r="F173" s="32">
        <v>45765</v>
      </c>
      <c r="G173" s="31">
        <v>4940.68</v>
      </c>
      <c r="I173" s="31">
        <v>444.66</v>
      </c>
      <c r="J173" s="31">
        <v>444.66</v>
      </c>
      <c r="K173" s="35">
        <f t="shared" si="2"/>
        <v>5830</v>
      </c>
      <c r="L173" s="34" t="s">
        <v>16</v>
      </c>
      <c r="M173" s="31" t="s">
        <v>798</v>
      </c>
    </row>
    <row r="174" spans="1:13" x14ac:dyDescent="0.25">
      <c r="A174" s="9" t="s">
        <v>35</v>
      </c>
      <c r="B174" t="s">
        <v>71</v>
      </c>
      <c r="C174" t="s">
        <v>260</v>
      </c>
      <c r="D174">
        <v>4044</v>
      </c>
      <c r="E174" t="s">
        <v>647</v>
      </c>
      <c r="F174" s="25">
        <v>45765</v>
      </c>
      <c r="G174">
        <v>3650</v>
      </c>
      <c r="H174">
        <v>657</v>
      </c>
      <c r="K174" s="15">
        <f t="shared" si="2"/>
        <v>4307</v>
      </c>
      <c r="L174" s="16" t="s">
        <v>16</v>
      </c>
      <c r="M174" t="s">
        <v>797</v>
      </c>
    </row>
    <row r="175" spans="1:13" x14ac:dyDescent="0.25">
      <c r="A175" s="9" t="s">
        <v>35</v>
      </c>
      <c r="B175" t="s">
        <v>71</v>
      </c>
      <c r="C175" t="s">
        <v>261</v>
      </c>
      <c r="D175">
        <v>4048</v>
      </c>
      <c r="E175" t="s">
        <v>648</v>
      </c>
      <c r="F175" s="25">
        <v>45765</v>
      </c>
      <c r="G175">
        <v>4850</v>
      </c>
      <c r="H175">
        <v>873</v>
      </c>
      <c r="K175" s="15">
        <f t="shared" si="2"/>
        <v>5723</v>
      </c>
      <c r="L175" s="16" t="s">
        <v>16</v>
      </c>
      <c r="M175" t="s">
        <v>797</v>
      </c>
    </row>
    <row r="176" spans="1:13" s="31" customFormat="1" x14ac:dyDescent="0.25">
      <c r="A176" s="42" t="s">
        <v>43</v>
      </c>
      <c r="B176" s="31" t="s">
        <v>79</v>
      </c>
      <c r="C176" s="39" t="s">
        <v>262</v>
      </c>
      <c r="D176" s="39">
        <v>228</v>
      </c>
      <c r="E176" s="31" t="s">
        <v>649</v>
      </c>
      <c r="F176" s="32">
        <v>45765</v>
      </c>
      <c r="G176" s="31">
        <v>27966.12</v>
      </c>
      <c r="H176" s="31">
        <v>5033.8999999999996</v>
      </c>
      <c r="K176" s="35">
        <f t="shared" si="2"/>
        <v>33000.019999999997</v>
      </c>
      <c r="L176" s="34" t="s">
        <v>16</v>
      </c>
      <c r="M176" s="31" t="s">
        <v>798</v>
      </c>
    </row>
    <row r="177" spans="1:13" s="31" customFormat="1" x14ac:dyDescent="0.25">
      <c r="A177" s="42" t="s">
        <v>43</v>
      </c>
      <c r="B177" s="31" t="s">
        <v>79</v>
      </c>
      <c r="C177" s="39" t="s">
        <v>263</v>
      </c>
      <c r="D177" s="39">
        <v>229</v>
      </c>
      <c r="E177" s="31" t="s">
        <v>650</v>
      </c>
      <c r="F177" s="32">
        <v>45765</v>
      </c>
      <c r="G177" s="31">
        <v>27966.12</v>
      </c>
      <c r="H177" s="31">
        <v>5033.8999999999996</v>
      </c>
      <c r="K177" s="35">
        <f t="shared" si="2"/>
        <v>33000.019999999997</v>
      </c>
      <c r="L177" s="34" t="s">
        <v>16</v>
      </c>
      <c r="M177" s="31" t="s">
        <v>798</v>
      </c>
    </row>
    <row r="178" spans="1:13" x14ac:dyDescent="0.25">
      <c r="A178" s="9" t="s">
        <v>49</v>
      </c>
      <c r="B178" t="s">
        <v>85</v>
      </c>
      <c r="C178" t="s">
        <v>264</v>
      </c>
      <c r="D178">
        <v>2607000301832</v>
      </c>
      <c r="E178" t="s">
        <v>651</v>
      </c>
      <c r="F178" s="25">
        <v>45766</v>
      </c>
      <c r="G178">
        <v>2099</v>
      </c>
      <c r="I178">
        <v>188.91</v>
      </c>
      <c r="J178">
        <v>188.91</v>
      </c>
      <c r="K178" s="15">
        <f t="shared" si="2"/>
        <v>2476.8199999999997</v>
      </c>
      <c r="L178" s="16" t="s">
        <v>16</v>
      </c>
      <c r="M178" t="s">
        <v>797</v>
      </c>
    </row>
    <row r="179" spans="1:13" s="31" customFormat="1" x14ac:dyDescent="0.25">
      <c r="A179" s="42" t="s">
        <v>32</v>
      </c>
      <c r="B179" s="31" t="s">
        <v>68</v>
      </c>
      <c r="C179" s="39" t="s">
        <v>265</v>
      </c>
      <c r="D179" s="39">
        <v>35</v>
      </c>
      <c r="E179" s="31" t="s">
        <v>652</v>
      </c>
      <c r="F179" s="32">
        <v>45766</v>
      </c>
      <c r="G179" s="31">
        <v>9135.6</v>
      </c>
      <c r="I179" s="31">
        <v>822.2</v>
      </c>
      <c r="J179" s="31">
        <v>822.2</v>
      </c>
      <c r="K179" s="35">
        <f t="shared" si="2"/>
        <v>10780.000000000002</v>
      </c>
      <c r="L179" s="34" t="s">
        <v>16</v>
      </c>
      <c r="M179" s="31" t="s">
        <v>798</v>
      </c>
    </row>
    <row r="180" spans="1:13" s="31" customFormat="1" x14ac:dyDescent="0.25">
      <c r="A180" s="42" t="s">
        <v>32</v>
      </c>
      <c r="B180" s="31" t="s">
        <v>68</v>
      </c>
      <c r="C180" s="39" t="s">
        <v>266</v>
      </c>
      <c r="D180" s="39">
        <v>34</v>
      </c>
      <c r="E180" s="31" t="s">
        <v>653</v>
      </c>
      <c r="F180" s="32">
        <v>45766</v>
      </c>
      <c r="G180" s="31">
        <v>9322.0300000000007</v>
      </c>
      <c r="I180" s="31">
        <v>838.98</v>
      </c>
      <c r="J180" s="31">
        <v>838.98</v>
      </c>
      <c r="K180" s="35">
        <f t="shared" si="2"/>
        <v>10999.99</v>
      </c>
      <c r="L180" s="34" t="s">
        <v>16</v>
      </c>
      <c r="M180" s="31" t="s">
        <v>798</v>
      </c>
    </row>
    <row r="181" spans="1:13" x14ac:dyDescent="0.25">
      <c r="A181" s="9" t="s">
        <v>50</v>
      </c>
      <c r="B181" t="s">
        <v>86</v>
      </c>
      <c r="C181" t="s">
        <v>267</v>
      </c>
      <c r="D181">
        <v>8</v>
      </c>
      <c r="E181" t="s">
        <v>654</v>
      </c>
      <c r="F181" s="25">
        <v>45766</v>
      </c>
      <c r="G181">
        <v>189830.48</v>
      </c>
      <c r="I181">
        <v>17084.740000000002</v>
      </c>
      <c r="J181">
        <v>17084.740000000002</v>
      </c>
      <c r="K181" s="15">
        <f t="shared" si="2"/>
        <v>223999.96</v>
      </c>
      <c r="L181" s="16" t="s">
        <v>16</v>
      </c>
      <c r="M181" t="s">
        <v>797</v>
      </c>
    </row>
    <row r="182" spans="1:13" x14ac:dyDescent="0.25">
      <c r="A182" s="9" t="s">
        <v>44</v>
      </c>
      <c r="B182" t="s">
        <v>80</v>
      </c>
      <c r="C182" t="s">
        <v>268</v>
      </c>
      <c r="D182">
        <v>217</v>
      </c>
      <c r="E182" t="s">
        <v>655</v>
      </c>
      <c r="F182" s="25">
        <v>45766</v>
      </c>
      <c r="G182">
        <v>1200</v>
      </c>
      <c r="I182">
        <v>108</v>
      </c>
      <c r="J182">
        <v>108</v>
      </c>
      <c r="K182" s="15">
        <f t="shared" si="2"/>
        <v>1416</v>
      </c>
      <c r="L182" s="16" t="s">
        <v>16</v>
      </c>
      <c r="M182" t="s">
        <v>797</v>
      </c>
    </row>
    <row r="183" spans="1:13" x14ac:dyDescent="0.25">
      <c r="A183" s="9" t="s">
        <v>31</v>
      </c>
      <c r="B183" t="s">
        <v>67</v>
      </c>
      <c r="C183" t="s">
        <v>269</v>
      </c>
      <c r="D183">
        <v>547</v>
      </c>
      <c r="E183" t="s">
        <v>656</v>
      </c>
      <c r="F183" s="25">
        <v>45766</v>
      </c>
      <c r="G183">
        <v>800</v>
      </c>
      <c r="I183">
        <v>72</v>
      </c>
      <c r="J183">
        <v>72</v>
      </c>
      <c r="K183" s="15">
        <f t="shared" si="2"/>
        <v>944</v>
      </c>
      <c r="L183" s="16" t="s">
        <v>16</v>
      </c>
      <c r="M183" t="s">
        <v>797</v>
      </c>
    </row>
    <row r="184" spans="1:13" x14ac:dyDescent="0.25">
      <c r="A184" s="9" t="s">
        <v>22</v>
      </c>
      <c r="B184" t="s">
        <v>58</v>
      </c>
      <c r="C184" t="s">
        <v>270</v>
      </c>
      <c r="D184">
        <v>297</v>
      </c>
      <c r="E184" t="s">
        <v>657</v>
      </c>
      <c r="F184" s="25">
        <v>45766</v>
      </c>
      <c r="G184">
        <v>1300</v>
      </c>
      <c r="I184">
        <v>117</v>
      </c>
      <c r="J184">
        <v>117</v>
      </c>
      <c r="K184" s="15">
        <f t="shared" si="2"/>
        <v>1534</v>
      </c>
      <c r="L184" s="16" t="s">
        <v>16</v>
      </c>
      <c r="M184" t="s">
        <v>797</v>
      </c>
    </row>
    <row r="185" spans="1:13" x14ac:dyDescent="0.25">
      <c r="A185" s="9" t="s">
        <v>31</v>
      </c>
      <c r="B185" t="s">
        <v>67</v>
      </c>
      <c r="C185" t="s">
        <v>271</v>
      </c>
      <c r="D185">
        <v>573</v>
      </c>
      <c r="E185" t="s">
        <v>658</v>
      </c>
      <c r="F185" s="25">
        <v>45768</v>
      </c>
      <c r="G185">
        <v>700</v>
      </c>
      <c r="I185">
        <v>63</v>
      </c>
      <c r="J185">
        <v>63</v>
      </c>
      <c r="K185" s="15">
        <f t="shared" si="2"/>
        <v>826</v>
      </c>
      <c r="L185" s="16" t="s">
        <v>16</v>
      </c>
      <c r="M185" t="s">
        <v>797</v>
      </c>
    </row>
    <row r="186" spans="1:13" x14ac:dyDescent="0.25">
      <c r="A186" s="9" t="s">
        <v>31</v>
      </c>
      <c r="B186" t="s">
        <v>67</v>
      </c>
      <c r="C186" t="s">
        <v>272</v>
      </c>
      <c r="D186">
        <v>584</v>
      </c>
      <c r="E186" t="s">
        <v>659</v>
      </c>
      <c r="F186" s="25">
        <v>45768</v>
      </c>
      <c r="G186">
        <v>900</v>
      </c>
      <c r="I186">
        <v>81</v>
      </c>
      <c r="J186">
        <v>81</v>
      </c>
      <c r="K186" s="15">
        <f t="shared" si="2"/>
        <v>1062</v>
      </c>
      <c r="L186" s="16" t="s">
        <v>16</v>
      </c>
      <c r="M186" t="s">
        <v>797</v>
      </c>
    </row>
    <row r="187" spans="1:13" x14ac:dyDescent="0.25">
      <c r="A187" s="9" t="s">
        <v>22</v>
      </c>
      <c r="B187" t="s">
        <v>58</v>
      </c>
      <c r="C187" t="s">
        <v>273</v>
      </c>
      <c r="D187">
        <v>327</v>
      </c>
      <c r="E187" t="s">
        <v>660</v>
      </c>
      <c r="F187" s="25">
        <v>45768</v>
      </c>
      <c r="G187">
        <v>1400</v>
      </c>
      <c r="I187">
        <v>126</v>
      </c>
      <c r="J187">
        <v>126</v>
      </c>
      <c r="K187" s="15">
        <f t="shared" si="2"/>
        <v>1652</v>
      </c>
      <c r="L187" s="16" t="s">
        <v>16</v>
      </c>
      <c r="M187" t="s">
        <v>797</v>
      </c>
    </row>
    <row r="188" spans="1:13" s="31" customFormat="1" x14ac:dyDescent="0.25">
      <c r="A188" s="42" t="s">
        <v>39</v>
      </c>
      <c r="B188" s="31" t="s">
        <v>75</v>
      </c>
      <c r="C188" s="39" t="s">
        <v>274</v>
      </c>
      <c r="D188" s="39">
        <v>27</v>
      </c>
      <c r="E188" s="31" t="s">
        <v>661</v>
      </c>
      <c r="F188" s="32">
        <v>45768</v>
      </c>
      <c r="G188" s="31">
        <v>38800</v>
      </c>
      <c r="H188" s="31">
        <v>6984</v>
      </c>
      <c r="K188" s="35">
        <f t="shared" si="2"/>
        <v>45784</v>
      </c>
      <c r="L188" s="34" t="s">
        <v>16</v>
      </c>
      <c r="M188" s="31" t="s">
        <v>798</v>
      </c>
    </row>
    <row r="189" spans="1:13" x14ac:dyDescent="0.25">
      <c r="A189" s="9" t="s">
        <v>23</v>
      </c>
      <c r="B189" t="s">
        <v>59</v>
      </c>
      <c r="C189" t="s">
        <v>275</v>
      </c>
      <c r="D189">
        <v>2425</v>
      </c>
      <c r="E189" t="s">
        <v>662</v>
      </c>
      <c r="F189" s="25">
        <v>45769</v>
      </c>
      <c r="G189">
        <v>1600</v>
      </c>
      <c r="I189">
        <v>144</v>
      </c>
      <c r="J189">
        <v>144</v>
      </c>
      <c r="K189" s="15">
        <f t="shared" si="2"/>
        <v>1888</v>
      </c>
      <c r="L189" s="16" t="s">
        <v>16</v>
      </c>
      <c r="M189" t="s">
        <v>797</v>
      </c>
    </row>
    <row r="190" spans="1:13" x14ac:dyDescent="0.25">
      <c r="A190" s="9" t="s">
        <v>31</v>
      </c>
      <c r="B190" t="s">
        <v>67</v>
      </c>
      <c r="C190" t="s">
        <v>276</v>
      </c>
      <c r="D190">
        <v>605</v>
      </c>
      <c r="E190" t="s">
        <v>663</v>
      </c>
      <c r="F190" s="25">
        <v>45769</v>
      </c>
      <c r="G190">
        <v>220</v>
      </c>
      <c r="I190">
        <v>19.8</v>
      </c>
      <c r="J190">
        <v>19.8</v>
      </c>
      <c r="K190" s="15">
        <f t="shared" si="2"/>
        <v>259.60000000000002</v>
      </c>
      <c r="L190" s="16" t="s">
        <v>16</v>
      </c>
      <c r="M190" t="s">
        <v>797</v>
      </c>
    </row>
    <row r="191" spans="1:13" x14ac:dyDescent="0.25">
      <c r="A191" s="9" t="s">
        <v>33</v>
      </c>
      <c r="B191" t="s">
        <v>69</v>
      </c>
      <c r="C191" t="s">
        <v>277</v>
      </c>
      <c r="D191">
        <v>194</v>
      </c>
      <c r="E191" t="s">
        <v>664</v>
      </c>
      <c r="F191" s="25">
        <v>45769</v>
      </c>
      <c r="G191">
        <v>6004.24</v>
      </c>
      <c r="I191">
        <v>540.38</v>
      </c>
      <c r="J191">
        <v>540.38</v>
      </c>
      <c r="K191" s="15">
        <f t="shared" si="2"/>
        <v>7085</v>
      </c>
      <c r="L191" s="16" t="s">
        <v>16</v>
      </c>
      <c r="M191" t="s">
        <v>797</v>
      </c>
    </row>
    <row r="192" spans="1:13" x14ac:dyDescent="0.25">
      <c r="A192" s="9" t="s">
        <v>31</v>
      </c>
      <c r="B192" t="s">
        <v>67</v>
      </c>
      <c r="C192" t="s">
        <v>278</v>
      </c>
      <c r="D192">
        <v>614</v>
      </c>
      <c r="E192" t="s">
        <v>665</v>
      </c>
      <c r="F192" s="25">
        <v>45769</v>
      </c>
      <c r="G192">
        <v>220</v>
      </c>
      <c r="I192">
        <v>19.8</v>
      </c>
      <c r="J192">
        <v>19.8</v>
      </c>
      <c r="K192" s="15">
        <f t="shared" si="2"/>
        <v>259.60000000000002</v>
      </c>
      <c r="L192" s="16" t="s">
        <v>16</v>
      </c>
      <c r="M192" t="s">
        <v>797</v>
      </c>
    </row>
    <row r="193" spans="1:13" s="31" customFormat="1" x14ac:dyDescent="0.25">
      <c r="A193" s="42" t="s">
        <v>46</v>
      </c>
      <c r="B193" s="31" t="s">
        <v>82</v>
      </c>
      <c r="C193" s="39" t="s">
        <v>279</v>
      </c>
      <c r="D193" s="39">
        <v>31</v>
      </c>
      <c r="E193" s="31" t="s">
        <v>666</v>
      </c>
      <c r="F193" s="32">
        <v>45769</v>
      </c>
      <c r="G193" s="31">
        <v>625</v>
      </c>
      <c r="I193" s="31">
        <v>56.25</v>
      </c>
      <c r="J193" s="31">
        <v>56.25</v>
      </c>
      <c r="K193" s="35">
        <f t="shared" si="2"/>
        <v>737.5</v>
      </c>
      <c r="L193" s="34" t="s">
        <v>16</v>
      </c>
      <c r="M193" s="31" t="s">
        <v>798</v>
      </c>
    </row>
    <row r="194" spans="1:13" x14ac:dyDescent="0.25">
      <c r="A194" s="9" t="s">
        <v>48</v>
      </c>
      <c r="B194" t="s">
        <v>84</v>
      </c>
      <c r="C194" t="s">
        <v>280</v>
      </c>
      <c r="D194">
        <v>16</v>
      </c>
      <c r="E194" t="s">
        <v>667</v>
      </c>
      <c r="F194" s="25">
        <v>45769</v>
      </c>
      <c r="G194">
        <v>3400</v>
      </c>
      <c r="I194">
        <v>306</v>
      </c>
      <c r="J194">
        <v>306</v>
      </c>
      <c r="K194" s="15">
        <f t="shared" si="2"/>
        <v>4012</v>
      </c>
      <c r="L194" s="16" t="s">
        <v>16</v>
      </c>
      <c r="M194" t="s">
        <v>797</v>
      </c>
    </row>
    <row r="195" spans="1:13" x14ac:dyDescent="0.25">
      <c r="A195" s="9" t="s">
        <v>33</v>
      </c>
      <c r="B195" t="s">
        <v>69</v>
      </c>
      <c r="C195" t="s">
        <v>281</v>
      </c>
      <c r="D195">
        <v>196</v>
      </c>
      <c r="E195" t="s">
        <v>668</v>
      </c>
      <c r="F195" s="25">
        <v>45769</v>
      </c>
      <c r="G195">
        <v>7389.83</v>
      </c>
      <c r="I195">
        <v>665.08</v>
      </c>
      <c r="J195">
        <v>665.08</v>
      </c>
      <c r="K195" s="15">
        <f t="shared" ref="K195:K258" si="3">G195+H195+I195+J195</f>
        <v>8719.99</v>
      </c>
      <c r="L195" s="16" t="s">
        <v>16</v>
      </c>
      <c r="M195" t="s">
        <v>797</v>
      </c>
    </row>
    <row r="196" spans="1:13" x14ac:dyDescent="0.25">
      <c r="A196" s="9" t="s">
        <v>22</v>
      </c>
      <c r="B196" t="s">
        <v>58</v>
      </c>
      <c r="C196" t="s">
        <v>282</v>
      </c>
      <c r="D196">
        <v>344</v>
      </c>
      <c r="E196" t="s">
        <v>669</v>
      </c>
      <c r="F196" s="25">
        <v>45769</v>
      </c>
      <c r="G196">
        <v>650</v>
      </c>
      <c r="I196">
        <v>58.5</v>
      </c>
      <c r="J196">
        <v>58.5</v>
      </c>
      <c r="K196" s="15">
        <f t="shared" si="3"/>
        <v>767</v>
      </c>
      <c r="L196" s="16" t="s">
        <v>16</v>
      </c>
      <c r="M196" t="s">
        <v>797</v>
      </c>
    </row>
    <row r="197" spans="1:13" x14ac:dyDescent="0.25">
      <c r="A197" s="9" t="s">
        <v>50</v>
      </c>
      <c r="B197" t="s">
        <v>86</v>
      </c>
      <c r="C197" t="s">
        <v>283</v>
      </c>
      <c r="D197">
        <v>11</v>
      </c>
      <c r="E197" t="s">
        <v>670</v>
      </c>
      <c r="F197" s="25">
        <v>45769</v>
      </c>
      <c r="G197">
        <v>100000</v>
      </c>
      <c r="I197">
        <v>9000</v>
      </c>
      <c r="J197">
        <v>9000</v>
      </c>
      <c r="K197" s="15">
        <f t="shared" si="3"/>
        <v>118000</v>
      </c>
      <c r="L197" s="16" t="s">
        <v>16</v>
      </c>
      <c r="M197" t="s">
        <v>797</v>
      </c>
    </row>
    <row r="198" spans="1:13" x14ac:dyDescent="0.25">
      <c r="A198" s="9" t="s">
        <v>22</v>
      </c>
      <c r="B198" t="s">
        <v>58</v>
      </c>
      <c r="C198" t="s">
        <v>284</v>
      </c>
      <c r="D198">
        <v>334</v>
      </c>
      <c r="E198" t="s">
        <v>671</v>
      </c>
      <c r="F198" s="25">
        <v>45769</v>
      </c>
      <c r="G198">
        <v>350</v>
      </c>
      <c r="I198">
        <v>31.5</v>
      </c>
      <c r="J198">
        <v>31.5</v>
      </c>
      <c r="K198" s="15">
        <f t="shared" si="3"/>
        <v>413</v>
      </c>
      <c r="L198" s="16" t="s">
        <v>16</v>
      </c>
      <c r="M198" t="s">
        <v>797</v>
      </c>
    </row>
    <row r="199" spans="1:13" x14ac:dyDescent="0.25">
      <c r="A199" s="9" t="s">
        <v>30</v>
      </c>
      <c r="B199" t="s">
        <v>66</v>
      </c>
      <c r="C199" t="s">
        <v>285</v>
      </c>
      <c r="D199">
        <v>28</v>
      </c>
      <c r="E199" t="s">
        <v>672</v>
      </c>
      <c r="F199" s="25">
        <v>45769</v>
      </c>
      <c r="G199">
        <v>9000</v>
      </c>
      <c r="I199">
        <v>810</v>
      </c>
      <c r="J199">
        <v>810</v>
      </c>
      <c r="K199" s="15">
        <f t="shared" si="3"/>
        <v>10620</v>
      </c>
      <c r="L199" s="16" t="s">
        <v>16</v>
      </c>
      <c r="M199" t="s">
        <v>797</v>
      </c>
    </row>
    <row r="200" spans="1:13" x14ac:dyDescent="0.25">
      <c r="A200" s="9" t="s">
        <v>31</v>
      </c>
      <c r="B200" t="s">
        <v>67</v>
      </c>
      <c r="C200" t="s">
        <v>286</v>
      </c>
      <c r="D200">
        <v>604</v>
      </c>
      <c r="E200" t="s">
        <v>673</v>
      </c>
      <c r="F200" s="25">
        <v>45769</v>
      </c>
      <c r="G200">
        <v>600</v>
      </c>
      <c r="I200">
        <v>54</v>
      </c>
      <c r="J200">
        <v>54</v>
      </c>
      <c r="K200" s="15">
        <f t="shared" si="3"/>
        <v>708</v>
      </c>
      <c r="L200" s="16" t="s">
        <v>16</v>
      </c>
      <c r="M200" t="s">
        <v>797</v>
      </c>
    </row>
    <row r="201" spans="1:13" s="31" customFormat="1" x14ac:dyDescent="0.25">
      <c r="A201" s="42" t="s">
        <v>39</v>
      </c>
      <c r="B201" s="31" t="s">
        <v>75</v>
      </c>
      <c r="C201" s="39" t="s">
        <v>287</v>
      </c>
      <c r="D201" s="39">
        <v>28</v>
      </c>
      <c r="E201" s="31" t="s">
        <v>674</v>
      </c>
      <c r="F201" s="32">
        <v>45769</v>
      </c>
      <c r="G201" s="31">
        <v>40000</v>
      </c>
      <c r="H201" s="31">
        <v>7200</v>
      </c>
      <c r="K201" s="35">
        <f t="shared" si="3"/>
        <v>47200</v>
      </c>
      <c r="L201" s="34" t="s">
        <v>16</v>
      </c>
      <c r="M201" s="31" t="s">
        <v>798</v>
      </c>
    </row>
    <row r="202" spans="1:13" x14ac:dyDescent="0.25">
      <c r="A202" s="9" t="s">
        <v>23</v>
      </c>
      <c r="B202" t="s">
        <v>59</v>
      </c>
      <c r="C202" t="s">
        <v>288</v>
      </c>
      <c r="D202">
        <v>2524</v>
      </c>
      <c r="E202" t="s">
        <v>675</v>
      </c>
      <c r="F202" s="25">
        <v>45770</v>
      </c>
      <c r="G202">
        <v>1000</v>
      </c>
      <c r="I202">
        <v>90</v>
      </c>
      <c r="J202">
        <v>90</v>
      </c>
      <c r="K202" s="15">
        <f t="shared" si="3"/>
        <v>1180</v>
      </c>
      <c r="L202" s="16" t="s">
        <v>16</v>
      </c>
      <c r="M202" t="s">
        <v>797</v>
      </c>
    </row>
    <row r="203" spans="1:13" x14ac:dyDescent="0.25">
      <c r="A203" s="9" t="s">
        <v>38</v>
      </c>
      <c r="B203" t="s">
        <v>74</v>
      </c>
      <c r="C203" t="s">
        <v>289</v>
      </c>
      <c r="D203">
        <v>317</v>
      </c>
      <c r="E203" t="s">
        <v>676</v>
      </c>
      <c r="F203" s="25">
        <v>45770</v>
      </c>
      <c r="G203">
        <v>1864.41</v>
      </c>
      <c r="I203">
        <v>167.8</v>
      </c>
      <c r="J203">
        <v>167.8</v>
      </c>
      <c r="K203" s="15">
        <f t="shared" si="3"/>
        <v>2200.0100000000002</v>
      </c>
      <c r="L203" s="16" t="s">
        <v>16</v>
      </c>
      <c r="M203" t="s">
        <v>797</v>
      </c>
    </row>
    <row r="204" spans="1:13" x14ac:dyDescent="0.25">
      <c r="A204" s="9" t="s">
        <v>38</v>
      </c>
      <c r="B204" t="s">
        <v>74</v>
      </c>
      <c r="C204" t="s">
        <v>290</v>
      </c>
      <c r="D204">
        <v>319</v>
      </c>
      <c r="E204" t="s">
        <v>677</v>
      </c>
      <c r="F204" s="25">
        <v>45770</v>
      </c>
      <c r="G204">
        <v>1864.41</v>
      </c>
      <c r="I204">
        <v>167.8</v>
      </c>
      <c r="J204">
        <v>167.8</v>
      </c>
      <c r="K204" s="15">
        <f t="shared" si="3"/>
        <v>2200.0100000000002</v>
      </c>
      <c r="L204" s="16" t="s">
        <v>16</v>
      </c>
      <c r="M204" t="s">
        <v>797</v>
      </c>
    </row>
    <row r="205" spans="1:13" x14ac:dyDescent="0.25">
      <c r="A205" s="9" t="s">
        <v>31</v>
      </c>
      <c r="B205" t="s">
        <v>67</v>
      </c>
      <c r="C205" t="s">
        <v>291</v>
      </c>
      <c r="D205">
        <v>636</v>
      </c>
      <c r="E205" t="s">
        <v>678</v>
      </c>
      <c r="F205" s="25">
        <v>45770</v>
      </c>
      <c r="G205">
        <v>650</v>
      </c>
      <c r="I205">
        <v>58.5</v>
      </c>
      <c r="J205">
        <v>58.5</v>
      </c>
      <c r="K205" s="15">
        <f t="shared" si="3"/>
        <v>767</v>
      </c>
      <c r="L205" s="16" t="s">
        <v>16</v>
      </c>
      <c r="M205" t="s">
        <v>797</v>
      </c>
    </row>
    <row r="206" spans="1:13" x14ac:dyDescent="0.25">
      <c r="A206" s="9" t="s">
        <v>18</v>
      </c>
      <c r="B206" t="s">
        <v>54</v>
      </c>
      <c r="C206" t="s">
        <v>292</v>
      </c>
      <c r="D206">
        <v>936</v>
      </c>
      <c r="E206" t="s">
        <v>679</v>
      </c>
      <c r="F206" s="25">
        <v>45770</v>
      </c>
      <c r="G206">
        <v>1100</v>
      </c>
      <c r="I206">
        <v>99</v>
      </c>
      <c r="J206">
        <v>99</v>
      </c>
      <c r="K206" s="15">
        <f t="shared" si="3"/>
        <v>1298</v>
      </c>
      <c r="L206" s="16" t="s">
        <v>16</v>
      </c>
      <c r="M206" t="s">
        <v>797</v>
      </c>
    </row>
    <row r="207" spans="1:13" x14ac:dyDescent="0.25">
      <c r="A207" s="9" t="s">
        <v>17</v>
      </c>
      <c r="B207" t="s">
        <v>53</v>
      </c>
      <c r="C207" t="s">
        <v>293</v>
      </c>
      <c r="D207">
        <v>759</v>
      </c>
      <c r="E207" t="s">
        <v>680</v>
      </c>
      <c r="F207" s="25">
        <v>45770</v>
      </c>
      <c r="G207">
        <v>6200</v>
      </c>
      <c r="I207">
        <v>558</v>
      </c>
      <c r="J207">
        <v>558</v>
      </c>
      <c r="K207" s="15">
        <f t="shared" si="3"/>
        <v>7316</v>
      </c>
      <c r="L207" s="16" t="s">
        <v>16</v>
      </c>
      <c r="M207" t="s">
        <v>797</v>
      </c>
    </row>
    <row r="208" spans="1:13" x14ac:dyDescent="0.25">
      <c r="A208" s="9" t="s">
        <v>29</v>
      </c>
      <c r="B208" t="s">
        <v>65</v>
      </c>
      <c r="C208" t="s">
        <v>294</v>
      </c>
      <c r="D208">
        <v>147</v>
      </c>
      <c r="E208" t="s">
        <v>681</v>
      </c>
      <c r="F208" s="25">
        <v>45770</v>
      </c>
      <c r="G208">
        <v>1461.86</v>
      </c>
      <c r="I208">
        <v>131.57</v>
      </c>
      <c r="J208">
        <v>131.57</v>
      </c>
      <c r="K208" s="15">
        <f t="shared" si="3"/>
        <v>1724.9999999999998</v>
      </c>
      <c r="L208" s="16" t="s">
        <v>16</v>
      </c>
      <c r="M208" t="s">
        <v>797</v>
      </c>
    </row>
    <row r="209" spans="1:13" x14ac:dyDescent="0.25">
      <c r="A209" s="9" t="s">
        <v>17</v>
      </c>
      <c r="B209" t="s">
        <v>53</v>
      </c>
      <c r="C209" t="s">
        <v>295</v>
      </c>
      <c r="D209">
        <v>775</v>
      </c>
      <c r="E209" t="s">
        <v>682</v>
      </c>
      <c r="F209" s="25">
        <v>45770</v>
      </c>
      <c r="G209">
        <v>6500</v>
      </c>
      <c r="I209">
        <v>585</v>
      </c>
      <c r="J209">
        <v>585</v>
      </c>
      <c r="K209" s="15">
        <f t="shared" si="3"/>
        <v>7670</v>
      </c>
      <c r="L209" s="16" t="s">
        <v>16</v>
      </c>
      <c r="M209" t="s">
        <v>797</v>
      </c>
    </row>
    <row r="210" spans="1:13" x14ac:dyDescent="0.25">
      <c r="A210" s="9" t="s">
        <v>44</v>
      </c>
      <c r="B210" t="s">
        <v>80</v>
      </c>
      <c r="C210" t="s">
        <v>296</v>
      </c>
      <c r="D210">
        <v>268</v>
      </c>
      <c r="E210" t="s">
        <v>683</v>
      </c>
      <c r="F210" s="25">
        <v>45770</v>
      </c>
      <c r="G210">
        <v>1200</v>
      </c>
      <c r="I210">
        <v>108</v>
      </c>
      <c r="J210">
        <v>108</v>
      </c>
      <c r="K210" s="15">
        <f t="shared" si="3"/>
        <v>1416</v>
      </c>
      <c r="L210" s="16" t="s">
        <v>16</v>
      </c>
      <c r="M210" t="s">
        <v>797</v>
      </c>
    </row>
    <row r="211" spans="1:13" x14ac:dyDescent="0.25">
      <c r="A211" s="9" t="s">
        <v>45</v>
      </c>
      <c r="B211" t="s">
        <v>81</v>
      </c>
      <c r="C211" t="s">
        <v>297</v>
      </c>
      <c r="D211">
        <v>241</v>
      </c>
      <c r="E211" t="s">
        <v>684</v>
      </c>
      <c r="F211" s="25">
        <v>45770</v>
      </c>
      <c r="G211">
        <v>1100</v>
      </c>
      <c r="I211">
        <v>99</v>
      </c>
      <c r="J211">
        <v>99</v>
      </c>
      <c r="K211" s="15">
        <f t="shared" si="3"/>
        <v>1298</v>
      </c>
      <c r="L211" s="16" t="s">
        <v>16</v>
      </c>
      <c r="M211" t="s">
        <v>797</v>
      </c>
    </row>
    <row r="212" spans="1:13" x14ac:dyDescent="0.25">
      <c r="A212" s="9" t="s">
        <v>38</v>
      </c>
      <c r="B212" t="s">
        <v>74</v>
      </c>
      <c r="C212" t="s">
        <v>298</v>
      </c>
      <c r="D212">
        <v>327</v>
      </c>
      <c r="E212" t="s">
        <v>685</v>
      </c>
      <c r="F212" s="25">
        <v>45770</v>
      </c>
      <c r="G212">
        <v>1440.68</v>
      </c>
      <c r="I212">
        <v>129.66</v>
      </c>
      <c r="J212">
        <v>129.66</v>
      </c>
      <c r="K212" s="15">
        <f t="shared" si="3"/>
        <v>1700.0000000000002</v>
      </c>
      <c r="L212" s="16" t="s">
        <v>16</v>
      </c>
      <c r="M212" t="s">
        <v>797</v>
      </c>
    </row>
    <row r="213" spans="1:13" x14ac:dyDescent="0.25">
      <c r="A213" s="9" t="s">
        <v>22</v>
      </c>
      <c r="B213" t="s">
        <v>58</v>
      </c>
      <c r="C213" t="s">
        <v>299</v>
      </c>
      <c r="D213">
        <v>384</v>
      </c>
      <c r="E213" t="s">
        <v>686</v>
      </c>
      <c r="F213" s="25">
        <v>45771</v>
      </c>
      <c r="G213">
        <v>2800</v>
      </c>
      <c r="I213">
        <v>252</v>
      </c>
      <c r="J213">
        <v>252</v>
      </c>
      <c r="K213" s="15">
        <f t="shared" si="3"/>
        <v>3304</v>
      </c>
      <c r="L213" s="16" t="s">
        <v>16</v>
      </c>
      <c r="M213" t="s">
        <v>797</v>
      </c>
    </row>
    <row r="214" spans="1:13" x14ac:dyDescent="0.25">
      <c r="A214" s="9" t="s">
        <v>45</v>
      </c>
      <c r="B214" t="s">
        <v>81</v>
      </c>
      <c r="C214" t="s">
        <v>300</v>
      </c>
      <c r="D214">
        <v>247</v>
      </c>
      <c r="E214" t="s">
        <v>687</v>
      </c>
      <c r="F214" s="25">
        <v>45771</v>
      </c>
      <c r="G214">
        <v>2200</v>
      </c>
      <c r="I214">
        <v>198</v>
      </c>
      <c r="J214">
        <v>198</v>
      </c>
      <c r="K214" s="15">
        <f t="shared" si="3"/>
        <v>2596</v>
      </c>
      <c r="L214" s="16" t="s">
        <v>16</v>
      </c>
      <c r="M214" t="s">
        <v>797</v>
      </c>
    </row>
    <row r="215" spans="1:13" x14ac:dyDescent="0.25">
      <c r="A215" s="9" t="s">
        <v>17</v>
      </c>
      <c r="B215" t="s">
        <v>53</v>
      </c>
      <c r="C215" t="s">
        <v>301</v>
      </c>
      <c r="D215">
        <v>814</v>
      </c>
      <c r="E215" t="s">
        <v>688</v>
      </c>
      <c r="F215" s="25">
        <v>45771</v>
      </c>
      <c r="G215">
        <v>4500</v>
      </c>
      <c r="I215">
        <v>405</v>
      </c>
      <c r="J215">
        <v>405</v>
      </c>
      <c r="K215" s="15">
        <f t="shared" si="3"/>
        <v>5310</v>
      </c>
      <c r="L215" s="16" t="s">
        <v>16</v>
      </c>
      <c r="M215" t="s">
        <v>797</v>
      </c>
    </row>
    <row r="216" spans="1:13" x14ac:dyDescent="0.25">
      <c r="A216" s="9" t="s">
        <v>31</v>
      </c>
      <c r="B216" t="s">
        <v>67</v>
      </c>
      <c r="C216" t="s">
        <v>302</v>
      </c>
      <c r="D216">
        <v>665</v>
      </c>
      <c r="E216" t="s">
        <v>689</v>
      </c>
      <c r="F216" s="25">
        <v>45771</v>
      </c>
      <c r="G216">
        <v>1800</v>
      </c>
      <c r="I216">
        <v>162</v>
      </c>
      <c r="J216">
        <v>162</v>
      </c>
      <c r="K216" s="15">
        <f t="shared" si="3"/>
        <v>2124</v>
      </c>
      <c r="L216" s="16" t="s">
        <v>16</v>
      </c>
      <c r="M216" t="s">
        <v>797</v>
      </c>
    </row>
    <row r="217" spans="1:13" x14ac:dyDescent="0.25">
      <c r="A217" s="9" t="s">
        <v>23</v>
      </c>
      <c r="B217" t="s">
        <v>59</v>
      </c>
      <c r="C217" t="s">
        <v>303</v>
      </c>
      <c r="D217">
        <v>2846</v>
      </c>
      <c r="E217" t="s">
        <v>690</v>
      </c>
      <c r="F217" s="25">
        <v>45772</v>
      </c>
      <c r="G217">
        <v>1200</v>
      </c>
      <c r="I217">
        <v>108</v>
      </c>
      <c r="J217">
        <v>108</v>
      </c>
      <c r="K217" s="15">
        <f t="shared" si="3"/>
        <v>1416</v>
      </c>
      <c r="L217" s="16" t="s">
        <v>16</v>
      </c>
      <c r="M217" t="s">
        <v>797</v>
      </c>
    </row>
    <row r="218" spans="1:13" x14ac:dyDescent="0.25">
      <c r="A218" s="9" t="s">
        <v>23</v>
      </c>
      <c r="B218" t="s">
        <v>59</v>
      </c>
      <c r="C218" t="s">
        <v>304</v>
      </c>
      <c r="D218">
        <v>2824</v>
      </c>
      <c r="E218" t="s">
        <v>691</v>
      </c>
      <c r="F218" s="25">
        <v>45772</v>
      </c>
      <c r="G218">
        <v>380</v>
      </c>
      <c r="I218">
        <v>34.200000000000003</v>
      </c>
      <c r="J218">
        <v>34.200000000000003</v>
      </c>
      <c r="K218" s="15">
        <f t="shared" si="3"/>
        <v>448.4</v>
      </c>
      <c r="L218" s="16" t="s">
        <v>16</v>
      </c>
      <c r="M218" t="s">
        <v>797</v>
      </c>
    </row>
    <row r="219" spans="1:13" x14ac:dyDescent="0.25">
      <c r="A219" s="9" t="s">
        <v>23</v>
      </c>
      <c r="B219" t="s">
        <v>59</v>
      </c>
      <c r="C219" t="s">
        <v>305</v>
      </c>
      <c r="D219">
        <v>2803</v>
      </c>
      <c r="E219" t="s">
        <v>692</v>
      </c>
      <c r="F219" s="25">
        <v>45772</v>
      </c>
      <c r="G219">
        <v>1200</v>
      </c>
      <c r="I219">
        <v>108</v>
      </c>
      <c r="J219">
        <v>108</v>
      </c>
      <c r="K219" s="15">
        <f t="shared" si="3"/>
        <v>1416</v>
      </c>
      <c r="L219" s="16" t="s">
        <v>16</v>
      </c>
      <c r="M219" t="s">
        <v>797</v>
      </c>
    </row>
    <row r="220" spans="1:13" x14ac:dyDescent="0.25">
      <c r="A220" s="9" t="s">
        <v>30</v>
      </c>
      <c r="B220" t="s">
        <v>66</v>
      </c>
      <c r="C220" t="s">
        <v>306</v>
      </c>
      <c r="D220">
        <v>35</v>
      </c>
      <c r="E220" t="s">
        <v>693</v>
      </c>
      <c r="F220" s="25">
        <v>45772</v>
      </c>
      <c r="G220">
        <v>6000</v>
      </c>
      <c r="I220">
        <v>540</v>
      </c>
      <c r="J220">
        <v>540</v>
      </c>
      <c r="K220" s="15">
        <f t="shared" si="3"/>
        <v>7080</v>
      </c>
      <c r="L220" s="16" t="s">
        <v>16</v>
      </c>
      <c r="M220" t="s">
        <v>797</v>
      </c>
    </row>
    <row r="221" spans="1:13" x14ac:dyDescent="0.25">
      <c r="A221" s="9" t="s">
        <v>45</v>
      </c>
      <c r="B221" t="s">
        <v>81</v>
      </c>
      <c r="C221" t="s">
        <v>307</v>
      </c>
      <c r="D221">
        <v>263</v>
      </c>
      <c r="E221" t="s">
        <v>694</v>
      </c>
      <c r="F221" s="25">
        <v>45772</v>
      </c>
      <c r="G221">
        <v>1000</v>
      </c>
      <c r="I221">
        <v>90</v>
      </c>
      <c r="J221">
        <v>90</v>
      </c>
      <c r="K221" s="15">
        <f t="shared" si="3"/>
        <v>1180</v>
      </c>
      <c r="L221" s="16" t="s">
        <v>16</v>
      </c>
      <c r="M221" t="s">
        <v>797</v>
      </c>
    </row>
    <row r="222" spans="1:13" x14ac:dyDescent="0.25">
      <c r="A222" s="9" t="s">
        <v>17</v>
      </c>
      <c r="B222" t="s">
        <v>53</v>
      </c>
      <c r="C222" t="s">
        <v>308</v>
      </c>
      <c r="D222">
        <v>853</v>
      </c>
      <c r="E222" t="s">
        <v>695</v>
      </c>
      <c r="F222" s="25">
        <v>45772</v>
      </c>
      <c r="G222">
        <v>10000</v>
      </c>
      <c r="I222">
        <v>900</v>
      </c>
      <c r="J222">
        <v>900</v>
      </c>
      <c r="K222" s="15">
        <f t="shared" si="3"/>
        <v>11800</v>
      </c>
      <c r="L222" s="16" t="s">
        <v>16</v>
      </c>
      <c r="M222" t="s">
        <v>797</v>
      </c>
    </row>
    <row r="223" spans="1:13" x14ac:dyDescent="0.25">
      <c r="A223" s="9" t="s">
        <v>20</v>
      </c>
      <c r="B223" t="s">
        <v>56</v>
      </c>
      <c r="C223" t="s">
        <v>309</v>
      </c>
      <c r="D223">
        <v>177</v>
      </c>
      <c r="E223" t="s">
        <v>696</v>
      </c>
      <c r="F223" s="25">
        <v>45772</v>
      </c>
      <c r="G223">
        <v>800</v>
      </c>
      <c r="I223">
        <v>72</v>
      </c>
      <c r="J223">
        <v>72</v>
      </c>
      <c r="K223" s="15">
        <f t="shared" si="3"/>
        <v>944</v>
      </c>
      <c r="L223" s="16" t="s">
        <v>16</v>
      </c>
      <c r="M223" t="s">
        <v>797</v>
      </c>
    </row>
    <row r="224" spans="1:13" x14ac:dyDescent="0.25">
      <c r="A224" s="9" t="s">
        <v>17</v>
      </c>
      <c r="B224" t="s">
        <v>53</v>
      </c>
      <c r="C224" t="s">
        <v>310</v>
      </c>
      <c r="D224">
        <v>834</v>
      </c>
      <c r="E224" t="s">
        <v>697</v>
      </c>
      <c r="F224" s="25">
        <v>45772</v>
      </c>
      <c r="G224">
        <v>4000</v>
      </c>
      <c r="I224">
        <v>360</v>
      </c>
      <c r="J224">
        <v>360</v>
      </c>
      <c r="K224" s="15">
        <f t="shared" si="3"/>
        <v>4720</v>
      </c>
      <c r="L224" s="16" t="s">
        <v>16</v>
      </c>
      <c r="M224" t="s">
        <v>797</v>
      </c>
    </row>
    <row r="225" spans="1:13" s="31" customFormat="1" x14ac:dyDescent="0.25">
      <c r="A225" s="42" t="s">
        <v>38</v>
      </c>
      <c r="B225" s="31" t="s">
        <v>74</v>
      </c>
      <c r="C225" s="39" t="s">
        <v>311</v>
      </c>
      <c r="D225" s="39">
        <v>356</v>
      </c>
      <c r="E225" s="31" t="s">
        <v>698</v>
      </c>
      <c r="F225" s="32">
        <v>45772</v>
      </c>
      <c r="G225" s="31">
        <v>1864.41</v>
      </c>
      <c r="I225" s="31">
        <v>167.8</v>
      </c>
      <c r="J225" s="31">
        <v>167.8</v>
      </c>
      <c r="K225" s="35">
        <f t="shared" si="3"/>
        <v>2200.0100000000002</v>
      </c>
      <c r="L225" s="34" t="s">
        <v>16</v>
      </c>
      <c r="M225" s="31" t="s">
        <v>798</v>
      </c>
    </row>
    <row r="226" spans="1:13" x14ac:dyDescent="0.25">
      <c r="A226" s="9" t="s">
        <v>17</v>
      </c>
      <c r="B226" t="s">
        <v>53</v>
      </c>
      <c r="C226" t="s">
        <v>312</v>
      </c>
      <c r="D226">
        <v>868</v>
      </c>
      <c r="E226" t="s">
        <v>699</v>
      </c>
      <c r="F226" s="25">
        <v>45772</v>
      </c>
      <c r="G226">
        <v>5500</v>
      </c>
      <c r="I226">
        <v>495</v>
      </c>
      <c r="J226">
        <v>495</v>
      </c>
      <c r="K226" s="15">
        <f t="shared" si="3"/>
        <v>6490</v>
      </c>
      <c r="L226" s="16" t="s">
        <v>16</v>
      </c>
      <c r="M226" t="s">
        <v>797</v>
      </c>
    </row>
    <row r="227" spans="1:13" s="31" customFormat="1" x14ac:dyDescent="0.25">
      <c r="A227" s="42" t="s">
        <v>39</v>
      </c>
      <c r="B227" s="31" t="s">
        <v>75</v>
      </c>
      <c r="C227" s="39" t="s">
        <v>313</v>
      </c>
      <c r="D227" s="39">
        <v>34</v>
      </c>
      <c r="E227" s="31" t="s">
        <v>700</v>
      </c>
      <c r="F227" s="32">
        <v>45772</v>
      </c>
      <c r="G227" s="31">
        <v>37500</v>
      </c>
      <c r="H227" s="31">
        <v>6750</v>
      </c>
      <c r="K227" s="35">
        <f t="shared" si="3"/>
        <v>44250</v>
      </c>
      <c r="L227" s="34" t="s">
        <v>16</v>
      </c>
      <c r="M227" s="31" t="s">
        <v>798</v>
      </c>
    </row>
    <row r="228" spans="1:13" s="31" customFormat="1" x14ac:dyDescent="0.25">
      <c r="A228" s="42" t="s">
        <v>39</v>
      </c>
      <c r="B228" s="31" t="s">
        <v>75</v>
      </c>
      <c r="C228" s="39" t="s">
        <v>314</v>
      </c>
      <c r="D228" s="39">
        <v>35</v>
      </c>
      <c r="E228" s="31" t="s">
        <v>701</v>
      </c>
      <c r="F228" s="32">
        <v>45772</v>
      </c>
      <c r="G228" s="31">
        <v>19000</v>
      </c>
      <c r="H228" s="31">
        <v>3420</v>
      </c>
      <c r="K228" s="35">
        <f t="shared" si="3"/>
        <v>22420</v>
      </c>
      <c r="L228" s="34" t="s">
        <v>16</v>
      </c>
      <c r="M228" s="31" t="s">
        <v>798</v>
      </c>
    </row>
    <row r="229" spans="1:13" x14ac:dyDescent="0.25">
      <c r="A229" s="9" t="s">
        <v>44</v>
      </c>
      <c r="B229" t="s">
        <v>80</v>
      </c>
      <c r="C229" t="s">
        <v>315</v>
      </c>
      <c r="D229">
        <v>302</v>
      </c>
      <c r="E229" t="s">
        <v>702</v>
      </c>
      <c r="F229" s="25">
        <v>45773</v>
      </c>
      <c r="G229">
        <v>1600</v>
      </c>
      <c r="I229">
        <v>144</v>
      </c>
      <c r="J229">
        <v>144</v>
      </c>
      <c r="K229" s="15">
        <f t="shared" si="3"/>
        <v>1888</v>
      </c>
      <c r="L229" s="16" t="s">
        <v>16</v>
      </c>
      <c r="M229" t="s">
        <v>797</v>
      </c>
    </row>
    <row r="230" spans="1:13" x14ac:dyDescent="0.25">
      <c r="A230" s="9" t="s">
        <v>23</v>
      </c>
      <c r="B230" t="s">
        <v>59</v>
      </c>
      <c r="C230" t="s">
        <v>316</v>
      </c>
      <c r="D230">
        <v>2881</v>
      </c>
      <c r="E230" t="s">
        <v>703</v>
      </c>
      <c r="F230" s="25">
        <v>45773</v>
      </c>
      <c r="G230">
        <v>300</v>
      </c>
      <c r="I230">
        <v>27</v>
      </c>
      <c r="J230">
        <v>27</v>
      </c>
      <c r="K230" s="15">
        <f t="shared" si="3"/>
        <v>354</v>
      </c>
      <c r="L230" s="16" t="s">
        <v>16</v>
      </c>
      <c r="M230" t="s">
        <v>797</v>
      </c>
    </row>
    <row r="231" spans="1:13" x14ac:dyDescent="0.25">
      <c r="A231" s="9" t="s">
        <v>33</v>
      </c>
      <c r="B231" t="s">
        <v>69</v>
      </c>
      <c r="C231" t="s">
        <v>317</v>
      </c>
      <c r="D231">
        <v>233</v>
      </c>
      <c r="E231" t="s">
        <v>704</v>
      </c>
      <c r="F231" s="25">
        <v>45773</v>
      </c>
      <c r="G231">
        <v>2586.44</v>
      </c>
      <c r="I231">
        <v>232.78</v>
      </c>
      <c r="J231">
        <v>232.78</v>
      </c>
      <c r="K231" s="15">
        <f t="shared" si="3"/>
        <v>3052.0000000000005</v>
      </c>
      <c r="L231" s="16" t="s">
        <v>16</v>
      </c>
      <c r="M231" t="s">
        <v>797</v>
      </c>
    </row>
    <row r="232" spans="1:13" x14ac:dyDescent="0.25">
      <c r="A232" s="9" t="s">
        <v>31</v>
      </c>
      <c r="B232" t="s">
        <v>67</v>
      </c>
      <c r="C232" t="s">
        <v>318</v>
      </c>
      <c r="D232">
        <v>737</v>
      </c>
      <c r="E232" t="s">
        <v>705</v>
      </c>
      <c r="F232" s="25">
        <v>45773</v>
      </c>
      <c r="G232">
        <v>1300</v>
      </c>
      <c r="I232">
        <v>117</v>
      </c>
      <c r="J232">
        <v>117</v>
      </c>
      <c r="K232" s="15">
        <f t="shared" si="3"/>
        <v>1534</v>
      </c>
      <c r="L232" s="16" t="s">
        <v>16</v>
      </c>
      <c r="M232" t="s">
        <v>797</v>
      </c>
    </row>
    <row r="233" spans="1:13" x14ac:dyDescent="0.25">
      <c r="A233" s="9" t="s">
        <v>44</v>
      </c>
      <c r="B233" t="s">
        <v>80</v>
      </c>
      <c r="C233" t="s">
        <v>319</v>
      </c>
      <c r="D233">
        <v>311</v>
      </c>
      <c r="E233" t="s">
        <v>706</v>
      </c>
      <c r="F233" s="25">
        <v>45773</v>
      </c>
      <c r="G233">
        <v>1700</v>
      </c>
      <c r="I233">
        <v>153</v>
      </c>
      <c r="J233">
        <v>153</v>
      </c>
      <c r="K233" s="15">
        <f t="shared" si="3"/>
        <v>2006</v>
      </c>
      <c r="L233" s="16" t="s">
        <v>16</v>
      </c>
      <c r="M233" t="s">
        <v>797</v>
      </c>
    </row>
    <row r="234" spans="1:13" x14ac:dyDescent="0.25">
      <c r="A234" s="9" t="s">
        <v>17</v>
      </c>
      <c r="B234" t="s">
        <v>53</v>
      </c>
      <c r="C234" t="s">
        <v>320</v>
      </c>
      <c r="D234">
        <v>877</v>
      </c>
      <c r="E234" t="s">
        <v>707</v>
      </c>
      <c r="F234" s="25">
        <v>45773</v>
      </c>
      <c r="G234">
        <v>7500</v>
      </c>
      <c r="I234">
        <v>675</v>
      </c>
      <c r="J234">
        <v>675</v>
      </c>
      <c r="K234" s="15">
        <f t="shared" si="3"/>
        <v>8850</v>
      </c>
      <c r="L234" s="16" t="s">
        <v>16</v>
      </c>
      <c r="M234" t="s">
        <v>797</v>
      </c>
    </row>
    <row r="235" spans="1:13" x14ac:dyDescent="0.25">
      <c r="A235" s="9" t="s">
        <v>20</v>
      </c>
      <c r="B235" t="s">
        <v>56</v>
      </c>
      <c r="C235" t="s">
        <v>321</v>
      </c>
      <c r="D235">
        <v>185</v>
      </c>
      <c r="E235" t="s">
        <v>708</v>
      </c>
      <c r="F235" s="25">
        <v>45773</v>
      </c>
      <c r="G235">
        <v>5350</v>
      </c>
      <c r="I235">
        <v>481.5</v>
      </c>
      <c r="J235">
        <v>481.5</v>
      </c>
      <c r="K235" s="15">
        <f t="shared" si="3"/>
        <v>6313</v>
      </c>
      <c r="L235" s="16" t="s">
        <v>16</v>
      </c>
      <c r="M235" t="s">
        <v>797</v>
      </c>
    </row>
    <row r="236" spans="1:13" x14ac:dyDescent="0.25">
      <c r="A236" s="9" t="s">
        <v>17</v>
      </c>
      <c r="B236" t="s">
        <v>53</v>
      </c>
      <c r="C236" t="s">
        <v>322</v>
      </c>
      <c r="D236">
        <v>892</v>
      </c>
      <c r="E236" t="s">
        <v>709</v>
      </c>
      <c r="F236" s="25">
        <v>45773</v>
      </c>
      <c r="G236">
        <v>1650</v>
      </c>
      <c r="I236">
        <v>148.5</v>
      </c>
      <c r="J236">
        <v>148.5</v>
      </c>
      <c r="K236" s="15">
        <f t="shared" si="3"/>
        <v>1947</v>
      </c>
      <c r="L236" s="16" t="s">
        <v>16</v>
      </c>
      <c r="M236" t="s">
        <v>797</v>
      </c>
    </row>
    <row r="237" spans="1:13" s="31" customFormat="1" x14ac:dyDescent="0.25">
      <c r="A237" s="42" t="s">
        <v>32</v>
      </c>
      <c r="B237" s="31" t="s">
        <v>68</v>
      </c>
      <c r="C237" s="39" t="s">
        <v>323</v>
      </c>
      <c r="D237" s="39">
        <v>50</v>
      </c>
      <c r="E237" s="31" t="s">
        <v>710</v>
      </c>
      <c r="F237" s="32">
        <v>45773</v>
      </c>
      <c r="G237" s="31">
        <v>2796.61</v>
      </c>
      <c r="I237" s="31">
        <v>251.69</v>
      </c>
      <c r="J237" s="31">
        <v>251.69</v>
      </c>
      <c r="K237" s="35">
        <f t="shared" si="3"/>
        <v>3299.9900000000002</v>
      </c>
      <c r="L237" s="34" t="s">
        <v>16</v>
      </c>
      <c r="M237" s="31" t="s">
        <v>798</v>
      </c>
    </row>
    <row r="238" spans="1:13" x14ac:dyDescent="0.25">
      <c r="A238" s="9" t="s">
        <v>29</v>
      </c>
      <c r="B238" t="s">
        <v>65</v>
      </c>
      <c r="C238" t="s">
        <v>324</v>
      </c>
      <c r="D238">
        <v>171</v>
      </c>
      <c r="E238" t="s">
        <v>711</v>
      </c>
      <c r="F238" s="25">
        <v>45773</v>
      </c>
      <c r="G238">
        <v>796.61</v>
      </c>
      <c r="I238">
        <v>71.69</v>
      </c>
      <c r="J238">
        <v>71.69</v>
      </c>
      <c r="K238" s="15">
        <f t="shared" si="3"/>
        <v>939.99</v>
      </c>
      <c r="L238" s="16" t="s">
        <v>16</v>
      </c>
      <c r="M238" t="s">
        <v>797</v>
      </c>
    </row>
    <row r="239" spans="1:13" x14ac:dyDescent="0.25">
      <c r="A239" s="9" t="s">
        <v>27</v>
      </c>
      <c r="B239" t="s">
        <v>63</v>
      </c>
      <c r="C239" t="s">
        <v>325</v>
      </c>
      <c r="D239">
        <v>3780</v>
      </c>
      <c r="E239" t="s">
        <v>712</v>
      </c>
      <c r="F239" s="25">
        <v>45773</v>
      </c>
      <c r="G239">
        <v>593.22</v>
      </c>
      <c r="I239">
        <v>53.39</v>
      </c>
      <c r="J239">
        <v>53.39</v>
      </c>
      <c r="K239" s="15">
        <f t="shared" si="3"/>
        <v>700</v>
      </c>
      <c r="L239" s="16" t="s">
        <v>16</v>
      </c>
      <c r="M239" t="s">
        <v>797</v>
      </c>
    </row>
    <row r="240" spans="1:13" s="31" customFormat="1" x14ac:dyDescent="0.25">
      <c r="A240" s="42" t="s">
        <v>39</v>
      </c>
      <c r="B240" s="31" t="s">
        <v>75</v>
      </c>
      <c r="C240" s="39" t="s">
        <v>326</v>
      </c>
      <c r="D240" s="39">
        <v>37</v>
      </c>
      <c r="E240" s="31" t="s">
        <v>713</v>
      </c>
      <c r="F240" s="32">
        <v>45773</v>
      </c>
      <c r="G240" s="31">
        <v>34500</v>
      </c>
      <c r="H240" s="31">
        <v>6210</v>
      </c>
      <c r="K240" s="35">
        <f t="shared" si="3"/>
        <v>40710</v>
      </c>
      <c r="L240" s="34" t="s">
        <v>16</v>
      </c>
      <c r="M240" s="31" t="s">
        <v>798</v>
      </c>
    </row>
    <row r="241" spans="1:13" s="31" customFormat="1" x14ac:dyDescent="0.25">
      <c r="A241" s="42" t="s">
        <v>39</v>
      </c>
      <c r="B241" s="31" t="s">
        <v>75</v>
      </c>
      <c r="C241" s="39" t="s">
        <v>327</v>
      </c>
      <c r="D241" s="39">
        <v>38</v>
      </c>
      <c r="E241" s="31" t="s">
        <v>714</v>
      </c>
      <c r="F241" s="32">
        <v>45773</v>
      </c>
      <c r="G241" s="31">
        <v>17000</v>
      </c>
      <c r="H241" s="31">
        <v>3060</v>
      </c>
      <c r="K241" s="35">
        <f t="shared" si="3"/>
        <v>20060</v>
      </c>
      <c r="L241" s="34" t="s">
        <v>16</v>
      </c>
      <c r="M241" s="31" t="s">
        <v>798</v>
      </c>
    </row>
    <row r="242" spans="1:13" x14ac:dyDescent="0.25">
      <c r="A242" s="9" t="s">
        <v>23</v>
      </c>
      <c r="B242" t="s">
        <v>59</v>
      </c>
      <c r="C242" t="s">
        <v>328</v>
      </c>
      <c r="D242">
        <v>3123</v>
      </c>
      <c r="E242" t="s">
        <v>715</v>
      </c>
      <c r="F242" s="25">
        <v>45775</v>
      </c>
      <c r="G242">
        <v>1100</v>
      </c>
      <c r="I242">
        <v>99</v>
      </c>
      <c r="J242">
        <v>99</v>
      </c>
      <c r="K242" s="15">
        <f t="shared" si="3"/>
        <v>1298</v>
      </c>
      <c r="L242" s="16" t="s">
        <v>16</v>
      </c>
      <c r="M242" t="s">
        <v>797</v>
      </c>
    </row>
    <row r="243" spans="1:13" x14ac:dyDescent="0.25">
      <c r="A243" s="9" t="s">
        <v>31</v>
      </c>
      <c r="B243" t="s">
        <v>67</v>
      </c>
      <c r="C243" t="s">
        <v>329</v>
      </c>
      <c r="D243">
        <v>761</v>
      </c>
      <c r="E243" t="s">
        <v>716</v>
      </c>
      <c r="F243" s="25">
        <v>45775</v>
      </c>
      <c r="G243">
        <v>600</v>
      </c>
      <c r="I243">
        <v>54</v>
      </c>
      <c r="J243">
        <v>54</v>
      </c>
      <c r="K243" s="15">
        <f t="shared" si="3"/>
        <v>708</v>
      </c>
      <c r="L243" s="16" t="s">
        <v>16</v>
      </c>
      <c r="M243" t="s">
        <v>797</v>
      </c>
    </row>
    <row r="244" spans="1:13" x14ac:dyDescent="0.25">
      <c r="A244" s="9" t="s">
        <v>17</v>
      </c>
      <c r="B244" t="s">
        <v>53</v>
      </c>
      <c r="C244" t="s">
        <v>330</v>
      </c>
      <c r="D244">
        <v>931</v>
      </c>
      <c r="E244" t="s">
        <v>717</v>
      </c>
      <c r="F244" s="25">
        <v>45775</v>
      </c>
      <c r="G244">
        <v>8500</v>
      </c>
      <c r="I244">
        <v>765</v>
      </c>
      <c r="J244">
        <v>765</v>
      </c>
      <c r="K244" s="15">
        <f t="shared" si="3"/>
        <v>10030</v>
      </c>
      <c r="L244" s="16" t="s">
        <v>16</v>
      </c>
      <c r="M244" t="s">
        <v>797</v>
      </c>
    </row>
    <row r="245" spans="1:13" x14ac:dyDescent="0.25">
      <c r="A245" s="9" t="s">
        <v>38</v>
      </c>
      <c r="B245" t="s">
        <v>74</v>
      </c>
      <c r="C245" t="s">
        <v>331</v>
      </c>
      <c r="D245">
        <v>390</v>
      </c>
      <c r="E245" t="s">
        <v>718</v>
      </c>
      <c r="F245" s="25">
        <v>45775</v>
      </c>
      <c r="G245">
        <v>1864.41</v>
      </c>
      <c r="I245">
        <v>167.8</v>
      </c>
      <c r="J245">
        <v>167.8</v>
      </c>
      <c r="K245" s="15">
        <f t="shared" si="3"/>
        <v>2200.0100000000002</v>
      </c>
      <c r="L245" s="16" t="s">
        <v>16</v>
      </c>
      <c r="M245" t="s">
        <v>797</v>
      </c>
    </row>
    <row r="246" spans="1:13" s="31" customFormat="1" x14ac:dyDescent="0.25">
      <c r="A246" s="42" t="s">
        <v>32</v>
      </c>
      <c r="B246" s="31" t="s">
        <v>68</v>
      </c>
      <c r="C246" s="39" t="s">
        <v>332</v>
      </c>
      <c r="D246" s="39">
        <v>55</v>
      </c>
      <c r="E246" s="31" t="s">
        <v>719</v>
      </c>
      <c r="F246" s="32">
        <v>45775</v>
      </c>
      <c r="G246" s="31">
        <v>4008.47</v>
      </c>
      <c r="I246" s="31">
        <v>360.76</v>
      </c>
      <c r="J246" s="31">
        <v>360.76</v>
      </c>
      <c r="K246" s="35">
        <f t="shared" si="3"/>
        <v>4729.99</v>
      </c>
      <c r="L246" s="34" t="s">
        <v>16</v>
      </c>
      <c r="M246" s="31" t="s">
        <v>798</v>
      </c>
    </row>
    <row r="247" spans="1:13" s="31" customFormat="1" x14ac:dyDescent="0.25">
      <c r="A247" s="42" t="s">
        <v>17</v>
      </c>
      <c r="B247" s="31" t="s">
        <v>53</v>
      </c>
      <c r="C247" s="39" t="s">
        <v>333</v>
      </c>
      <c r="D247" s="39">
        <v>925</v>
      </c>
      <c r="E247" s="31" t="s">
        <v>720</v>
      </c>
      <c r="F247" s="32">
        <v>45775</v>
      </c>
      <c r="G247" s="31">
        <v>4500</v>
      </c>
      <c r="I247" s="31">
        <v>405</v>
      </c>
      <c r="J247" s="31">
        <v>405</v>
      </c>
      <c r="K247" s="35">
        <f t="shared" si="3"/>
        <v>5310</v>
      </c>
      <c r="L247" s="34" t="s">
        <v>16</v>
      </c>
      <c r="M247" s="31" t="s">
        <v>798</v>
      </c>
    </row>
    <row r="248" spans="1:13" x14ac:dyDescent="0.25">
      <c r="A248" s="9" t="s">
        <v>17</v>
      </c>
      <c r="B248" t="s">
        <v>53</v>
      </c>
      <c r="C248" t="s">
        <v>334</v>
      </c>
      <c r="D248">
        <v>921</v>
      </c>
      <c r="E248" t="s">
        <v>721</v>
      </c>
      <c r="F248" s="25">
        <v>45775</v>
      </c>
      <c r="G248">
        <v>3800</v>
      </c>
      <c r="I248">
        <v>342</v>
      </c>
      <c r="J248">
        <v>342</v>
      </c>
      <c r="K248" s="15">
        <f t="shared" si="3"/>
        <v>4484</v>
      </c>
      <c r="L248" s="16" t="s">
        <v>16</v>
      </c>
      <c r="M248" t="s">
        <v>797</v>
      </c>
    </row>
    <row r="249" spans="1:13" x14ac:dyDescent="0.25">
      <c r="A249" s="9" t="s">
        <v>33</v>
      </c>
      <c r="B249" t="s">
        <v>69</v>
      </c>
      <c r="C249" t="s">
        <v>335</v>
      </c>
      <c r="D249">
        <v>244</v>
      </c>
      <c r="E249" t="s">
        <v>722</v>
      </c>
      <c r="F249" s="25">
        <v>45775</v>
      </c>
      <c r="G249">
        <v>3510.17</v>
      </c>
      <c r="I249">
        <v>315.92</v>
      </c>
      <c r="J249">
        <v>315.92</v>
      </c>
      <c r="K249" s="15">
        <f t="shared" si="3"/>
        <v>4142.01</v>
      </c>
      <c r="L249" s="16" t="s">
        <v>16</v>
      </c>
      <c r="M249" t="s">
        <v>797</v>
      </c>
    </row>
    <row r="250" spans="1:13" x14ac:dyDescent="0.25">
      <c r="A250" s="9" t="s">
        <v>30</v>
      </c>
      <c r="B250" t="s">
        <v>66</v>
      </c>
      <c r="C250" t="s">
        <v>336</v>
      </c>
      <c r="D250">
        <v>40</v>
      </c>
      <c r="E250" t="s">
        <v>723</v>
      </c>
      <c r="F250" s="25">
        <v>45775</v>
      </c>
      <c r="G250">
        <v>4000</v>
      </c>
      <c r="I250">
        <v>360</v>
      </c>
      <c r="J250">
        <v>360</v>
      </c>
      <c r="K250" s="15">
        <f t="shared" si="3"/>
        <v>4720</v>
      </c>
      <c r="L250" s="16" t="s">
        <v>16</v>
      </c>
      <c r="M250" t="s">
        <v>797</v>
      </c>
    </row>
    <row r="251" spans="1:13" x14ac:dyDescent="0.25">
      <c r="A251" s="9" t="s">
        <v>17</v>
      </c>
      <c r="B251" t="s">
        <v>53</v>
      </c>
      <c r="C251" t="s">
        <v>337</v>
      </c>
      <c r="D251">
        <v>938</v>
      </c>
      <c r="E251" t="s">
        <v>724</v>
      </c>
      <c r="F251" s="25">
        <v>45775</v>
      </c>
      <c r="G251">
        <v>5500</v>
      </c>
      <c r="I251">
        <v>495</v>
      </c>
      <c r="J251">
        <v>495</v>
      </c>
      <c r="K251" s="15">
        <f t="shared" si="3"/>
        <v>6490</v>
      </c>
      <c r="L251" s="16" t="s">
        <v>16</v>
      </c>
      <c r="M251" t="s">
        <v>797</v>
      </c>
    </row>
    <row r="252" spans="1:13" s="31" customFormat="1" x14ac:dyDescent="0.25">
      <c r="A252" s="42" t="s">
        <v>39</v>
      </c>
      <c r="B252" s="31" t="s">
        <v>75</v>
      </c>
      <c r="C252" s="39" t="s">
        <v>338</v>
      </c>
      <c r="D252" s="39">
        <v>39</v>
      </c>
      <c r="E252" s="31" t="s">
        <v>725</v>
      </c>
      <c r="F252" s="32">
        <v>45775</v>
      </c>
      <c r="G252" s="31">
        <v>39500</v>
      </c>
      <c r="H252" s="31">
        <v>7110</v>
      </c>
      <c r="K252" s="35">
        <f t="shared" si="3"/>
        <v>46610</v>
      </c>
      <c r="L252" s="34" t="s">
        <v>16</v>
      </c>
      <c r="M252" s="31" t="s">
        <v>798</v>
      </c>
    </row>
    <row r="253" spans="1:13" s="31" customFormat="1" x14ac:dyDescent="0.25">
      <c r="A253" s="42" t="s">
        <v>39</v>
      </c>
      <c r="B253" s="31" t="s">
        <v>75</v>
      </c>
      <c r="C253" s="39" t="s">
        <v>339</v>
      </c>
      <c r="D253" s="39">
        <v>43</v>
      </c>
      <c r="E253" s="31" t="s">
        <v>726</v>
      </c>
      <c r="F253" s="32">
        <v>45775</v>
      </c>
      <c r="G253" s="31">
        <v>40500</v>
      </c>
      <c r="H253" s="31">
        <v>7290</v>
      </c>
      <c r="K253" s="35">
        <f t="shared" si="3"/>
        <v>47790</v>
      </c>
      <c r="L253" s="34" t="s">
        <v>16</v>
      </c>
      <c r="M253" s="31" t="s">
        <v>798</v>
      </c>
    </row>
    <row r="254" spans="1:13" x14ac:dyDescent="0.25">
      <c r="A254" s="9" t="s">
        <v>51</v>
      </c>
      <c r="B254" t="s">
        <v>87</v>
      </c>
      <c r="C254" t="s">
        <v>340</v>
      </c>
      <c r="D254">
        <v>1826</v>
      </c>
      <c r="E254" t="s">
        <v>727</v>
      </c>
      <c r="F254" s="25">
        <v>45776</v>
      </c>
      <c r="G254">
        <v>2425</v>
      </c>
      <c r="I254">
        <v>218.25</v>
      </c>
      <c r="J254">
        <v>218.25</v>
      </c>
      <c r="K254" s="15">
        <f t="shared" si="3"/>
        <v>2861.5</v>
      </c>
      <c r="L254" s="16" t="s">
        <v>16</v>
      </c>
      <c r="M254" t="s">
        <v>797</v>
      </c>
    </row>
    <row r="255" spans="1:13" x14ac:dyDescent="0.25">
      <c r="A255" s="9" t="s">
        <v>18</v>
      </c>
      <c r="B255" t="s">
        <v>54</v>
      </c>
      <c r="C255" t="s">
        <v>341</v>
      </c>
      <c r="D255">
        <v>1173</v>
      </c>
      <c r="E255" t="s">
        <v>728</v>
      </c>
      <c r="F255" s="25">
        <v>45776</v>
      </c>
      <c r="G255">
        <v>1100</v>
      </c>
      <c r="I255">
        <v>99</v>
      </c>
      <c r="J255">
        <v>99</v>
      </c>
      <c r="K255" s="15">
        <f t="shared" si="3"/>
        <v>1298</v>
      </c>
      <c r="L255" s="16" t="s">
        <v>16</v>
      </c>
      <c r="M255" t="s">
        <v>797</v>
      </c>
    </row>
    <row r="256" spans="1:13" x14ac:dyDescent="0.25">
      <c r="A256" s="9" t="s">
        <v>31</v>
      </c>
      <c r="B256" t="s">
        <v>67</v>
      </c>
      <c r="C256" t="s">
        <v>342</v>
      </c>
      <c r="D256">
        <v>809</v>
      </c>
      <c r="E256" t="s">
        <v>729</v>
      </c>
      <c r="F256" s="25">
        <v>45776</v>
      </c>
      <c r="G256">
        <v>600</v>
      </c>
      <c r="I256">
        <v>54</v>
      </c>
      <c r="J256">
        <v>54</v>
      </c>
      <c r="K256" s="15">
        <f t="shared" si="3"/>
        <v>708</v>
      </c>
      <c r="L256" s="16" t="s">
        <v>16</v>
      </c>
      <c r="M256" t="s">
        <v>797</v>
      </c>
    </row>
    <row r="257" spans="1:13" x14ac:dyDescent="0.25">
      <c r="A257" s="9" t="s">
        <v>51</v>
      </c>
      <c r="B257" t="s">
        <v>87</v>
      </c>
      <c r="C257" t="s">
        <v>343</v>
      </c>
      <c r="D257">
        <v>1792</v>
      </c>
      <c r="E257" t="s">
        <v>730</v>
      </c>
      <c r="F257" s="25">
        <v>45776</v>
      </c>
      <c r="G257">
        <v>650</v>
      </c>
      <c r="I257">
        <v>58.5</v>
      </c>
      <c r="J257">
        <v>58.5</v>
      </c>
      <c r="K257" s="15">
        <f t="shared" si="3"/>
        <v>767</v>
      </c>
      <c r="L257" s="16" t="s">
        <v>16</v>
      </c>
      <c r="M257" t="s">
        <v>797</v>
      </c>
    </row>
    <row r="258" spans="1:13" x14ac:dyDescent="0.25">
      <c r="A258" s="9" t="s">
        <v>20</v>
      </c>
      <c r="B258" t="s">
        <v>56</v>
      </c>
      <c r="C258" t="s">
        <v>344</v>
      </c>
      <c r="D258">
        <v>202</v>
      </c>
      <c r="E258" t="s">
        <v>731</v>
      </c>
      <c r="F258" s="25">
        <v>45776</v>
      </c>
      <c r="G258">
        <v>240</v>
      </c>
      <c r="I258">
        <v>21.6</v>
      </c>
      <c r="J258">
        <v>21.6</v>
      </c>
      <c r="K258" s="15">
        <f t="shared" si="3"/>
        <v>283.20000000000005</v>
      </c>
      <c r="L258" s="16" t="s">
        <v>16</v>
      </c>
      <c r="M258" t="s">
        <v>797</v>
      </c>
    </row>
    <row r="259" spans="1:13" x14ac:dyDescent="0.25">
      <c r="A259" s="9" t="s">
        <v>17</v>
      </c>
      <c r="B259" t="s">
        <v>53</v>
      </c>
      <c r="C259" t="s">
        <v>345</v>
      </c>
      <c r="D259">
        <v>956</v>
      </c>
      <c r="E259" t="s">
        <v>732</v>
      </c>
      <c r="F259" s="25">
        <v>45776</v>
      </c>
      <c r="G259">
        <v>5800</v>
      </c>
      <c r="I259">
        <v>522</v>
      </c>
      <c r="J259">
        <v>522</v>
      </c>
      <c r="K259" s="15">
        <f t="shared" ref="K259:K322" si="4">G259+H259+I259+J259</f>
        <v>6844</v>
      </c>
      <c r="L259" s="16" t="s">
        <v>16</v>
      </c>
      <c r="M259" t="s">
        <v>797</v>
      </c>
    </row>
    <row r="260" spans="1:13" x14ac:dyDescent="0.25">
      <c r="A260" s="9" t="s">
        <v>17</v>
      </c>
      <c r="B260" t="s">
        <v>53</v>
      </c>
      <c r="C260" t="s">
        <v>346</v>
      </c>
      <c r="D260">
        <v>957</v>
      </c>
      <c r="E260" t="s">
        <v>733</v>
      </c>
      <c r="F260" s="25">
        <v>45776</v>
      </c>
      <c r="G260">
        <v>5000</v>
      </c>
      <c r="I260">
        <v>450</v>
      </c>
      <c r="J260">
        <v>450</v>
      </c>
      <c r="K260" s="15">
        <f t="shared" si="4"/>
        <v>5900</v>
      </c>
      <c r="L260" s="16" t="s">
        <v>16</v>
      </c>
      <c r="M260" t="s">
        <v>797</v>
      </c>
    </row>
    <row r="261" spans="1:13" x14ac:dyDescent="0.25">
      <c r="A261" s="9" t="s">
        <v>17</v>
      </c>
      <c r="B261" t="s">
        <v>53</v>
      </c>
      <c r="C261" t="s">
        <v>347</v>
      </c>
      <c r="D261">
        <v>973</v>
      </c>
      <c r="E261" t="s">
        <v>734</v>
      </c>
      <c r="F261" s="25">
        <v>45776</v>
      </c>
      <c r="G261">
        <v>3500</v>
      </c>
      <c r="I261">
        <v>315</v>
      </c>
      <c r="J261">
        <v>315</v>
      </c>
      <c r="K261" s="15">
        <f t="shared" si="4"/>
        <v>4130</v>
      </c>
      <c r="L261" s="16" t="s">
        <v>16</v>
      </c>
      <c r="M261" t="s">
        <v>797</v>
      </c>
    </row>
    <row r="262" spans="1:13" s="31" customFormat="1" x14ac:dyDescent="0.25">
      <c r="A262" s="42" t="s">
        <v>32</v>
      </c>
      <c r="B262" s="31" t="s">
        <v>68</v>
      </c>
      <c r="C262" s="39" t="s">
        <v>348</v>
      </c>
      <c r="D262" s="39">
        <v>60</v>
      </c>
      <c r="E262" s="31" t="s">
        <v>735</v>
      </c>
      <c r="F262" s="32">
        <v>45776</v>
      </c>
      <c r="G262" s="31">
        <v>6991.53</v>
      </c>
      <c r="I262" s="31">
        <v>629.24</v>
      </c>
      <c r="J262" s="31">
        <v>629.24</v>
      </c>
      <c r="K262" s="35">
        <f t="shared" si="4"/>
        <v>8250.01</v>
      </c>
      <c r="L262" s="34" t="s">
        <v>16</v>
      </c>
      <c r="M262" s="31" t="s">
        <v>798</v>
      </c>
    </row>
    <row r="263" spans="1:13" s="31" customFormat="1" x14ac:dyDescent="0.25">
      <c r="A263" s="42" t="s">
        <v>32</v>
      </c>
      <c r="B263" s="31" t="s">
        <v>68</v>
      </c>
      <c r="C263" s="39" t="s">
        <v>349</v>
      </c>
      <c r="D263" s="39">
        <v>61</v>
      </c>
      <c r="E263" s="31" t="s">
        <v>736</v>
      </c>
      <c r="F263" s="32">
        <v>45776</v>
      </c>
      <c r="G263" s="31">
        <v>10440.68</v>
      </c>
      <c r="I263" s="31">
        <v>939.66</v>
      </c>
      <c r="J263" s="31">
        <v>939.66</v>
      </c>
      <c r="K263" s="35">
        <f t="shared" si="4"/>
        <v>12320</v>
      </c>
      <c r="L263" s="34" t="s">
        <v>16</v>
      </c>
      <c r="M263" s="31" t="s">
        <v>798</v>
      </c>
    </row>
    <row r="264" spans="1:13" s="31" customFormat="1" x14ac:dyDescent="0.25">
      <c r="A264" s="42" t="s">
        <v>39</v>
      </c>
      <c r="B264" s="31" t="s">
        <v>75</v>
      </c>
      <c r="C264" s="39" t="s">
        <v>350</v>
      </c>
      <c r="D264" s="39">
        <v>46</v>
      </c>
      <c r="E264" s="31" t="s">
        <v>737</v>
      </c>
      <c r="F264" s="32">
        <v>45776</v>
      </c>
      <c r="G264" s="31">
        <v>40500</v>
      </c>
      <c r="H264" s="31">
        <v>7290</v>
      </c>
      <c r="K264" s="35">
        <f t="shared" si="4"/>
        <v>47790</v>
      </c>
      <c r="L264" s="34" t="s">
        <v>16</v>
      </c>
      <c r="M264" s="31" t="s">
        <v>798</v>
      </c>
    </row>
    <row r="265" spans="1:13" x14ac:dyDescent="0.25">
      <c r="A265" s="9" t="s">
        <v>52</v>
      </c>
      <c r="B265" t="s">
        <v>88</v>
      </c>
      <c r="C265" t="s">
        <v>351</v>
      </c>
      <c r="D265">
        <v>202540700001533</v>
      </c>
      <c r="E265" t="s">
        <v>738</v>
      </c>
      <c r="F265" s="25">
        <v>45777</v>
      </c>
      <c r="G265">
        <v>73385.23</v>
      </c>
      <c r="I265">
        <v>6604.67</v>
      </c>
      <c r="J265">
        <v>6604.67</v>
      </c>
      <c r="K265" s="15">
        <f t="shared" si="4"/>
        <v>86594.569999999992</v>
      </c>
      <c r="L265" s="16" t="s">
        <v>16</v>
      </c>
      <c r="M265" t="s">
        <v>797</v>
      </c>
    </row>
    <row r="266" spans="1:13" x14ac:dyDescent="0.25">
      <c r="A266" s="9" t="s">
        <v>52</v>
      </c>
      <c r="B266" t="s">
        <v>88</v>
      </c>
      <c r="C266" t="s">
        <v>352</v>
      </c>
      <c r="D266">
        <v>202540700001534</v>
      </c>
      <c r="E266" t="s">
        <v>739</v>
      </c>
      <c r="F266" s="25">
        <v>45777</v>
      </c>
      <c r="G266">
        <v>945.77</v>
      </c>
      <c r="I266">
        <v>85.12</v>
      </c>
      <c r="J266">
        <v>85.12</v>
      </c>
      <c r="K266" s="15">
        <f t="shared" si="4"/>
        <v>1116.0099999999998</v>
      </c>
      <c r="L266" s="16" t="s">
        <v>16</v>
      </c>
      <c r="M266" t="s">
        <v>797</v>
      </c>
    </row>
    <row r="267" spans="1:13" x14ac:dyDescent="0.25">
      <c r="A267" s="9" t="s">
        <v>52</v>
      </c>
      <c r="B267" t="s">
        <v>88</v>
      </c>
      <c r="C267" t="s">
        <v>353</v>
      </c>
      <c r="D267">
        <v>202540700001212</v>
      </c>
      <c r="E267" t="s">
        <v>740</v>
      </c>
      <c r="F267" s="25">
        <v>45777</v>
      </c>
      <c r="G267">
        <v>210.09</v>
      </c>
      <c r="I267">
        <v>18.91</v>
      </c>
      <c r="J267">
        <v>18.91</v>
      </c>
      <c r="K267" s="15">
        <f t="shared" si="4"/>
        <v>247.91</v>
      </c>
      <c r="L267" s="16" t="s">
        <v>16</v>
      </c>
      <c r="M267" t="s">
        <v>797</v>
      </c>
    </row>
    <row r="268" spans="1:13" x14ac:dyDescent="0.25">
      <c r="A268" s="9" t="s">
        <v>52</v>
      </c>
      <c r="B268" t="s">
        <v>88</v>
      </c>
      <c r="C268" t="s">
        <v>354</v>
      </c>
      <c r="D268">
        <v>202540700001213</v>
      </c>
      <c r="E268" t="s">
        <v>741</v>
      </c>
      <c r="F268" s="25">
        <v>45777</v>
      </c>
      <c r="G268">
        <v>889.83</v>
      </c>
      <c r="I268">
        <v>80.08</v>
      </c>
      <c r="J268">
        <v>80.08</v>
      </c>
      <c r="K268" s="15">
        <f t="shared" si="4"/>
        <v>1049.99</v>
      </c>
      <c r="L268" s="16" t="s">
        <v>16</v>
      </c>
      <c r="M268" t="s">
        <v>797</v>
      </c>
    </row>
    <row r="269" spans="1:13" x14ac:dyDescent="0.25">
      <c r="A269" s="9" t="s">
        <v>52</v>
      </c>
      <c r="B269" t="s">
        <v>88</v>
      </c>
      <c r="C269" t="s">
        <v>355</v>
      </c>
      <c r="D269">
        <v>202540700001214</v>
      </c>
      <c r="E269" t="s">
        <v>742</v>
      </c>
      <c r="F269" s="25">
        <v>45777</v>
      </c>
      <c r="G269">
        <v>4583.99</v>
      </c>
      <c r="I269">
        <v>412.56</v>
      </c>
      <c r="J269">
        <v>412.56</v>
      </c>
      <c r="K269" s="15">
        <f t="shared" si="4"/>
        <v>5409.1100000000006</v>
      </c>
      <c r="L269" s="16" t="s">
        <v>16</v>
      </c>
      <c r="M269" t="s">
        <v>797</v>
      </c>
    </row>
    <row r="270" spans="1:13" x14ac:dyDescent="0.25">
      <c r="A270" s="9" t="s">
        <v>23</v>
      </c>
      <c r="B270" t="s">
        <v>59</v>
      </c>
      <c r="C270" t="s">
        <v>356</v>
      </c>
      <c r="D270">
        <v>3332</v>
      </c>
      <c r="E270" t="s">
        <v>743</v>
      </c>
      <c r="F270" s="25">
        <v>45777</v>
      </c>
      <c r="G270">
        <v>1900</v>
      </c>
      <c r="I270">
        <v>171</v>
      </c>
      <c r="J270">
        <v>171</v>
      </c>
      <c r="K270" s="15">
        <f t="shared" si="4"/>
        <v>2242</v>
      </c>
      <c r="L270" s="16" t="s">
        <v>16</v>
      </c>
      <c r="M270" t="s">
        <v>797</v>
      </c>
    </row>
    <row r="271" spans="1:13" x14ac:dyDescent="0.25">
      <c r="A271" s="9" t="s">
        <v>23</v>
      </c>
      <c r="B271" t="s">
        <v>59</v>
      </c>
      <c r="C271" t="s">
        <v>357</v>
      </c>
      <c r="D271">
        <v>3296</v>
      </c>
      <c r="E271" t="s">
        <v>744</v>
      </c>
      <c r="F271" s="25">
        <v>45777</v>
      </c>
      <c r="G271">
        <v>1600</v>
      </c>
      <c r="I271">
        <v>144</v>
      </c>
      <c r="J271">
        <v>144</v>
      </c>
      <c r="K271" s="15">
        <f t="shared" si="4"/>
        <v>1888</v>
      </c>
      <c r="L271" s="16" t="s">
        <v>16</v>
      </c>
      <c r="M271" t="s">
        <v>797</v>
      </c>
    </row>
    <row r="272" spans="1:13" x14ac:dyDescent="0.25">
      <c r="A272" s="9" t="s">
        <v>22</v>
      </c>
      <c r="B272" t="s">
        <v>58</v>
      </c>
      <c r="C272" t="s">
        <v>358</v>
      </c>
      <c r="D272">
        <v>474</v>
      </c>
      <c r="E272" t="s">
        <v>745</v>
      </c>
      <c r="F272" s="25">
        <v>45777</v>
      </c>
      <c r="G272">
        <v>2600</v>
      </c>
      <c r="I272">
        <v>234</v>
      </c>
      <c r="J272">
        <v>234</v>
      </c>
      <c r="K272" s="15">
        <f t="shared" si="4"/>
        <v>3068</v>
      </c>
      <c r="L272" s="16" t="s">
        <v>16</v>
      </c>
      <c r="M272" t="s">
        <v>797</v>
      </c>
    </row>
    <row r="273" spans="1:13" x14ac:dyDescent="0.25">
      <c r="A273" s="9" t="s">
        <v>18</v>
      </c>
      <c r="B273" t="s">
        <v>54</v>
      </c>
      <c r="C273" t="s">
        <v>359</v>
      </c>
      <c r="D273">
        <v>1195</v>
      </c>
      <c r="E273" t="s">
        <v>746</v>
      </c>
      <c r="F273" s="25">
        <v>45777</v>
      </c>
      <c r="G273">
        <v>1320</v>
      </c>
      <c r="I273">
        <v>118.8</v>
      </c>
      <c r="J273">
        <v>118.8</v>
      </c>
      <c r="K273" s="15">
        <f t="shared" si="4"/>
        <v>1557.6</v>
      </c>
      <c r="L273" s="16" t="s">
        <v>16</v>
      </c>
      <c r="M273" t="s">
        <v>797</v>
      </c>
    </row>
    <row r="274" spans="1:13" x14ac:dyDescent="0.25">
      <c r="A274" s="9" t="s">
        <v>27</v>
      </c>
      <c r="B274" t="s">
        <v>63</v>
      </c>
      <c r="C274" t="s">
        <v>360</v>
      </c>
      <c r="D274">
        <v>4243</v>
      </c>
      <c r="E274" t="s">
        <v>747</v>
      </c>
      <c r="F274" s="25">
        <v>45777</v>
      </c>
      <c r="G274">
        <v>2711.87</v>
      </c>
      <c r="I274">
        <v>244.07</v>
      </c>
      <c r="J274">
        <v>244.07</v>
      </c>
      <c r="K274" s="15">
        <f t="shared" si="4"/>
        <v>3200.01</v>
      </c>
      <c r="L274" s="16" t="s">
        <v>16</v>
      </c>
      <c r="M274" t="s">
        <v>797</v>
      </c>
    </row>
    <row r="275" spans="1:13" x14ac:dyDescent="0.25">
      <c r="A275" s="9" t="s">
        <v>27</v>
      </c>
      <c r="B275" t="s">
        <v>63</v>
      </c>
      <c r="C275" t="s">
        <v>361</v>
      </c>
      <c r="D275">
        <v>4184</v>
      </c>
      <c r="E275" t="s">
        <v>748</v>
      </c>
      <c r="F275" s="25">
        <v>45777</v>
      </c>
      <c r="G275">
        <v>4703.3999999999996</v>
      </c>
      <c r="I275">
        <v>423.31</v>
      </c>
      <c r="J275">
        <v>423.31</v>
      </c>
      <c r="K275" s="15">
        <f t="shared" si="4"/>
        <v>5550.02</v>
      </c>
      <c r="L275" s="16" t="s">
        <v>16</v>
      </c>
      <c r="M275" t="s">
        <v>797</v>
      </c>
    </row>
    <row r="276" spans="1:13" s="31" customFormat="1" x14ac:dyDescent="0.25">
      <c r="A276" s="42" t="s">
        <v>39</v>
      </c>
      <c r="B276" s="31" t="s">
        <v>75</v>
      </c>
      <c r="C276" s="39" t="s">
        <v>362</v>
      </c>
      <c r="D276" s="39">
        <v>47</v>
      </c>
      <c r="E276" s="31" t="s">
        <v>749</v>
      </c>
      <c r="F276" s="32">
        <v>45777</v>
      </c>
      <c r="G276" s="31">
        <v>36500</v>
      </c>
      <c r="H276" s="31">
        <v>6570</v>
      </c>
      <c r="K276" s="35">
        <f t="shared" si="4"/>
        <v>43070</v>
      </c>
      <c r="L276" s="34" t="s">
        <v>16</v>
      </c>
      <c r="M276" s="31" t="s">
        <v>798</v>
      </c>
    </row>
    <row r="277" spans="1:13" s="31" customFormat="1" x14ac:dyDescent="0.25">
      <c r="A277" s="42" t="s">
        <v>39</v>
      </c>
      <c r="B277" s="31" t="s">
        <v>75</v>
      </c>
      <c r="C277" s="39" t="s">
        <v>363</v>
      </c>
      <c r="D277" s="39">
        <v>48</v>
      </c>
      <c r="E277" s="31" t="s">
        <v>750</v>
      </c>
      <c r="F277" s="32">
        <v>45777</v>
      </c>
      <c r="G277" s="31">
        <v>10000</v>
      </c>
      <c r="H277" s="31">
        <v>1800</v>
      </c>
      <c r="K277" s="35">
        <f t="shared" si="4"/>
        <v>11800</v>
      </c>
      <c r="L277" s="34" t="s">
        <v>16</v>
      </c>
      <c r="M277" s="31" t="s">
        <v>798</v>
      </c>
    </row>
    <row r="278" spans="1:13" x14ac:dyDescent="0.25">
      <c r="A278" s="9" t="s">
        <v>17</v>
      </c>
      <c r="B278" t="s">
        <v>53</v>
      </c>
      <c r="C278" t="s">
        <v>364</v>
      </c>
      <c r="D278">
        <v>1011</v>
      </c>
      <c r="E278" t="s">
        <v>751</v>
      </c>
      <c r="F278" s="25">
        <v>45777</v>
      </c>
      <c r="G278">
        <v>12500</v>
      </c>
      <c r="I278">
        <v>1125</v>
      </c>
      <c r="J278">
        <v>1125</v>
      </c>
      <c r="K278" s="15">
        <f t="shared" si="4"/>
        <v>14750</v>
      </c>
      <c r="L278" s="16" t="s">
        <v>16</v>
      </c>
      <c r="M278" t="s">
        <v>797</v>
      </c>
    </row>
    <row r="279" spans="1:13" x14ac:dyDescent="0.25">
      <c r="A279" s="9" t="s">
        <v>31</v>
      </c>
      <c r="B279" t="s">
        <v>67</v>
      </c>
      <c r="C279" t="s">
        <v>365</v>
      </c>
      <c r="D279">
        <v>850</v>
      </c>
      <c r="E279" t="s">
        <v>752</v>
      </c>
      <c r="F279" s="25">
        <v>45777</v>
      </c>
      <c r="G279">
        <v>220</v>
      </c>
      <c r="I279">
        <v>19.8</v>
      </c>
      <c r="J279">
        <v>19.8</v>
      </c>
      <c r="K279" s="15">
        <f t="shared" si="4"/>
        <v>259.60000000000002</v>
      </c>
      <c r="L279" s="16" t="s">
        <v>16</v>
      </c>
      <c r="M279" t="s">
        <v>797</v>
      </c>
    </row>
    <row r="280" spans="1:13" x14ac:dyDescent="0.25">
      <c r="A280" s="9" t="s">
        <v>36</v>
      </c>
      <c r="B280" t="s">
        <v>72</v>
      </c>
      <c r="C280" t="s">
        <v>366</v>
      </c>
      <c r="D280">
        <v>17</v>
      </c>
      <c r="E280" t="s">
        <v>753</v>
      </c>
      <c r="F280" s="25">
        <v>45777</v>
      </c>
      <c r="G280">
        <v>59500</v>
      </c>
      <c r="I280">
        <v>5355</v>
      </c>
      <c r="J280">
        <v>5355</v>
      </c>
      <c r="K280" s="15">
        <f t="shared" si="4"/>
        <v>70210</v>
      </c>
      <c r="L280" s="16" t="s">
        <v>16</v>
      </c>
      <c r="M280" t="s">
        <v>797</v>
      </c>
    </row>
    <row r="281" spans="1:13" x14ac:dyDescent="0.25">
      <c r="A281" t="s">
        <v>41</v>
      </c>
      <c r="B281" t="s">
        <v>367</v>
      </c>
      <c r="C281" t="s">
        <v>163</v>
      </c>
      <c r="D281">
        <v>60</v>
      </c>
      <c r="E281" t="s">
        <v>550</v>
      </c>
      <c r="F281" t="s">
        <v>439</v>
      </c>
      <c r="G281">
        <v>150</v>
      </c>
      <c r="H281">
        <v>0</v>
      </c>
      <c r="I281">
        <v>13.5</v>
      </c>
      <c r="J281">
        <v>13.5</v>
      </c>
      <c r="K281" s="15">
        <f t="shared" si="4"/>
        <v>177</v>
      </c>
      <c r="L281" s="16" t="s">
        <v>13</v>
      </c>
      <c r="M281" t="s">
        <v>797</v>
      </c>
    </row>
    <row r="282" spans="1:13" x14ac:dyDescent="0.25">
      <c r="A282" t="s">
        <v>52</v>
      </c>
      <c r="B282" t="s">
        <v>368</v>
      </c>
      <c r="C282" t="s">
        <v>353</v>
      </c>
      <c r="D282">
        <v>202540700001212</v>
      </c>
      <c r="E282" t="s">
        <v>740</v>
      </c>
      <c r="F282" t="s">
        <v>440</v>
      </c>
      <c r="G282">
        <v>210.09</v>
      </c>
      <c r="H282">
        <v>0</v>
      </c>
      <c r="I282">
        <v>18.91</v>
      </c>
      <c r="J282">
        <v>18.91</v>
      </c>
      <c r="K282" s="15">
        <f t="shared" si="4"/>
        <v>247.91</v>
      </c>
      <c r="L282" s="16" t="s">
        <v>13</v>
      </c>
      <c r="M282" t="s">
        <v>797</v>
      </c>
    </row>
    <row r="283" spans="1:13" x14ac:dyDescent="0.25">
      <c r="A283" t="s">
        <v>52</v>
      </c>
      <c r="B283" t="s">
        <v>368</v>
      </c>
      <c r="C283" t="s">
        <v>354</v>
      </c>
      <c r="D283">
        <v>202540700001213</v>
      </c>
      <c r="E283" t="s">
        <v>741</v>
      </c>
      <c r="F283" t="s">
        <v>440</v>
      </c>
      <c r="G283">
        <v>889.83</v>
      </c>
      <c r="H283">
        <v>0</v>
      </c>
      <c r="I283">
        <v>80.08</v>
      </c>
      <c r="J283">
        <v>80.08</v>
      </c>
      <c r="K283" s="15">
        <f t="shared" si="4"/>
        <v>1049.99</v>
      </c>
      <c r="L283" s="16" t="s">
        <v>13</v>
      </c>
      <c r="M283" t="s">
        <v>797</v>
      </c>
    </row>
    <row r="284" spans="1:13" x14ac:dyDescent="0.25">
      <c r="A284" t="s">
        <v>52</v>
      </c>
      <c r="B284" t="s">
        <v>368</v>
      </c>
      <c r="C284" t="s">
        <v>355</v>
      </c>
      <c r="D284">
        <v>202540700001214</v>
      </c>
      <c r="E284" t="s">
        <v>742</v>
      </c>
      <c r="F284" t="s">
        <v>440</v>
      </c>
      <c r="G284">
        <v>4583.99</v>
      </c>
      <c r="H284">
        <v>0</v>
      </c>
      <c r="I284">
        <v>412.56</v>
      </c>
      <c r="J284">
        <v>412.56</v>
      </c>
      <c r="K284" s="15">
        <f t="shared" si="4"/>
        <v>5409.1100000000006</v>
      </c>
      <c r="L284" s="16" t="s">
        <v>13</v>
      </c>
      <c r="M284" t="s">
        <v>797</v>
      </c>
    </row>
    <row r="285" spans="1:13" x14ac:dyDescent="0.25">
      <c r="A285" t="s">
        <v>52</v>
      </c>
      <c r="B285" t="s">
        <v>368</v>
      </c>
      <c r="C285" t="s">
        <v>351</v>
      </c>
      <c r="D285">
        <v>202540700001533</v>
      </c>
      <c r="E285" t="s">
        <v>738</v>
      </c>
      <c r="F285" t="s">
        <v>440</v>
      </c>
      <c r="G285">
        <v>73385.23</v>
      </c>
      <c r="H285">
        <v>0</v>
      </c>
      <c r="I285">
        <v>6604.67</v>
      </c>
      <c r="J285">
        <v>6604.67</v>
      </c>
      <c r="K285" s="15">
        <f t="shared" si="4"/>
        <v>86594.569999999992</v>
      </c>
      <c r="L285" s="16" t="s">
        <v>13</v>
      </c>
      <c r="M285" t="s">
        <v>797</v>
      </c>
    </row>
    <row r="286" spans="1:13" x14ac:dyDescent="0.25">
      <c r="A286" t="s">
        <v>52</v>
      </c>
      <c r="B286" t="s">
        <v>368</v>
      </c>
      <c r="C286" t="s">
        <v>352</v>
      </c>
      <c r="D286">
        <v>202540700001534</v>
      </c>
      <c r="E286" t="s">
        <v>739</v>
      </c>
      <c r="F286" t="s">
        <v>440</v>
      </c>
      <c r="G286">
        <v>945.77</v>
      </c>
      <c r="H286">
        <v>0</v>
      </c>
      <c r="I286">
        <v>85.12</v>
      </c>
      <c r="J286">
        <v>85.12</v>
      </c>
      <c r="K286" s="15">
        <f t="shared" si="4"/>
        <v>1116.0099999999998</v>
      </c>
      <c r="L286" s="16" t="s">
        <v>13</v>
      </c>
      <c r="M286" t="s">
        <v>797</v>
      </c>
    </row>
    <row r="287" spans="1:13" s="43" customFormat="1" x14ac:dyDescent="0.25">
      <c r="A287" s="43" t="s">
        <v>369</v>
      </c>
      <c r="B287" s="43" t="s">
        <v>370</v>
      </c>
      <c r="C287" s="44" t="s">
        <v>411</v>
      </c>
      <c r="D287" s="44">
        <v>202500057</v>
      </c>
      <c r="E287" s="43" t="s">
        <v>754</v>
      </c>
      <c r="F287" s="43" t="s">
        <v>441</v>
      </c>
      <c r="G287" s="43">
        <v>58281.25</v>
      </c>
      <c r="H287" s="43">
        <v>16318.75</v>
      </c>
      <c r="I287" s="43">
        <v>0</v>
      </c>
      <c r="J287" s="43">
        <v>0</v>
      </c>
      <c r="K287" s="45">
        <f t="shared" si="4"/>
        <v>74600</v>
      </c>
      <c r="L287" s="46" t="s">
        <v>13</v>
      </c>
      <c r="M287" s="43" t="s">
        <v>800</v>
      </c>
    </row>
    <row r="288" spans="1:13" x14ac:dyDescent="0.25">
      <c r="A288" t="s">
        <v>20</v>
      </c>
      <c r="B288" t="s">
        <v>371</v>
      </c>
      <c r="C288" t="s">
        <v>93</v>
      </c>
      <c r="D288">
        <v>18</v>
      </c>
      <c r="E288" t="s">
        <v>479</v>
      </c>
      <c r="F288" t="s">
        <v>442</v>
      </c>
      <c r="G288">
        <v>2550</v>
      </c>
      <c r="H288">
        <v>0</v>
      </c>
      <c r="I288">
        <v>229.5</v>
      </c>
      <c r="J288">
        <v>229.5</v>
      </c>
      <c r="K288" s="15">
        <f t="shared" si="4"/>
        <v>3009</v>
      </c>
      <c r="L288" s="16" t="s">
        <v>13</v>
      </c>
      <c r="M288" t="s">
        <v>797</v>
      </c>
    </row>
    <row r="289" spans="1:13" x14ac:dyDescent="0.25">
      <c r="A289" t="s">
        <v>20</v>
      </c>
      <c r="B289" t="s">
        <v>371</v>
      </c>
      <c r="C289" t="s">
        <v>116</v>
      </c>
      <c r="D289">
        <v>29</v>
      </c>
      <c r="E289" t="s">
        <v>503</v>
      </c>
      <c r="F289" t="s">
        <v>443</v>
      </c>
      <c r="G289">
        <v>2480</v>
      </c>
      <c r="H289">
        <v>0</v>
      </c>
      <c r="I289">
        <v>223.2</v>
      </c>
      <c r="J289">
        <v>223.2</v>
      </c>
      <c r="K289" s="15">
        <f t="shared" si="4"/>
        <v>2926.3999999999996</v>
      </c>
      <c r="L289" s="16" t="s">
        <v>13</v>
      </c>
      <c r="M289" t="s">
        <v>797</v>
      </c>
    </row>
    <row r="290" spans="1:13" x14ac:dyDescent="0.25">
      <c r="A290" t="s">
        <v>20</v>
      </c>
      <c r="B290" t="s">
        <v>371</v>
      </c>
      <c r="C290" t="s">
        <v>122</v>
      </c>
      <c r="D290">
        <v>37</v>
      </c>
      <c r="E290" t="s">
        <v>509</v>
      </c>
      <c r="F290" t="s">
        <v>444</v>
      </c>
      <c r="G290">
        <v>2850</v>
      </c>
      <c r="H290">
        <v>0</v>
      </c>
      <c r="I290">
        <v>256.5</v>
      </c>
      <c r="J290">
        <v>256.5</v>
      </c>
      <c r="K290" s="15">
        <f t="shared" si="4"/>
        <v>3363</v>
      </c>
      <c r="L290" s="16" t="s">
        <v>13</v>
      </c>
      <c r="M290" t="s">
        <v>797</v>
      </c>
    </row>
    <row r="291" spans="1:13" x14ac:dyDescent="0.25">
      <c r="A291" t="s">
        <v>20</v>
      </c>
      <c r="B291" t="s">
        <v>371</v>
      </c>
      <c r="C291" t="s">
        <v>142</v>
      </c>
      <c r="D291">
        <v>69</v>
      </c>
      <c r="E291" t="s">
        <v>529</v>
      </c>
      <c r="F291" t="s">
        <v>445</v>
      </c>
      <c r="G291">
        <v>5000</v>
      </c>
      <c r="H291">
        <v>0</v>
      </c>
      <c r="I291">
        <v>450</v>
      </c>
      <c r="J291">
        <v>450</v>
      </c>
      <c r="K291" s="15">
        <f t="shared" si="4"/>
        <v>5900</v>
      </c>
      <c r="L291" s="16" t="s">
        <v>13</v>
      </c>
      <c r="M291" t="s">
        <v>797</v>
      </c>
    </row>
    <row r="292" spans="1:13" x14ac:dyDescent="0.25">
      <c r="A292" t="s">
        <v>20</v>
      </c>
      <c r="B292" t="s">
        <v>371</v>
      </c>
      <c r="C292" t="s">
        <v>203</v>
      </c>
      <c r="D292">
        <v>113</v>
      </c>
      <c r="E292" t="s">
        <v>590</v>
      </c>
      <c r="F292" t="s">
        <v>446</v>
      </c>
      <c r="G292">
        <v>700</v>
      </c>
      <c r="H292">
        <v>0</v>
      </c>
      <c r="I292">
        <v>63</v>
      </c>
      <c r="J292">
        <v>63</v>
      </c>
      <c r="K292" s="15">
        <f t="shared" si="4"/>
        <v>826</v>
      </c>
      <c r="L292" s="16" t="s">
        <v>13</v>
      </c>
      <c r="M292" t="s">
        <v>797</v>
      </c>
    </row>
    <row r="293" spans="1:13" x14ac:dyDescent="0.25">
      <c r="A293" t="s">
        <v>20</v>
      </c>
      <c r="B293" t="s">
        <v>371</v>
      </c>
      <c r="C293" t="s">
        <v>309</v>
      </c>
      <c r="D293">
        <v>177</v>
      </c>
      <c r="E293" t="s">
        <v>696</v>
      </c>
      <c r="F293" t="s">
        <v>447</v>
      </c>
      <c r="G293">
        <v>800</v>
      </c>
      <c r="H293">
        <v>0</v>
      </c>
      <c r="I293">
        <v>72</v>
      </c>
      <c r="J293">
        <v>72</v>
      </c>
      <c r="K293" s="15">
        <f t="shared" si="4"/>
        <v>944</v>
      </c>
      <c r="L293" s="16" t="s">
        <v>13</v>
      </c>
      <c r="M293" t="s">
        <v>797</v>
      </c>
    </row>
    <row r="294" spans="1:13" x14ac:dyDescent="0.25">
      <c r="A294" t="s">
        <v>20</v>
      </c>
      <c r="B294" t="s">
        <v>371</v>
      </c>
      <c r="C294" t="s">
        <v>321</v>
      </c>
      <c r="D294">
        <v>185</v>
      </c>
      <c r="E294" t="s">
        <v>708</v>
      </c>
      <c r="F294" t="s">
        <v>448</v>
      </c>
      <c r="G294">
        <v>5350</v>
      </c>
      <c r="H294">
        <v>0</v>
      </c>
      <c r="I294">
        <v>481.5</v>
      </c>
      <c r="J294">
        <v>481.5</v>
      </c>
      <c r="K294" s="15">
        <f t="shared" si="4"/>
        <v>6313</v>
      </c>
      <c r="L294" s="16" t="s">
        <v>13</v>
      </c>
      <c r="M294" t="s">
        <v>797</v>
      </c>
    </row>
    <row r="295" spans="1:13" x14ac:dyDescent="0.25">
      <c r="A295" t="s">
        <v>20</v>
      </c>
      <c r="B295" t="s">
        <v>371</v>
      </c>
      <c r="C295" t="s">
        <v>344</v>
      </c>
      <c r="D295">
        <v>202</v>
      </c>
      <c r="E295" t="s">
        <v>731</v>
      </c>
      <c r="F295" t="s">
        <v>449</v>
      </c>
      <c r="G295">
        <v>240</v>
      </c>
      <c r="H295">
        <v>0</v>
      </c>
      <c r="I295">
        <v>21.6</v>
      </c>
      <c r="J295">
        <v>21.6</v>
      </c>
      <c r="K295" s="15">
        <f t="shared" si="4"/>
        <v>283.20000000000005</v>
      </c>
      <c r="L295" s="16" t="s">
        <v>13</v>
      </c>
      <c r="M295" t="s">
        <v>797</v>
      </c>
    </row>
    <row r="296" spans="1:13" x14ac:dyDescent="0.25">
      <c r="A296" t="s">
        <v>29</v>
      </c>
      <c r="B296" t="s">
        <v>65</v>
      </c>
      <c r="C296" t="s">
        <v>103</v>
      </c>
      <c r="D296">
        <v>12</v>
      </c>
      <c r="E296" t="s">
        <v>490</v>
      </c>
      <c r="F296" t="s">
        <v>450</v>
      </c>
      <c r="G296">
        <v>1991.53</v>
      </c>
      <c r="H296">
        <v>0</v>
      </c>
      <c r="I296">
        <v>179.24</v>
      </c>
      <c r="J296">
        <v>179.24</v>
      </c>
      <c r="K296" s="15">
        <f t="shared" si="4"/>
        <v>2350.0100000000002</v>
      </c>
      <c r="L296" s="16" t="s">
        <v>13</v>
      </c>
      <c r="M296" t="s">
        <v>797</v>
      </c>
    </row>
    <row r="297" spans="1:13" x14ac:dyDescent="0.25">
      <c r="A297" t="s">
        <v>29</v>
      </c>
      <c r="B297" t="s">
        <v>65</v>
      </c>
      <c r="C297" t="s">
        <v>294</v>
      </c>
      <c r="D297">
        <v>147</v>
      </c>
      <c r="E297" t="s">
        <v>681</v>
      </c>
      <c r="F297" t="s">
        <v>451</v>
      </c>
      <c r="G297">
        <v>1461.86</v>
      </c>
      <c r="H297">
        <v>0</v>
      </c>
      <c r="I297">
        <v>131.57</v>
      </c>
      <c r="J297">
        <v>131.57</v>
      </c>
      <c r="K297" s="15">
        <f t="shared" si="4"/>
        <v>1724.9999999999998</v>
      </c>
      <c r="L297" s="16" t="s">
        <v>13</v>
      </c>
      <c r="M297" t="s">
        <v>797</v>
      </c>
    </row>
    <row r="298" spans="1:13" x14ac:dyDescent="0.25">
      <c r="A298" t="s">
        <v>29</v>
      </c>
      <c r="B298" t="s">
        <v>65</v>
      </c>
      <c r="C298" t="s">
        <v>324</v>
      </c>
      <c r="D298">
        <v>171</v>
      </c>
      <c r="E298" t="s">
        <v>711</v>
      </c>
      <c r="F298" t="s">
        <v>448</v>
      </c>
      <c r="G298">
        <v>796.61</v>
      </c>
      <c r="H298">
        <v>0</v>
      </c>
      <c r="I298">
        <v>71.69</v>
      </c>
      <c r="J298">
        <v>71.69</v>
      </c>
      <c r="K298" s="15">
        <f t="shared" si="4"/>
        <v>939.99</v>
      </c>
      <c r="L298" s="16" t="s">
        <v>13</v>
      </c>
      <c r="M298" t="s">
        <v>797</v>
      </c>
    </row>
    <row r="299" spans="1:13" x14ac:dyDescent="0.25">
      <c r="A299" t="s">
        <v>29</v>
      </c>
      <c r="B299" t="s">
        <v>65</v>
      </c>
      <c r="C299" t="s">
        <v>157</v>
      </c>
      <c r="D299">
        <v>50</v>
      </c>
      <c r="E299" t="s">
        <v>544</v>
      </c>
      <c r="F299" t="s">
        <v>452</v>
      </c>
      <c r="G299">
        <v>2203.39</v>
      </c>
      <c r="H299">
        <v>0</v>
      </c>
      <c r="I299">
        <v>198.31</v>
      </c>
      <c r="J299">
        <v>198.31</v>
      </c>
      <c r="K299" s="15">
        <f t="shared" si="4"/>
        <v>2600.0099999999998</v>
      </c>
      <c r="L299" s="16" t="s">
        <v>13</v>
      </c>
      <c r="M299" t="s">
        <v>797</v>
      </c>
    </row>
    <row r="300" spans="1:13" x14ac:dyDescent="0.25">
      <c r="A300" t="s">
        <v>29</v>
      </c>
      <c r="B300" t="s">
        <v>65</v>
      </c>
      <c r="C300" t="s">
        <v>175</v>
      </c>
      <c r="D300">
        <v>71</v>
      </c>
      <c r="E300" t="s">
        <v>562</v>
      </c>
      <c r="F300" t="s">
        <v>453</v>
      </c>
      <c r="G300">
        <v>805.08</v>
      </c>
      <c r="H300">
        <v>0</v>
      </c>
      <c r="I300">
        <v>72.459999999999994</v>
      </c>
      <c r="J300">
        <v>72.459999999999994</v>
      </c>
      <c r="K300" s="15">
        <f t="shared" si="4"/>
        <v>950.00000000000011</v>
      </c>
      <c r="L300" s="16" t="s">
        <v>13</v>
      </c>
      <c r="M300" t="s">
        <v>797</v>
      </c>
    </row>
    <row r="301" spans="1:13" x14ac:dyDescent="0.25">
      <c r="A301" t="s">
        <v>29</v>
      </c>
      <c r="B301" t="s">
        <v>65</v>
      </c>
      <c r="C301" t="s">
        <v>195</v>
      </c>
      <c r="D301">
        <v>90</v>
      </c>
      <c r="E301" t="s">
        <v>582</v>
      </c>
      <c r="F301" t="s">
        <v>454</v>
      </c>
      <c r="G301">
        <v>2203.39</v>
      </c>
      <c r="H301">
        <v>0</v>
      </c>
      <c r="I301">
        <v>198.31</v>
      </c>
      <c r="J301">
        <v>198.31</v>
      </c>
      <c r="K301" s="15">
        <f t="shared" si="4"/>
        <v>2600.0099999999998</v>
      </c>
      <c r="L301" s="16" t="s">
        <v>13</v>
      </c>
      <c r="M301" t="s">
        <v>797</v>
      </c>
    </row>
    <row r="302" spans="1:13" x14ac:dyDescent="0.25">
      <c r="A302" t="s">
        <v>26</v>
      </c>
      <c r="B302" t="s">
        <v>372</v>
      </c>
      <c r="C302" t="s">
        <v>98</v>
      </c>
      <c r="D302">
        <v>15</v>
      </c>
      <c r="E302" t="s">
        <v>485</v>
      </c>
      <c r="F302" t="s">
        <v>450</v>
      </c>
      <c r="G302">
        <v>4900</v>
      </c>
      <c r="H302">
        <v>0</v>
      </c>
      <c r="I302">
        <v>441</v>
      </c>
      <c r="J302">
        <v>441</v>
      </c>
      <c r="K302" s="15">
        <f t="shared" si="4"/>
        <v>5782</v>
      </c>
      <c r="L302" s="16" t="s">
        <v>13</v>
      </c>
      <c r="M302" t="s">
        <v>797</v>
      </c>
    </row>
    <row r="303" spans="1:13" x14ac:dyDescent="0.25">
      <c r="A303" t="s">
        <v>26</v>
      </c>
      <c r="B303" t="s">
        <v>372</v>
      </c>
      <c r="C303" t="s">
        <v>178</v>
      </c>
      <c r="D303">
        <v>115</v>
      </c>
      <c r="E303" t="s">
        <v>565</v>
      </c>
      <c r="F303" t="s">
        <v>453</v>
      </c>
      <c r="G303">
        <v>3500</v>
      </c>
      <c r="H303">
        <v>0</v>
      </c>
      <c r="I303">
        <v>315</v>
      </c>
      <c r="J303">
        <v>315</v>
      </c>
      <c r="K303" s="15">
        <f t="shared" si="4"/>
        <v>4130</v>
      </c>
      <c r="L303" s="16" t="s">
        <v>13</v>
      </c>
      <c r="M303" t="s">
        <v>797</v>
      </c>
    </row>
    <row r="304" spans="1:13" x14ac:dyDescent="0.25">
      <c r="A304" t="s">
        <v>25</v>
      </c>
      <c r="B304" t="s">
        <v>61</v>
      </c>
      <c r="C304" t="s">
        <v>412</v>
      </c>
      <c r="D304">
        <v>48</v>
      </c>
      <c r="E304" t="s">
        <v>484</v>
      </c>
      <c r="F304" t="s">
        <v>450</v>
      </c>
      <c r="G304">
        <v>1200</v>
      </c>
      <c r="H304">
        <v>216</v>
      </c>
      <c r="I304">
        <v>0</v>
      </c>
      <c r="J304">
        <v>0</v>
      </c>
      <c r="K304" s="15">
        <f t="shared" si="4"/>
        <v>1416</v>
      </c>
      <c r="L304" s="16" t="s">
        <v>13</v>
      </c>
      <c r="M304" t="s">
        <v>797</v>
      </c>
    </row>
    <row r="305" spans="1:13" s="43" customFormat="1" x14ac:dyDescent="0.25">
      <c r="A305" s="43" t="s">
        <v>373</v>
      </c>
      <c r="B305" s="43" t="s">
        <v>374</v>
      </c>
      <c r="C305" s="44" t="s">
        <v>413</v>
      </c>
      <c r="D305" s="44">
        <v>2500000056221</v>
      </c>
      <c r="E305" s="43" t="s">
        <v>755</v>
      </c>
      <c r="F305" s="43" t="s">
        <v>455</v>
      </c>
      <c r="G305" s="43">
        <v>34745</v>
      </c>
      <c r="H305" s="43">
        <v>0</v>
      </c>
      <c r="I305" s="43">
        <v>3127</v>
      </c>
      <c r="J305" s="43">
        <v>3127</v>
      </c>
      <c r="K305" s="45">
        <f t="shared" si="4"/>
        <v>40999</v>
      </c>
      <c r="L305" s="46" t="s">
        <v>13</v>
      </c>
      <c r="M305" s="43" t="s">
        <v>800</v>
      </c>
    </row>
    <row r="306" spans="1:13" x14ac:dyDescent="0.25">
      <c r="A306" t="s">
        <v>44</v>
      </c>
      <c r="B306" t="s">
        <v>375</v>
      </c>
      <c r="C306" t="s">
        <v>179</v>
      </c>
      <c r="D306">
        <v>116</v>
      </c>
      <c r="E306" t="s">
        <v>566</v>
      </c>
      <c r="F306" t="s">
        <v>453</v>
      </c>
      <c r="G306">
        <v>1300</v>
      </c>
      <c r="H306">
        <v>0</v>
      </c>
      <c r="I306">
        <v>117</v>
      </c>
      <c r="J306">
        <v>117</v>
      </c>
      <c r="K306" s="15">
        <f t="shared" si="4"/>
        <v>1534</v>
      </c>
      <c r="L306" s="16" t="s">
        <v>13</v>
      </c>
      <c r="M306" t="s">
        <v>797</v>
      </c>
    </row>
    <row r="307" spans="1:13" x14ac:dyDescent="0.25">
      <c r="A307" t="s">
        <v>44</v>
      </c>
      <c r="B307" t="s">
        <v>375</v>
      </c>
      <c r="C307" t="s">
        <v>268</v>
      </c>
      <c r="D307">
        <v>217</v>
      </c>
      <c r="E307" t="s">
        <v>655</v>
      </c>
      <c r="F307" t="s">
        <v>441</v>
      </c>
      <c r="G307">
        <v>1200</v>
      </c>
      <c r="H307">
        <v>0</v>
      </c>
      <c r="I307">
        <v>108</v>
      </c>
      <c r="J307">
        <v>108</v>
      </c>
      <c r="K307" s="15">
        <f t="shared" si="4"/>
        <v>1416</v>
      </c>
      <c r="L307" s="16" t="s">
        <v>13</v>
      </c>
      <c r="M307" t="s">
        <v>797</v>
      </c>
    </row>
    <row r="308" spans="1:13" x14ac:dyDescent="0.25">
      <c r="A308" t="s">
        <v>44</v>
      </c>
      <c r="B308" t="s">
        <v>375</v>
      </c>
      <c r="C308" t="s">
        <v>296</v>
      </c>
      <c r="D308">
        <v>268</v>
      </c>
      <c r="E308" t="s">
        <v>683</v>
      </c>
      <c r="F308" t="s">
        <v>451</v>
      </c>
      <c r="G308">
        <v>1200</v>
      </c>
      <c r="H308">
        <v>0</v>
      </c>
      <c r="I308">
        <v>108</v>
      </c>
      <c r="J308">
        <v>108</v>
      </c>
      <c r="K308" s="15">
        <f t="shared" si="4"/>
        <v>1416</v>
      </c>
      <c r="L308" s="16" t="s">
        <v>13</v>
      </c>
      <c r="M308" t="s">
        <v>797</v>
      </c>
    </row>
    <row r="309" spans="1:13" x14ac:dyDescent="0.25">
      <c r="A309" t="s">
        <v>44</v>
      </c>
      <c r="B309" t="s">
        <v>375</v>
      </c>
      <c r="C309" t="s">
        <v>315</v>
      </c>
      <c r="D309">
        <v>302</v>
      </c>
      <c r="E309" t="s">
        <v>702</v>
      </c>
      <c r="F309" t="s">
        <v>448</v>
      </c>
      <c r="G309">
        <v>1600</v>
      </c>
      <c r="H309">
        <v>0</v>
      </c>
      <c r="I309">
        <v>144</v>
      </c>
      <c r="J309">
        <v>144</v>
      </c>
      <c r="K309" s="15">
        <f t="shared" si="4"/>
        <v>1888</v>
      </c>
      <c r="L309" s="16" t="s">
        <v>13</v>
      </c>
      <c r="M309" t="s">
        <v>797</v>
      </c>
    </row>
    <row r="310" spans="1:13" x14ac:dyDescent="0.25">
      <c r="A310" t="s">
        <v>44</v>
      </c>
      <c r="B310" t="s">
        <v>375</v>
      </c>
      <c r="C310" t="s">
        <v>319</v>
      </c>
      <c r="D310">
        <v>311</v>
      </c>
      <c r="E310" t="s">
        <v>706</v>
      </c>
      <c r="F310" t="s">
        <v>448</v>
      </c>
      <c r="G310">
        <v>1700</v>
      </c>
      <c r="H310">
        <v>0</v>
      </c>
      <c r="I310">
        <v>153</v>
      </c>
      <c r="J310">
        <v>153</v>
      </c>
      <c r="K310" s="15">
        <f t="shared" si="4"/>
        <v>2006</v>
      </c>
      <c r="L310" s="16" t="s">
        <v>13</v>
      </c>
      <c r="M310" t="s">
        <v>797</v>
      </c>
    </row>
    <row r="311" spans="1:13" x14ac:dyDescent="0.25">
      <c r="A311" t="s">
        <v>38</v>
      </c>
      <c r="B311" t="s">
        <v>376</v>
      </c>
      <c r="C311" t="s">
        <v>133</v>
      </c>
      <c r="D311">
        <v>70</v>
      </c>
      <c r="E311" t="s">
        <v>520</v>
      </c>
      <c r="F311" t="s">
        <v>456</v>
      </c>
      <c r="G311">
        <v>3050.85</v>
      </c>
      <c r="H311">
        <v>0</v>
      </c>
      <c r="I311">
        <v>274.58</v>
      </c>
      <c r="J311">
        <v>274.58</v>
      </c>
      <c r="K311" s="15">
        <f t="shared" si="4"/>
        <v>3600.0099999999998</v>
      </c>
      <c r="L311" s="16" t="s">
        <v>13</v>
      </c>
      <c r="M311" t="s">
        <v>797</v>
      </c>
    </row>
    <row r="312" spans="1:13" x14ac:dyDescent="0.25">
      <c r="A312" t="s">
        <v>38</v>
      </c>
      <c r="B312" t="s">
        <v>376</v>
      </c>
      <c r="C312" t="s">
        <v>182</v>
      </c>
      <c r="D312">
        <v>146</v>
      </c>
      <c r="E312" t="s">
        <v>569</v>
      </c>
      <c r="F312" t="s">
        <v>453</v>
      </c>
      <c r="G312">
        <v>1864.41</v>
      </c>
      <c r="H312">
        <v>0</v>
      </c>
      <c r="I312">
        <v>167.8</v>
      </c>
      <c r="J312">
        <v>167.8</v>
      </c>
      <c r="K312" s="15">
        <f t="shared" si="4"/>
        <v>2200.0100000000002</v>
      </c>
      <c r="L312" s="16" t="s">
        <v>13</v>
      </c>
      <c r="M312" t="s">
        <v>797</v>
      </c>
    </row>
    <row r="313" spans="1:13" x14ac:dyDescent="0.25">
      <c r="A313" t="s">
        <v>38</v>
      </c>
      <c r="B313" t="s">
        <v>376</v>
      </c>
      <c r="C313" t="s">
        <v>289</v>
      </c>
      <c r="D313">
        <v>317</v>
      </c>
      <c r="E313" t="s">
        <v>676</v>
      </c>
      <c r="F313" t="s">
        <v>451</v>
      </c>
      <c r="G313">
        <v>1864.41</v>
      </c>
      <c r="H313">
        <v>0</v>
      </c>
      <c r="I313">
        <v>167.8</v>
      </c>
      <c r="J313">
        <v>167.8</v>
      </c>
      <c r="K313" s="15">
        <f t="shared" si="4"/>
        <v>2200.0100000000002</v>
      </c>
      <c r="L313" s="16" t="s">
        <v>13</v>
      </c>
      <c r="M313" t="s">
        <v>797</v>
      </c>
    </row>
    <row r="314" spans="1:13" x14ac:dyDescent="0.25">
      <c r="A314" t="s">
        <v>38</v>
      </c>
      <c r="B314" t="s">
        <v>376</v>
      </c>
      <c r="C314" t="s">
        <v>290</v>
      </c>
      <c r="D314">
        <v>319</v>
      </c>
      <c r="E314" t="s">
        <v>677</v>
      </c>
      <c r="F314" t="s">
        <v>451</v>
      </c>
      <c r="G314">
        <v>1864.41</v>
      </c>
      <c r="H314">
        <v>0</v>
      </c>
      <c r="I314">
        <v>167.8</v>
      </c>
      <c r="J314">
        <v>167.8</v>
      </c>
      <c r="K314" s="15">
        <f t="shared" si="4"/>
        <v>2200.0100000000002</v>
      </c>
      <c r="L314" s="16" t="s">
        <v>13</v>
      </c>
      <c r="M314" t="s">
        <v>797</v>
      </c>
    </row>
    <row r="315" spans="1:13" x14ac:dyDescent="0.25">
      <c r="A315" t="s">
        <v>38</v>
      </c>
      <c r="B315" t="s">
        <v>376</v>
      </c>
      <c r="C315" t="s">
        <v>298</v>
      </c>
      <c r="D315">
        <v>327</v>
      </c>
      <c r="E315" t="s">
        <v>685</v>
      </c>
      <c r="F315" t="s">
        <v>451</v>
      </c>
      <c r="G315">
        <v>1440.68</v>
      </c>
      <c r="H315">
        <v>0</v>
      </c>
      <c r="I315">
        <v>129.66</v>
      </c>
      <c r="J315">
        <v>129.66</v>
      </c>
      <c r="K315" s="15">
        <f t="shared" si="4"/>
        <v>1700.0000000000002</v>
      </c>
      <c r="L315" s="16" t="s">
        <v>13</v>
      </c>
      <c r="M315" t="s">
        <v>797</v>
      </c>
    </row>
    <row r="316" spans="1:13" s="43" customFormat="1" x14ac:dyDescent="0.25">
      <c r="A316" s="43" t="s">
        <v>38</v>
      </c>
      <c r="B316" s="43" t="s">
        <v>376</v>
      </c>
      <c r="C316" s="44" t="s">
        <v>414</v>
      </c>
      <c r="D316" s="44">
        <v>373</v>
      </c>
      <c r="E316" s="43" t="s">
        <v>756</v>
      </c>
      <c r="F316" s="43" t="s">
        <v>448</v>
      </c>
      <c r="G316" s="43">
        <v>1864.41</v>
      </c>
      <c r="H316" s="43">
        <v>0</v>
      </c>
      <c r="I316" s="43">
        <v>167.8</v>
      </c>
      <c r="J316" s="43">
        <v>167.8</v>
      </c>
      <c r="K316" s="45">
        <f t="shared" si="4"/>
        <v>2200.0100000000002</v>
      </c>
      <c r="L316" s="46" t="s">
        <v>13</v>
      </c>
      <c r="M316" s="43" t="s">
        <v>800</v>
      </c>
    </row>
    <row r="317" spans="1:13" x14ac:dyDescent="0.25">
      <c r="A317" t="s">
        <v>38</v>
      </c>
      <c r="B317" t="s">
        <v>376</v>
      </c>
      <c r="C317" t="s">
        <v>331</v>
      </c>
      <c r="D317">
        <v>390</v>
      </c>
      <c r="E317" t="s">
        <v>718</v>
      </c>
      <c r="F317" t="s">
        <v>457</v>
      </c>
      <c r="G317">
        <v>1864.41</v>
      </c>
      <c r="H317">
        <v>0</v>
      </c>
      <c r="I317">
        <v>167.8</v>
      </c>
      <c r="J317">
        <v>167.8</v>
      </c>
      <c r="K317" s="15">
        <f t="shared" si="4"/>
        <v>2200.0100000000002</v>
      </c>
      <c r="L317" s="16" t="s">
        <v>13</v>
      </c>
      <c r="M317" t="s">
        <v>797</v>
      </c>
    </row>
    <row r="318" spans="1:13" s="43" customFormat="1" x14ac:dyDescent="0.25">
      <c r="A318" s="43" t="s">
        <v>45</v>
      </c>
      <c r="B318" s="43" t="s">
        <v>377</v>
      </c>
      <c r="C318" s="44" t="s">
        <v>415</v>
      </c>
      <c r="D318" s="44">
        <v>2</v>
      </c>
      <c r="E318" s="43" t="s">
        <v>757</v>
      </c>
      <c r="F318" s="43" t="s">
        <v>442</v>
      </c>
      <c r="G318" s="43">
        <v>1050</v>
      </c>
      <c r="H318" s="43">
        <v>0</v>
      </c>
      <c r="I318" s="43">
        <v>94.5</v>
      </c>
      <c r="J318" s="43">
        <v>94.5</v>
      </c>
      <c r="K318" s="45">
        <f t="shared" si="4"/>
        <v>1239</v>
      </c>
      <c r="L318" s="46" t="s">
        <v>13</v>
      </c>
      <c r="M318" s="43" t="s">
        <v>800</v>
      </c>
    </row>
    <row r="319" spans="1:13" x14ac:dyDescent="0.25">
      <c r="A319" t="s">
        <v>45</v>
      </c>
      <c r="B319" t="s">
        <v>377</v>
      </c>
      <c r="C319" t="s">
        <v>196</v>
      </c>
      <c r="D319">
        <v>120</v>
      </c>
      <c r="E319" t="s">
        <v>583</v>
      </c>
      <c r="F319" t="s">
        <v>454</v>
      </c>
      <c r="G319">
        <v>1900</v>
      </c>
      <c r="H319">
        <v>0</v>
      </c>
      <c r="I319">
        <v>171</v>
      </c>
      <c r="J319">
        <v>171</v>
      </c>
      <c r="K319" s="15">
        <f t="shared" si="4"/>
        <v>2242</v>
      </c>
      <c r="L319" s="16" t="s">
        <v>13</v>
      </c>
      <c r="M319" t="s">
        <v>797</v>
      </c>
    </row>
    <row r="320" spans="1:13" x14ac:dyDescent="0.25">
      <c r="A320" t="s">
        <v>45</v>
      </c>
      <c r="B320" t="s">
        <v>377</v>
      </c>
      <c r="C320" t="s">
        <v>297</v>
      </c>
      <c r="D320">
        <v>241</v>
      </c>
      <c r="E320" t="s">
        <v>684</v>
      </c>
      <c r="F320" t="s">
        <v>451</v>
      </c>
      <c r="G320">
        <v>1100</v>
      </c>
      <c r="H320">
        <v>0</v>
      </c>
      <c r="I320">
        <v>99</v>
      </c>
      <c r="J320">
        <v>99</v>
      </c>
      <c r="K320" s="15">
        <f t="shared" si="4"/>
        <v>1298</v>
      </c>
      <c r="L320" s="16" t="s">
        <v>13</v>
      </c>
      <c r="M320" t="s">
        <v>797</v>
      </c>
    </row>
    <row r="321" spans="1:13" x14ac:dyDescent="0.25">
      <c r="A321" t="s">
        <v>45</v>
      </c>
      <c r="B321" t="s">
        <v>377</v>
      </c>
      <c r="C321" t="s">
        <v>300</v>
      </c>
      <c r="D321">
        <v>247</v>
      </c>
      <c r="E321" t="s">
        <v>687</v>
      </c>
      <c r="F321" t="s">
        <v>458</v>
      </c>
      <c r="G321">
        <v>2200</v>
      </c>
      <c r="H321">
        <v>0</v>
      </c>
      <c r="I321">
        <v>198</v>
      </c>
      <c r="J321">
        <v>198</v>
      </c>
      <c r="K321" s="15">
        <f t="shared" si="4"/>
        <v>2596</v>
      </c>
      <c r="L321" s="16" t="s">
        <v>13</v>
      </c>
      <c r="M321" t="s">
        <v>797</v>
      </c>
    </row>
    <row r="322" spans="1:13" x14ac:dyDescent="0.25">
      <c r="A322" t="s">
        <v>45</v>
      </c>
      <c r="B322" t="s">
        <v>377</v>
      </c>
      <c r="C322" t="s">
        <v>307</v>
      </c>
      <c r="D322">
        <v>263</v>
      </c>
      <c r="E322" t="s">
        <v>694</v>
      </c>
      <c r="F322" t="s">
        <v>447</v>
      </c>
      <c r="G322">
        <v>1000</v>
      </c>
      <c r="H322">
        <v>0</v>
      </c>
      <c r="I322">
        <v>90</v>
      </c>
      <c r="J322">
        <v>90</v>
      </c>
      <c r="K322" s="15">
        <f t="shared" si="4"/>
        <v>1180</v>
      </c>
      <c r="L322" s="16" t="s">
        <v>13</v>
      </c>
      <c r="M322" t="s">
        <v>797</v>
      </c>
    </row>
    <row r="323" spans="1:13" s="43" customFormat="1" x14ac:dyDescent="0.25">
      <c r="A323" s="43" t="s">
        <v>378</v>
      </c>
      <c r="B323" s="43" t="s">
        <v>379</v>
      </c>
      <c r="C323" s="44" t="s">
        <v>416</v>
      </c>
      <c r="D323" s="44">
        <v>193382</v>
      </c>
      <c r="E323" s="43" t="s">
        <v>758</v>
      </c>
      <c r="F323" s="43" t="s">
        <v>440</v>
      </c>
      <c r="G323" s="43">
        <v>302.95</v>
      </c>
      <c r="H323" s="43">
        <v>54.53</v>
      </c>
      <c r="I323" s="43">
        <v>0</v>
      </c>
      <c r="J323" s="43">
        <v>0</v>
      </c>
      <c r="K323" s="45">
        <f t="shared" ref="K323:K386" si="5">G323+H323+I323+J323</f>
        <v>357.48</v>
      </c>
      <c r="L323" s="46" t="s">
        <v>13</v>
      </c>
      <c r="M323" s="43" t="s">
        <v>800</v>
      </c>
    </row>
    <row r="324" spans="1:13" s="43" customFormat="1" x14ac:dyDescent="0.25">
      <c r="A324" s="43" t="s">
        <v>378</v>
      </c>
      <c r="B324" s="43" t="s">
        <v>379</v>
      </c>
      <c r="C324" s="44" t="s">
        <v>417</v>
      </c>
      <c r="D324" s="44">
        <v>222515</v>
      </c>
      <c r="E324" s="43" t="s">
        <v>759</v>
      </c>
      <c r="F324" s="43" t="s">
        <v>440</v>
      </c>
      <c r="G324" s="43">
        <v>4527.79</v>
      </c>
      <c r="H324" s="43">
        <v>814.91</v>
      </c>
      <c r="I324" s="43">
        <v>0</v>
      </c>
      <c r="J324" s="43">
        <v>0</v>
      </c>
      <c r="K324" s="45">
        <f t="shared" si="5"/>
        <v>5342.7</v>
      </c>
      <c r="L324" s="46" t="s">
        <v>13</v>
      </c>
      <c r="M324" s="43" t="s">
        <v>800</v>
      </c>
    </row>
    <row r="325" spans="1:13" s="20" customFormat="1" x14ac:dyDescent="0.25">
      <c r="A325" s="20" t="s">
        <v>24</v>
      </c>
      <c r="B325" s="20" t="s">
        <v>380</v>
      </c>
      <c r="C325" s="20" t="s">
        <v>15</v>
      </c>
      <c r="D325" s="20">
        <v>1</v>
      </c>
      <c r="E325" s="20" t="s">
        <v>483</v>
      </c>
      <c r="F325" s="20" t="s">
        <v>442</v>
      </c>
      <c r="G325" s="20">
        <v>84000</v>
      </c>
      <c r="H325" s="20">
        <v>0</v>
      </c>
      <c r="I325" s="20">
        <v>7560</v>
      </c>
      <c r="J325" s="20">
        <v>7560</v>
      </c>
      <c r="K325" s="24">
        <f t="shared" si="5"/>
        <v>99120</v>
      </c>
      <c r="L325" s="23" t="s">
        <v>13</v>
      </c>
      <c r="M325" s="20" t="s">
        <v>796</v>
      </c>
    </row>
    <row r="326" spans="1:13" x14ac:dyDescent="0.25">
      <c r="A326" t="s">
        <v>42</v>
      </c>
      <c r="B326" t="s">
        <v>381</v>
      </c>
      <c r="C326" t="s">
        <v>220</v>
      </c>
      <c r="D326">
        <v>13</v>
      </c>
      <c r="E326" t="s">
        <v>607</v>
      </c>
      <c r="F326" t="s">
        <v>455</v>
      </c>
      <c r="G326">
        <v>30567.79</v>
      </c>
      <c r="H326">
        <v>5502.2</v>
      </c>
      <c r="I326">
        <v>0</v>
      </c>
      <c r="J326">
        <v>0</v>
      </c>
      <c r="K326" s="15">
        <f t="shared" si="5"/>
        <v>36069.99</v>
      </c>
      <c r="L326" s="16" t="s">
        <v>13</v>
      </c>
      <c r="M326" t="s">
        <v>799</v>
      </c>
    </row>
    <row r="327" spans="1:13" s="43" customFormat="1" x14ac:dyDescent="0.25">
      <c r="A327" s="43" t="s">
        <v>42</v>
      </c>
      <c r="B327" s="43" t="s">
        <v>381</v>
      </c>
      <c r="C327" s="44" t="s">
        <v>418</v>
      </c>
      <c r="D327" s="44">
        <v>14</v>
      </c>
      <c r="E327" s="43" t="s">
        <v>760</v>
      </c>
      <c r="F327" s="43" t="s">
        <v>459</v>
      </c>
      <c r="G327" s="43">
        <v>30617.79</v>
      </c>
      <c r="H327" s="43">
        <v>5511.2</v>
      </c>
      <c r="I327" s="43">
        <v>0</v>
      </c>
      <c r="J327" s="43">
        <v>0</v>
      </c>
      <c r="K327" s="45">
        <f t="shared" si="5"/>
        <v>36128.99</v>
      </c>
      <c r="L327" s="46" t="s">
        <v>13</v>
      </c>
      <c r="M327" s="43" t="s">
        <v>800</v>
      </c>
    </row>
    <row r="328" spans="1:13" x14ac:dyDescent="0.25">
      <c r="A328" t="s">
        <v>42</v>
      </c>
      <c r="B328" t="s">
        <v>381</v>
      </c>
      <c r="C328" t="s">
        <v>172</v>
      </c>
      <c r="D328">
        <v>5</v>
      </c>
      <c r="E328" t="s">
        <v>559</v>
      </c>
      <c r="F328" t="s">
        <v>439</v>
      </c>
      <c r="G328">
        <v>10445.77</v>
      </c>
      <c r="H328">
        <v>1880.24</v>
      </c>
      <c r="I328">
        <v>0</v>
      </c>
      <c r="J328">
        <v>0</v>
      </c>
      <c r="K328" s="15">
        <f t="shared" si="5"/>
        <v>12326.01</v>
      </c>
      <c r="L328" s="16" t="s">
        <v>13</v>
      </c>
      <c r="M328" t="s">
        <v>799</v>
      </c>
    </row>
    <row r="329" spans="1:13" x14ac:dyDescent="0.25">
      <c r="A329" t="s">
        <v>50</v>
      </c>
      <c r="B329" t="s">
        <v>86</v>
      </c>
      <c r="C329" t="s">
        <v>283</v>
      </c>
      <c r="D329">
        <v>11</v>
      </c>
      <c r="E329" t="s">
        <v>670</v>
      </c>
      <c r="F329" t="s">
        <v>460</v>
      </c>
      <c r="G329">
        <v>100000</v>
      </c>
      <c r="H329">
        <v>0</v>
      </c>
      <c r="I329">
        <v>9000</v>
      </c>
      <c r="J329">
        <v>9000</v>
      </c>
      <c r="K329" s="15">
        <f t="shared" si="5"/>
        <v>118000</v>
      </c>
      <c r="L329" s="16" t="s">
        <v>13</v>
      </c>
      <c r="M329" t="s">
        <v>797</v>
      </c>
    </row>
    <row r="330" spans="1:13" x14ac:dyDescent="0.25">
      <c r="A330" t="s">
        <v>50</v>
      </c>
      <c r="B330" t="s">
        <v>86</v>
      </c>
      <c r="C330" t="s">
        <v>419</v>
      </c>
      <c r="D330">
        <v>8</v>
      </c>
      <c r="E330" t="s">
        <v>654</v>
      </c>
      <c r="F330" t="s">
        <v>441</v>
      </c>
      <c r="G330">
        <v>189830.48</v>
      </c>
      <c r="H330">
        <v>0</v>
      </c>
      <c r="I330">
        <v>17084.740000000002</v>
      </c>
      <c r="J330">
        <v>17084.740000000002</v>
      </c>
      <c r="K330" s="15">
        <f t="shared" si="5"/>
        <v>223999.96</v>
      </c>
      <c r="L330" s="16" t="s">
        <v>13</v>
      </c>
      <c r="M330" t="s">
        <v>797</v>
      </c>
    </row>
    <row r="331" spans="1:13" x14ac:dyDescent="0.25">
      <c r="A331" t="s">
        <v>47</v>
      </c>
      <c r="B331" t="s">
        <v>83</v>
      </c>
      <c r="C331" t="s">
        <v>232</v>
      </c>
      <c r="D331">
        <v>203</v>
      </c>
      <c r="E331" t="s">
        <v>619</v>
      </c>
      <c r="F331" t="s">
        <v>459</v>
      </c>
      <c r="G331">
        <v>15868.64</v>
      </c>
      <c r="H331">
        <v>0</v>
      </c>
      <c r="I331">
        <v>1428.18</v>
      </c>
      <c r="J331">
        <v>1428.18</v>
      </c>
      <c r="K331" s="15">
        <f t="shared" si="5"/>
        <v>18725</v>
      </c>
      <c r="L331" s="16" t="s">
        <v>13</v>
      </c>
      <c r="M331" t="s">
        <v>797</v>
      </c>
    </row>
    <row r="332" spans="1:13" s="43" customFormat="1" x14ac:dyDescent="0.25">
      <c r="A332" s="43" t="s">
        <v>382</v>
      </c>
      <c r="B332" s="43" t="s">
        <v>383</v>
      </c>
      <c r="C332" s="44" t="s">
        <v>420</v>
      </c>
      <c r="D332" s="44">
        <v>57</v>
      </c>
      <c r="E332" s="43" t="s">
        <v>761</v>
      </c>
      <c r="F332" s="43" t="s">
        <v>458</v>
      </c>
      <c r="G332" s="43">
        <v>6200</v>
      </c>
      <c r="H332" s="43">
        <v>1116</v>
      </c>
      <c r="I332" s="43">
        <v>0</v>
      </c>
      <c r="J332" s="43">
        <v>0</v>
      </c>
      <c r="K332" s="45">
        <f t="shared" si="5"/>
        <v>7316</v>
      </c>
      <c r="L332" s="46" t="s">
        <v>13</v>
      </c>
      <c r="M332" s="43" t="s">
        <v>800</v>
      </c>
    </row>
    <row r="333" spans="1:13" x14ac:dyDescent="0.25">
      <c r="A333" t="s">
        <v>36</v>
      </c>
      <c r="B333" t="s">
        <v>72</v>
      </c>
      <c r="C333" t="s">
        <v>118</v>
      </c>
      <c r="D333">
        <v>4</v>
      </c>
      <c r="E333" t="s">
        <v>505</v>
      </c>
      <c r="F333" t="s">
        <v>443</v>
      </c>
      <c r="G333">
        <v>35000</v>
      </c>
      <c r="H333">
        <v>0</v>
      </c>
      <c r="I333">
        <v>3150</v>
      </c>
      <c r="J333">
        <v>3150</v>
      </c>
      <c r="K333" s="15">
        <f t="shared" si="5"/>
        <v>41300</v>
      </c>
      <c r="L333" s="16" t="s">
        <v>13</v>
      </c>
      <c r="M333" t="s">
        <v>797</v>
      </c>
    </row>
    <row r="334" spans="1:13" x14ac:dyDescent="0.25">
      <c r="A334" t="s">
        <v>36</v>
      </c>
      <c r="B334" t="s">
        <v>72</v>
      </c>
      <c r="C334" t="s">
        <v>231</v>
      </c>
      <c r="D334">
        <v>11</v>
      </c>
      <c r="E334" t="s">
        <v>618</v>
      </c>
      <c r="F334" t="s">
        <v>461</v>
      </c>
      <c r="G334">
        <v>18000</v>
      </c>
      <c r="H334">
        <v>0</v>
      </c>
      <c r="I334">
        <v>1620</v>
      </c>
      <c r="J334">
        <v>1620</v>
      </c>
      <c r="K334" s="15">
        <f t="shared" si="5"/>
        <v>21240</v>
      </c>
      <c r="L334" s="16" t="s">
        <v>13</v>
      </c>
      <c r="M334" t="s">
        <v>797</v>
      </c>
    </row>
    <row r="335" spans="1:13" x14ac:dyDescent="0.25">
      <c r="A335" t="s">
        <v>36</v>
      </c>
      <c r="B335" t="s">
        <v>72</v>
      </c>
      <c r="C335" t="s">
        <v>366</v>
      </c>
      <c r="D335">
        <v>17</v>
      </c>
      <c r="E335" t="s">
        <v>753</v>
      </c>
      <c r="F335" t="s">
        <v>440</v>
      </c>
      <c r="G335">
        <v>59500</v>
      </c>
      <c r="H335">
        <v>0</v>
      </c>
      <c r="I335">
        <v>5355</v>
      </c>
      <c r="J335">
        <v>5355</v>
      </c>
      <c r="K335" s="15">
        <f t="shared" si="5"/>
        <v>70210</v>
      </c>
      <c r="L335" s="16" t="s">
        <v>13</v>
      </c>
      <c r="M335" t="s">
        <v>797</v>
      </c>
    </row>
    <row r="336" spans="1:13" s="43" customFormat="1" x14ac:dyDescent="0.25">
      <c r="A336" s="43" t="s">
        <v>46</v>
      </c>
      <c r="B336" s="43" t="s">
        <v>82</v>
      </c>
      <c r="C336" s="44" t="s">
        <v>421</v>
      </c>
      <c r="D336" s="44">
        <v>10920242</v>
      </c>
      <c r="E336" s="43" t="s">
        <v>762</v>
      </c>
      <c r="F336" s="43" t="s">
        <v>462</v>
      </c>
      <c r="G336" s="43">
        <v>270</v>
      </c>
      <c r="H336" s="43">
        <v>0</v>
      </c>
      <c r="I336" s="43">
        <v>24.3</v>
      </c>
      <c r="J336" s="43">
        <v>24.3</v>
      </c>
      <c r="K336" s="45">
        <f t="shared" si="5"/>
        <v>318.60000000000002</v>
      </c>
      <c r="L336" s="46" t="s">
        <v>13</v>
      </c>
      <c r="M336" s="43" t="s">
        <v>800</v>
      </c>
    </row>
    <row r="337" spans="1:13" x14ac:dyDescent="0.25">
      <c r="A337" t="s">
        <v>48</v>
      </c>
      <c r="B337" t="s">
        <v>384</v>
      </c>
      <c r="C337" t="s">
        <v>237</v>
      </c>
      <c r="D337">
        <v>9</v>
      </c>
      <c r="E337" t="s">
        <v>624</v>
      </c>
      <c r="F337" t="s">
        <v>459</v>
      </c>
      <c r="G337">
        <v>7000</v>
      </c>
      <c r="H337">
        <v>0</v>
      </c>
      <c r="I337">
        <v>630</v>
      </c>
      <c r="J337">
        <v>630</v>
      </c>
      <c r="K337" s="15">
        <f t="shared" si="5"/>
        <v>8260</v>
      </c>
      <c r="L337" s="16" t="s">
        <v>13</v>
      </c>
      <c r="M337" t="s">
        <v>797</v>
      </c>
    </row>
    <row r="338" spans="1:13" x14ac:dyDescent="0.25">
      <c r="A338" t="s">
        <v>48</v>
      </c>
      <c r="B338" t="s">
        <v>384</v>
      </c>
      <c r="C338" t="s">
        <v>280</v>
      </c>
      <c r="D338">
        <v>16</v>
      </c>
      <c r="E338" t="s">
        <v>667</v>
      </c>
      <c r="F338" t="s">
        <v>460</v>
      </c>
      <c r="G338">
        <v>3400</v>
      </c>
      <c r="H338">
        <v>0</v>
      </c>
      <c r="I338">
        <v>306</v>
      </c>
      <c r="J338">
        <v>306</v>
      </c>
      <c r="K338" s="15">
        <f t="shared" si="5"/>
        <v>4012</v>
      </c>
      <c r="L338" s="16" t="s">
        <v>13</v>
      </c>
      <c r="M338" t="s">
        <v>797</v>
      </c>
    </row>
    <row r="339" spans="1:13" s="43" customFormat="1" x14ac:dyDescent="0.25">
      <c r="A339" s="43" t="s">
        <v>385</v>
      </c>
      <c r="B339" s="43" t="s">
        <v>386</v>
      </c>
      <c r="C339" s="44" t="s">
        <v>422</v>
      </c>
      <c r="D339" s="44">
        <v>138251267530315</v>
      </c>
      <c r="E339" s="43" t="s">
        <v>763</v>
      </c>
      <c r="F339" s="43" t="s">
        <v>458</v>
      </c>
      <c r="G339" s="43">
        <v>25</v>
      </c>
      <c r="H339" s="43">
        <v>0</v>
      </c>
      <c r="I339" s="43">
        <v>2.25</v>
      </c>
      <c r="J339" s="43">
        <v>2.25</v>
      </c>
      <c r="K339" s="45">
        <f t="shared" si="5"/>
        <v>29.5</v>
      </c>
      <c r="L339" s="46" t="s">
        <v>13</v>
      </c>
      <c r="M339" s="43" t="s">
        <v>800</v>
      </c>
    </row>
    <row r="340" spans="1:13" x14ac:dyDescent="0.25">
      <c r="A340" t="s">
        <v>40</v>
      </c>
      <c r="B340" t="s">
        <v>76</v>
      </c>
      <c r="C340" t="s">
        <v>161</v>
      </c>
      <c r="D340">
        <v>203</v>
      </c>
      <c r="E340" t="s">
        <v>548</v>
      </c>
      <c r="F340" t="s">
        <v>439</v>
      </c>
      <c r="G340">
        <v>450</v>
      </c>
      <c r="H340">
        <v>0</v>
      </c>
      <c r="I340">
        <v>40.5</v>
      </c>
      <c r="J340">
        <v>40.5</v>
      </c>
      <c r="K340" s="15">
        <f t="shared" si="5"/>
        <v>531</v>
      </c>
      <c r="L340" s="16" t="s">
        <v>13</v>
      </c>
      <c r="M340" t="s">
        <v>797</v>
      </c>
    </row>
    <row r="341" spans="1:13" x14ac:dyDescent="0.25">
      <c r="A341" t="s">
        <v>23</v>
      </c>
      <c r="B341" t="s">
        <v>59</v>
      </c>
      <c r="C341" t="s">
        <v>176</v>
      </c>
      <c r="D341">
        <v>1133</v>
      </c>
      <c r="E341" t="s">
        <v>563</v>
      </c>
      <c r="F341" t="s">
        <v>453</v>
      </c>
      <c r="G341">
        <v>270</v>
      </c>
      <c r="H341">
        <v>0</v>
      </c>
      <c r="I341">
        <v>24.3</v>
      </c>
      <c r="J341">
        <v>24.3</v>
      </c>
      <c r="K341" s="15">
        <f t="shared" si="5"/>
        <v>318.60000000000002</v>
      </c>
      <c r="L341" s="16" t="s">
        <v>13</v>
      </c>
      <c r="M341" t="s">
        <v>797</v>
      </c>
    </row>
    <row r="342" spans="1:13" x14ac:dyDescent="0.25">
      <c r="A342" t="s">
        <v>23</v>
      </c>
      <c r="B342" t="s">
        <v>59</v>
      </c>
      <c r="C342" t="s">
        <v>96</v>
      </c>
      <c r="D342">
        <v>120</v>
      </c>
      <c r="E342" t="s">
        <v>482</v>
      </c>
      <c r="F342" t="s">
        <v>442</v>
      </c>
      <c r="G342">
        <v>90</v>
      </c>
      <c r="H342">
        <v>0</v>
      </c>
      <c r="I342">
        <v>8.1</v>
      </c>
      <c r="J342">
        <v>8.1</v>
      </c>
      <c r="K342" s="15">
        <f t="shared" si="5"/>
        <v>106.19999999999999</v>
      </c>
      <c r="L342" s="16" t="s">
        <v>13</v>
      </c>
      <c r="M342" t="s">
        <v>797</v>
      </c>
    </row>
    <row r="343" spans="1:13" x14ac:dyDescent="0.25">
      <c r="A343" t="s">
        <v>23</v>
      </c>
      <c r="B343" t="s">
        <v>59</v>
      </c>
      <c r="C343" t="s">
        <v>177</v>
      </c>
      <c r="D343">
        <v>1227</v>
      </c>
      <c r="E343" t="s">
        <v>564</v>
      </c>
      <c r="F343" t="s">
        <v>453</v>
      </c>
      <c r="G343">
        <v>900</v>
      </c>
      <c r="H343">
        <v>0</v>
      </c>
      <c r="I343">
        <v>81</v>
      </c>
      <c r="J343">
        <v>81</v>
      </c>
      <c r="K343" s="15">
        <f t="shared" si="5"/>
        <v>1062</v>
      </c>
      <c r="L343" s="16" t="s">
        <v>13</v>
      </c>
      <c r="M343" t="s">
        <v>797</v>
      </c>
    </row>
    <row r="344" spans="1:13" x14ac:dyDescent="0.25">
      <c r="A344" t="s">
        <v>23</v>
      </c>
      <c r="B344" t="s">
        <v>59</v>
      </c>
      <c r="C344" t="s">
        <v>189</v>
      </c>
      <c r="D344">
        <v>1331</v>
      </c>
      <c r="E344" t="s">
        <v>576</v>
      </c>
      <c r="F344" t="s">
        <v>463</v>
      </c>
      <c r="G344">
        <v>12400</v>
      </c>
      <c r="H344">
        <v>0</v>
      </c>
      <c r="I344">
        <v>1116</v>
      </c>
      <c r="J344">
        <v>1116</v>
      </c>
      <c r="K344" s="15">
        <f t="shared" si="5"/>
        <v>14632</v>
      </c>
      <c r="L344" s="16" t="s">
        <v>13</v>
      </c>
      <c r="M344" t="s">
        <v>797</v>
      </c>
    </row>
    <row r="345" spans="1:13" x14ac:dyDescent="0.25">
      <c r="A345" t="s">
        <v>23</v>
      </c>
      <c r="B345" t="s">
        <v>59</v>
      </c>
      <c r="C345" t="s">
        <v>194</v>
      </c>
      <c r="D345">
        <v>1422</v>
      </c>
      <c r="E345" t="s">
        <v>581</v>
      </c>
      <c r="F345" t="s">
        <v>454</v>
      </c>
      <c r="G345">
        <v>350</v>
      </c>
      <c r="H345">
        <v>0</v>
      </c>
      <c r="I345">
        <v>31.5</v>
      </c>
      <c r="J345">
        <v>31.5</v>
      </c>
      <c r="K345" s="15">
        <f t="shared" si="5"/>
        <v>413</v>
      </c>
      <c r="L345" s="16" t="s">
        <v>13</v>
      </c>
      <c r="M345" t="s">
        <v>797</v>
      </c>
    </row>
    <row r="346" spans="1:13" x14ac:dyDescent="0.25">
      <c r="A346" t="s">
        <v>23</v>
      </c>
      <c r="B346" t="s">
        <v>59</v>
      </c>
      <c r="C346" t="s">
        <v>218</v>
      </c>
      <c r="D346">
        <v>1694</v>
      </c>
      <c r="E346" t="s">
        <v>605</v>
      </c>
      <c r="F346" t="s">
        <v>455</v>
      </c>
      <c r="G346">
        <v>500</v>
      </c>
      <c r="H346">
        <v>0</v>
      </c>
      <c r="I346">
        <v>45</v>
      </c>
      <c r="J346">
        <v>45</v>
      </c>
      <c r="K346" s="15">
        <f t="shared" si="5"/>
        <v>590</v>
      </c>
      <c r="L346" s="16" t="s">
        <v>13</v>
      </c>
      <c r="M346" t="s">
        <v>797</v>
      </c>
    </row>
    <row r="347" spans="1:13" x14ac:dyDescent="0.25">
      <c r="A347" t="s">
        <v>23</v>
      </c>
      <c r="B347" t="s">
        <v>59</v>
      </c>
      <c r="C347" t="s">
        <v>223</v>
      </c>
      <c r="D347">
        <v>1781</v>
      </c>
      <c r="E347" t="s">
        <v>610</v>
      </c>
      <c r="F347" t="s">
        <v>461</v>
      </c>
      <c r="G347">
        <v>1800</v>
      </c>
      <c r="H347">
        <v>0</v>
      </c>
      <c r="I347">
        <v>162</v>
      </c>
      <c r="J347">
        <v>162</v>
      </c>
      <c r="K347" s="15">
        <f t="shared" si="5"/>
        <v>2124</v>
      </c>
      <c r="L347" s="16" t="s">
        <v>13</v>
      </c>
      <c r="M347" t="s">
        <v>797</v>
      </c>
    </row>
    <row r="348" spans="1:13" x14ac:dyDescent="0.25">
      <c r="A348" t="s">
        <v>23</v>
      </c>
      <c r="B348" t="s">
        <v>59</v>
      </c>
      <c r="C348" t="s">
        <v>221</v>
      </c>
      <c r="D348">
        <v>1810</v>
      </c>
      <c r="E348" t="s">
        <v>608</v>
      </c>
      <c r="F348" t="s">
        <v>461</v>
      </c>
      <c r="G348">
        <v>700</v>
      </c>
      <c r="H348">
        <v>0</v>
      </c>
      <c r="I348">
        <v>63</v>
      </c>
      <c r="J348">
        <v>63</v>
      </c>
      <c r="K348" s="15">
        <f t="shared" si="5"/>
        <v>826</v>
      </c>
      <c r="L348" s="16" t="s">
        <v>13</v>
      </c>
      <c r="M348" t="s">
        <v>797</v>
      </c>
    </row>
    <row r="349" spans="1:13" x14ac:dyDescent="0.25">
      <c r="A349" t="s">
        <v>23</v>
      </c>
      <c r="B349" t="s">
        <v>59</v>
      </c>
      <c r="C349" t="s">
        <v>222</v>
      </c>
      <c r="D349">
        <v>1841</v>
      </c>
      <c r="E349" t="s">
        <v>609</v>
      </c>
      <c r="F349" t="s">
        <v>461</v>
      </c>
      <c r="G349">
        <v>600</v>
      </c>
      <c r="H349">
        <v>0</v>
      </c>
      <c r="I349">
        <v>54</v>
      </c>
      <c r="J349">
        <v>54</v>
      </c>
      <c r="K349" s="15">
        <f t="shared" si="5"/>
        <v>708</v>
      </c>
      <c r="L349" s="16" t="s">
        <v>13</v>
      </c>
      <c r="M349" t="s">
        <v>797</v>
      </c>
    </row>
    <row r="350" spans="1:13" x14ac:dyDescent="0.25">
      <c r="A350" t="s">
        <v>23</v>
      </c>
      <c r="B350" t="s">
        <v>59</v>
      </c>
      <c r="C350" t="s">
        <v>234</v>
      </c>
      <c r="D350">
        <v>1911</v>
      </c>
      <c r="E350" t="s">
        <v>621</v>
      </c>
      <c r="F350" t="s">
        <v>459</v>
      </c>
      <c r="G350">
        <v>2550</v>
      </c>
      <c r="H350">
        <v>0</v>
      </c>
      <c r="I350">
        <v>229.5</v>
      </c>
      <c r="J350">
        <v>229.5</v>
      </c>
      <c r="K350" s="15">
        <f t="shared" si="5"/>
        <v>3009</v>
      </c>
      <c r="L350" s="16" t="s">
        <v>13</v>
      </c>
      <c r="M350" t="s">
        <v>797</v>
      </c>
    </row>
    <row r="351" spans="1:13" x14ac:dyDescent="0.25">
      <c r="A351" t="s">
        <v>23</v>
      </c>
      <c r="B351" t="s">
        <v>59</v>
      </c>
      <c r="C351" t="s">
        <v>233</v>
      </c>
      <c r="D351">
        <v>1951</v>
      </c>
      <c r="E351" t="s">
        <v>620</v>
      </c>
      <c r="F351" t="s">
        <v>459</v>
      </c>
      <c r="G351">
        <v>1200</v>
      </c>
      <c r="H351">
        <v>0</v>
      </c>
      <c r="I351">
        <v>108</v>
      </c>
      <c r="J351">
        <v>108</v>
      </c>
      <c r="K351" s="15">
        <f t="shared" si="5"/>
        <v>1416</v>
      </c>
      <c r="L351" s="16" t="s">
        <v>13</v>
      </c>
      <c r="M351" t="s">
        <v>797</v>
      </c>
    </row>
    <row r="352" spans="1:13" x14ac:dyDescent="0.25">
      <c r="A352" t="s">
        <v>23</v>
      </c>
      <c r="B352" t="s">
        <v>59</v>
      </c>
      <c r="C352" t="s">
        <v>248</v>
      </c>
      <c r="D352">
        <v>2078</v>
      </c>
      <c r="E352" t="s">
        <v>635</v>
      </c>
      <c r="F352" t="s">
        <v>464</v>
      </c>
      <c r="G352">
        <v>1200</v>
      </c>
      <c r="H352">
        <v>0</v>
      </c>
      <c r="I352">
        <v>108</v>
      </c>
      <c r="J352">
        <v>108</v>
      </c>
      <c r="K352" s="15">
        <f t="shared" si="5"/>
        <v>1416</v>
      </c>
      <c r="L352" s="16" t="s">
        <v>13</v>
      </c>
      <c r="M352" t="s">
        <v>797</v>
      </c>
    </row>
    <row r="353" spans="1:13" x14ac:dyDescent="0.25">
      <c r="A353" t="s">
        <v>23</v>
      </c>
      <c r="B353" t="s">
        <v>59</v>
      </c>
      <c r="C353" t="s">
        <v>247</v>
      </c>
      <c r="D353">
        <v>2116</v>
      </c>
      <c r="E353" t="s">
        <v>634</v>
      </c>
      <c r="F353" t="s">
        <v>464</v>
      </c>
      <c r="G353">
        <v>1100</v>
      </c>
      <c r="H353">
        <v>0</v>
      </c>
      <c r="I353">
        <v>99</v>
      </c>
      <c r="J353">
        <v>99</v>
      </c>
      <c r="K353" s="15">
        <f t="shared" si="5"/>
        <v>1298</v>
      </c>
      <c r="L353" s="16" t="s">
        <v>13</v>
      </c>
      <c r="M353" t="s">
        <v>797</v>
      </c>
    </row>
    <row r="354" spans="1:13" x14ac:dyDescent="0.25">
      <c r="A354" t="s">
        <v>23</v>
      </c>
      <c r="B354" t="s">
        <v>59</v>
      </c>
      <c r="C354" t="s">
        <v>275</v>
      </c>
      <c r="D354">
        <v>2425</v>
      </c>
      <c r="E354" t="s">
        <v>662</v>
      </c>
      <c r="F354" t="s">
        <v>460</v>
      </c>
      <c r="G354">
        <v>1600</v>
      </c>
      <c r="H354">
        <v>0</v>
      </c>
      <c r="I354">
        <v>144</v>
      </c>
      <c r="J354">
        <v>144</v>
      </c>
      <c r="K354" s="15">
        <f t="shared" si="5"/>
        <v>1888</v>
      </c>
      <c r="L354" s="16" t="s">
        <v>13</v>
      </c>
      <c r="M354" t="s">
        <v>797</v>
      </c>
    </row>
    <row r="355" spans="1:13" x14ac:dyDescent="0.25">
      <c r="A355" t="s">
        <v>23</v>
      </c>
      <c r="B355" t="s">
        <v>59</v>
      </c>
      <c r="C355" t="s">
        <v>288</v>
      </c>
      <c r="D355">
        <v>2524</v>
      </c>
      <c r="E355" t="s">
        <v>675</v>
      </c>
      <c r="F355" t="s">
        <v>451</v>
      </c>
      <c r="G355">
        <v>1000</v>
      </c>
      <c r="H355">
        <v>0</v>
      </c>
      <c r="I355">
        <v>90</v>
      </c>
      <c r="J355">
        <v>90</v>
      </c>
      <c r="K355" s="15">
        <f t="shared" si="5"/>
        <v>1180</v>
      </c>
      <c r="L355" s="16" t="s">
        <v>13</v>
      </c>
      <c r="M355" t="s">
        <v>797</v>
      </c>
    </row>
    <row r="356" spans="1:13" x14ac:dyDescent="0.25">
      <c r="A356" t="s">
        <v>23</v>
      </c>
      <c r="B356" t="s">
        <v>59</v>
      </c>
      <c r="C356" t="s">
        <v>110</v>
      </c>
      <c r="D356">
        <v>280</v>
      </c>
      <c r="E356" t="s">
        <v>497</v>
      </c>
      <c r="F356" t="s">
        <v>443</v>
      </c>
      <c r="G356">
        <v>180</v>
      </c>
      <c r="H356">
        <v>0</v>
      </c>
      <c r="I356">
        <v>16.2</v>
      </c>
      <c r="J356">
        <v>16.2</v>
      </c>
      <c r="K356" s="15">
        <f t="shared" si="5"/>
        <v>212.39999999999998</v>
      </c>
      <c r="L356" s="16" t="s">
        <v>13</v>
      </c>
      <c r="M356" t="s">
        <v>797</v>
      </c>
    </row>
    <row r="357" spans="1:13" x14ac:dyDescent="0.25">
      <c r="A357" t="s">
        <v>23</v>
      </c>
      <c r="B357" t="s">
        <v>59</v>
      </c>
      <c r="C357" t="s">
        <v>305</v>
      </c>
      <c r="D357">
        <v>2803</v>
      </c>
      <c r="E357" t="s">
        <v>692</v>
      </c>
      <c r="F357" t="s">
        <v>447</v>
      </c>
      <c r="G357">
        <v>1200</v>
      </c>
      <c r="H357">
        <v>0</v>
      </c>
      <c r="I357">
        <v>108</v>
      </c>
      <c r="J357">
        <v>108</v>
      </c>
      <c r="K357" s="15">
        <f t="shared" si="5"/>
        <v>1416</v>
      </c>
      <c r="L357" s="16" t="s">
        <v>13</v>
      </c>
      <c r="M357" t="s">
        <v>797</v>
      </c>
    </row>
    <row r="358" spans="1:13" x14ac:dyDescent="0.25">
      <c r="A358" t="s">
        <v>23</v>
      </c>
      <c r="B358" t="s">
        <v>59</v>
      </c>
      <c r="C358" t="s">
        <v>304</v>
      </c>
      <c r="D358">
        <v>2824</v>
      </c>
      <c r="E358" t="s">
        <v>691</v>
      </c>
      <c r="F358" t="s">
        <v>447</v>
      </c>
      <c r="G358">
        <v>380</v>
      </c>
      <c r="H358">
        <v>0</v>
      </c>
      <c r="I358">
        <v>34.200000000000003</v>
      </c>
      <c r="J358">
        <v>34.200000000000003</v>
      </c>
      <c r="K358" s="15">
        <f t="shared" si="5"/>
        <v>448.4</v>
      </c>
      <c r="L358" s="16" t="s">
        <v>13</v>
      </c>
      <c r="M358" t="s">
        <v>797</v>
      </c>
    </row>
    <row r="359" spans="1:13" x14ac:dyDescent="0.25">
      <c r="A359" t="s">
        <v>23</v>
      </c>
      <c r="B359" t="s">
        <v>59</v>
      </c>
      <c r="C359" t="s">
        <v>303</v>
      </c>
      <c r="D359">
        <v>2846</v>
      </c>
      <c r="E359" t="s">
        <v>690</v>
      </c>
      <c r="F359" t="s">
        <v>447</v>
      </c>
      <c r="G359">
        <v>1200</v>
      </c>
      <c r="H359">
        <v>0</v>
      </c>
      <c r="I359">
        <v>108</v>
      </c>
      <c r="J359">
        <v>108</v>
      </c>
      <c r="K359" s="15">
        <f t="shared" si="5"/>
        <v>1416</v>
      </c>
      <c r="L359" s="16" t="s">
        <v>13</v>
      </c>
      <c r="M359" t="s">
        <v>797</v>
      </c>
    </row>
    <row r="360" spans="1:13" x14ac:dyDescent="0.25">
      <c r="A360" t="s">
        <v>23</v>
      </c>
      <c r="B360" t="s">
        <v>59</v>
      </c>
      <c r="C360" t="s">
        <v>316</v>
      </c>
      <c r="D360">
        <v>2881</v>
      </c>
      <c r="E360" t="s">
        <v>703</v>
      </c>
      <c r="F360" t="s">
        <v>448</v>
      </c>
      <c r="G360">
        <v>300</v>
      </c>
      <c r="H360">
        <v>0</v>
      </c>
      <c r="I360">
        <v>27</v>
      </c>
      <c r="J360">
        <v>27</v>
      </c>
      <c r="K360" s="15">
        <f t="shared" si="5"/>
        <v>354</v>
      </c>
      <c r="L360" s="16" t="s">
        <v>13</v>
      </c>
      <c r="M360" t="s">
        <v>797</v>
      </c>
    </row>
    <row r="361" spans="1:13" x14ac:dyDescent="0.25">
      <c r="A361" t="s">
        <v>23</v>
      </c>
      <c r="B361" t="s">
        <v>59</v>
      </c>
      <c r="C361" t="s">
        <v>328</v>
      </c>
      <c r="D361">
        <v>3123</v>
      </c>
      <c r="E361" t="s">
        <v>715</v>
      </c>
      <c r="F361" t="s">
        <v>457</v>
      </c>
      <c r="G361">
        <v>1100</v>
      </c>
      <c r="H361">
        <v>0</v>
      </c>
      <c r="I361">
        <v>99</v>
      </c>
      <c r="J361">
        <v>99</v>
      </c>
      <c r="K361" s="15">
        <f t="shared" si="5"/>
        <v>1298</v>
      </c>
      <c r="L361" s="16" t="s">
        <v>13</v>
      </c>
      <c r="M361" t="s">
        <v>797</v>
      </c>
    </row>
    <row r="362" spans="1:13" x14ac:dyDescent="0.25">
      <c r="A362" t="s">
        <v>23</v>
      </c>
      <c r="B362" t="s">
        <v>59</v>
      </c>
      <c r="C362" t="s">
        <v>111</v>
      </c>
      <c r="D362">
        <v>321</v>
      </c>
      <c r="E362" t="s">
        <v>498</v>
      </c>
      <c r="F362" t="s">
        <v>443</v>
      </c>
      <c r="G362">
        <v>750</v>
      </c>
      <c r="H362">
        <v>0</v>
      </c>
      <c r="I362">
        <v>67.5</v>
      </c>
      <c r="J362">
        <v>67.5</v>
      </c>
      <c r="K362" s="15">
        <f t="shared" si="5"/>
        <v>885</v>
      </c>
      <c r="L362" s="16" t="s">
        <v>13</v>
      </c>
      <c r="M362" t="s">
        <v>797</v>
      </c>
    </row>
    <row r="363" spans="1:13" x14ac:dyDescent="0.25">
      <c r="A363" t="s">
        <v>23</v>
      </c>
      <c r="B363" t="s">
        <v>59</v>
      </c>
      <c r="C363" t="s">
        <v>357</v>
      </c>
      <c r="D363">
        <v>3296</v>
      </c>
      <c r="E363" t="s">
        <v>744</v>
      </c>
      <c r="F363" t="s">
        <v>440</v>
      </c>
      <c r="G363">
        <v>1600</v>
      </c>
      <c r="H363">
        <v>0</v>
      </c>
      <c r="I363">
        <v>144</v>
      </c>
      <c r="J363">
        <v>144</v>
      </c>
      <c r="K363" s="15">
        <f t="shared" si="5"/>
        <v>1888</v>
      </c>
      <c r="L363" s="16" t="s">
        <v>13</v>
      </c>
      <c r="M363" t="s">
        <v>797</v>
      </c>
    </row>
    <row r="364" spans="1:13" x14ac:dyDescent="0.25">
      <c r="A364" t="s">
        <v>23</v>
      </c>
      <c r="B364" t="s">
        <v>59</v>
      </c>
      <c r="C364" t="s">
        <v>356</v>
      </c>
      <c r="D364">
        <v>3332</v>
      </c>
      <c r="E364" t="s">
        <v>743</v>
      </c>
      <c r="F364" t="s">
        <v>440</v>
      </c>
      <c r="G364">
        <v>1900</v>
      </c>
      <c r="H364">
        <v>0</v>
      </c>
      <c r="I364">
        <v>171</v>
      </c>
      <c r="J364">
        <v>171</v>
      </c>
      <c r="K364" s="15">
        <f t="shared" si="5"/>
        <v>2242</v>
      </c>
      <c r="L364" s="16" t="s">
        <v>13</v>
      </c>
      <c r="M364" t="s">
        <v>797</v>
      </c>
    </row>
    <row r="365" spans="1:13" x14ac:dyDescent="0.25">
      <c r="A365" t="s">
        <v>23</v>
      </c>
      <c r="B365" t="s">
        <v>59</v>
      </c>
      <c r="C365" t="s">
        <v>120</v>
      </c>
      <c r="D365">
        <v>484</v>
      </c>
      <c r="E365" t="s">
        <v>507</v>
      </c>
      <c r="F365" t="s">
        <v>444</v>
      </c>
      <c r="G365">
        <v>1500</v>
      </c>
      <c r="H365">
        <v>0</v>
      </c>
      <c r="I365">
        <v>135</v>
      </c>
      <c r="J365">
        <v>135</v>
      </c>
      <c r="K365" s="15">
        <f t="shared" si="5"/>
        <v>1770</v>
      </c>
      <c r="L365" s="16" t="s">
        <v>13</v>
      </c>
      <c r="M365" t="s">
        <v>797</v>
      </c>
    </row>
    <row r="366" spans="1:13" x14ac:dyDescent="0.25">
      <c r="A366" t="s">
        <v>23</v>
      </c>
      <c r="B366" t="s">
        <v>59</v>
      </c>
      <c r="C366" t="s">
        <v>148</v>
      </c>
      <c r="D366">
        <v>861</v>
      </c>
      <c r="E366" t="s">
        <v>535</v>
      </c>
      <c r="F366" t="s">
        <v>452</v>
      </c>
      <c r="G366">
        <v>1300</v>
      </c>
      <c r="H366">
        <v>0</v>
      </c>
      <c r="I366">
        <v>117</v>
      </c>
      <c r="J366">
        <v>117</v>
      </c>
      <c r="K366" s="15">
        <f t="shared" si="5"/>
        <v>1534</v>
      </c>
      <c r="L366" s="16" t="s">
        <v>13</v>
      </c>
      <c r="M366" t="s">
        <v>797</v>
      </c>
    </row>
    <row r="367" spans="1:13" x14ac:dyDescent="0.25">
      <c r="A367" t="s">
        <v>23</v>
      </c>
      <c r="B367" t="s">
        <v>59</v>
      </c>
      <c r="C367" t="s">
        <v>147</v>
      </c>
      <c r="D367">
        <v>868</v>
      </c>
      <c r="E367" t="s">
        <v>534</v>
      </c>
      <c r="F367" t="s">
        <v>452</v>
      </c>
      <c r="G367">
        <v>2350</v>
      </c>
      <c r="H367">
        <v>0</v>
      </c>
      <c r="I367">
        <v>211.5</v>
      </c>
      <c r="J367">
        <v>211.5</v>
      </c>
      <c r="K367" s="15">
        <f t="shared" si="5"/>
        <v>2773</v>
      </c>
      <c r="L367" s="16" t="s">
        <v>13</v>
      </c>
      <c r="M367" t="s">
        <v>797</v>
      </c>
    </row>
    <row r="368" spans="1:13" x14ac:dyDescent="0.25">
      <c r="A368" t="s">
        <v>21</v>
      </c>
      <c r="B368" t="s">
        <v>57</v>
      </c>
      <c r="C368" t="s">
        <v>94</v>
      </c>
      <c r="D368">
        <v>4</v>
      </c>
      <c r="E368" t="s">
        <v>480</v>
      </c>
      <c r="F368" t="s">
        <v>442</v>
      </c>
      <c r="G368">
        <v>1100</v>
      </c>
      <c r="H368">
        <v>0</v>
      </c>
      <c r="I368">
        <v>99</v>
      </c>
      <c r="J368">
        <v>99</v>
      </c>
      <c r="K368" s="15">
        <f t="shared" si="5"/>
        <v>1298</v>
      </c>
      <c r="L368" s="16" t="s">
        <v>13</v>
      </c>
      <c r="M368" t="s">
        <v>797</v>
      </c>
    </row>
    <row r="369" spans="1:13" x14ac:dyDescent="0.25">
      <c r="A369" t="s">
        <v>21</v>
      </c>
      <c r="B369" t="s">
        <v>57</v>
      </c>
      <c r="C369" t="s">
        <v>143</v>
      </c>
      <c r="D369">
        <v>14</v>
      </c>
      <c r="E369" t="s">
        <v>530</v>
      </c>
      <c r="F369" t="s">
        <v>445</v>
      </c>
      <c r="G369">
        <v>20200</v>
      </c>
      <c r="H369">
        <v>0</v>
      </c>
      <c r="I369">
        <v>1818</v>
      </c>
      <c r="J369">
        <v>1818</v>
      </c>
      <c r="K369" s="15">
        <f t="shared" si="5"/>
        <v>23836</v>
      </c>
      <c r="L369" s="16" t="s">
        <v>13</v>
      </c>
      <c r="M369" t="s">
        <v>797</v>
      </c>
    </row>
    <row r="370" spans="1:13" x14ac:dyDescent="0.25">
      <c r="A370" t="s">
        <v>21</v>
      </c>
      <c r="B370" t="s">
        <v>57</v>
      </c>
      <c r="C370" t="s">
        <v>183</v>
      </c>
      <c r="D370">
        <v>19</v>
      </c>
      <c r="E370" t="s">
        <v>570</v>
      </c>
      <c r="F370" t="s">
        <v>453</v>
      </c>
      <c r="G370">
        <v>800</v>
      </c>
      <c r="H370">
        <v>0</v>
      </c>
      <c r="I370">
        <v>72</v>
      </c>
      <c r="J370">
        <v>72</v>
      </c>
      <c r="K370" s="15">
        <f t="shared" si="5"/>
        <v>944</v>
      </c>
      <c r="L370" s="16" t="s">
        <v>13</v>
      </c>
      <c r="M370" t="s">
        <v>797</v>
      </c>
    </row>
    <row r="371" spans="1:13" s="43" customFormat="1" x14ac:dyDescent="0.25">
      <c r="A371" s="43" t="s">
        <v>21</v>
      </c>
      <c r="B371" s="43" t="s">
        <v>57</v>
      </c>
      <c r="C371" s="44" t="s">
        <v>423</v>
      </c>
      <c r="D371" s="44">
        <v>35</v>
      </c>
      <c r="E371" s="43" t="s">
        <v>764</v>
      </c>
      <c r="F371" s="43" t="s">
        <v>464</v>
      </c>
      <c r="G371" s="43">
        <v>1600</v>
      </c>
      <c r="H371" s="43">
        <v>0</v>
      </c>
      <c r="I371" s="43">
        <v>144</v>
      </c>
      <c r="J371" s="43">
        <v>144</v>
      </c>
      <c r="K371" s="45">
        <f t="shared" si="5"/>
        <v>1888</v>
      </c>
      <c r="L371" s="46" t="s">
        <v>13</v>
      </c>
      <c r="M371" s="43" t="s">
        <v>800</v>
      </c>
    </row>
    <row r="372" spans="1:13" s="43" customFormat="1" x14ac:dyDescent="0.25">
      <c r="A372" s="43" t="s">
        <v>21</v>
      </c>
      <c r="B372" s="43" t="s">
        <v>57</v>
      </c>
      <c r="C372" s="44" t="s">
        <v>424</v>
      </c>
      <c r="D372" s="44">
        <v>51</v>
      </c>
      <c r="E372" s="43" t="s">
        <v>765</v>
      </c>
      <c r="F372" s="43" t="s">
        <v>457</v>
      </c>
      <c r="G372" s="43">
        <v>7200</v>
      </c>
      <c r="H372" s="43">
        <v>0</v>
      </c>
      <c r="I372" s="43">
        <v>648</v>
      </c>
      <c r="J372" s="43">
        <v>648</v>
      </c>
      <c r="K372" s="45">
        <f t="shared" si="5"/>
        <v>8496</v>
      </c>
      <c r="L372" s="46" t="s">
        <v>13</v>
      </c>
      <c r="M372" s="43" t="s">
        <v>800</v>
      </c>
    </row>
    <row r="373" spans="1:13" s="43" customFormat="1" x14ac:dyDescent="0.25">
      <c r="A373" s="43" t="s">
        <v>387</v>
      </c>
      <c r="B373" s="43" t="s">
        <v>388</v>
      </c>
      <c r="C373" s="44" t="s">
        <v>425</v>
      </c>
      <c r="D373" s="44">
        <v>18</v>
      </c>
      <c r="E373" s="43" t="s">
        <v>766</v>
      </c>
      <c r="F373" s="43" t="s">
        <v>441</v>
      </c>
      <c r="G373" s="43">
        <v>7700</v>
      </c>
      <c r="H373" s="43">
        <v>1386</v>
      </c>
      <c r="I373" s="43">
        <v>0</v>
      </c>
      <c r="J373" s="43">
        <v>0</v>
      </c>
      <c r="K373" s="45">
        <f t="shared" si="5"/>
        <v>9086</v>
      </c>
      <c r="L373" s="46" t="s">
        <v>13</v>
      </c>
      <c r="M373" s="43" t="s">
        <v>800</v>
      </c>
    </row>
    <row r="374" spans="1:13" s="20" customFormat="1" x14ac:dyDescent="0.25">
      <c r="A374" s="20" t="s">
        <v>17</v>
      </c>
      <c r="B374" s="20" t="s">
        <v>389</v>
      </c>
      <c r="C374" s="20" t="s">
        <v>90</v>
      </c>
      <c r="D374" s="20">
        <v>16</v>
      </c>
      <c r="E374" s="20" t="s">
        <v>476</v>
      </c>
      <c r="F374" s="20" t="s">
        <v>442</v>
      </c>
      <c r="G374" s="20">
        <v>4500</v>
      </c>
      <c r="H374" s="20">
        <v>0</v>
      </c>
      <c r="I374" s="20">
        <v>405</v>
      </c>
      <c r="J374" s="20">
        <v>405</v>
      </c>
      <c r="K374" s="24">
        <f t="shared" si="5"/>
        <v>5310</v>
      </c>
      <c r="L374" s="23" t="s">
        <v>13</v>
      </c>
      <c r="M374" s="20" t="s">
        <v>796</v>
      </c>
    </row>
    <row r="375" spans="1:13" x14ac:dyDescent="0.25">
      <c r="A375" t="s">
        <v>17</v>
      </c>
      <c r="B375" t="s">
        <v>389</v>
      </c>
      <c r="C375" t="s">
        <v>89</v>
      </c>
      <c r="D375">
        <v>17</v>
      </c>
      <c r="E375" t="s">
        <v>475</v>
      </c>
      <c r="F375" t="s">
        <v>442</v>
      </c>
      <c r="G375">
        <v>9600</v>
      </c>
      <c r="H375">
        <v>0</v>
      </c>
      <c r="I375">
        <v>864</v>
      </c>
      <c r="J375">
        <v>864</v>
      </c>
      <c r="K375" s="15">
        <f t="shared" si="5"/>
        <v>11328</v>
      </c>
      <c r="L375" s="16" t="s">
        <v>13</v>
      </c>
      <c r="M375" t="s">
        <v>797</v>
      </c>
    </row>
    <row r="376" spans="1:13" x14ac:dyDescent="0.25">
      <c r="A376" t="s">
        <v>17</v>
      </c>
      <c r="B376" t="s">
        <v>389</v>
      </c>
      <c r="C376" t="s">
        <v>100</v>
      </c>
      <c r="D376">
        <v>41</v>
      </c>
      <c r="E376" t="s">
        <v>487</v>
      </c>
      <c r="F376" t="s">
        <v>450</v>
      </c>
      <c r="G376">
        <v>5000</v>
      </c>
      <c r="H376">
        <v>0</v>
      </c>
      <c r="I376">
        <v>450</v>
      </c>
      <c r="J376">
        <v>450</v>
      </c>
      <c r="K376" s="15">
        <f t="shared" si="5"/>
        <v>5900</v>
      </c>
      <c r="L376" s="16" t="s">
        <v>13</v>
      </c>
      <c r="M376" t="s">
        <v>797</v>
      </c>
    </row>
    <row r="377" spans="1:13" x14ac:dyDescent="0.25">
      <c r="A377" t="s">
        <v>17</v>
      </c>
      <c r="B377" t="s">
        <v>389</v>
      </c>
      <c r="C377" t="s">
        <v>101</v>
      </c>
      <c r="D377">
        <v>61</v>
      </c>
      <c r="E377" t="s">
        <v>488</v>
      </c>
      <c r="F377" t="s">
        <v>450</v>
      </c>
      <c r="G377">
        <v>3600</v>
      </c>
      <c r="H377">
        <v>0</v>
      </c>
      <c r="I377">
        <v>324</v>
      </c>
      <c r="J377">
        <v>324</v>
      </c>
      <c r="K377" s="15">
        <f t="shared" si="5"/>
        <v>4248</v>
      </c>
      <c r="L377" s="16" t="s">
        <v>13</v>
      </c>
      <c r="M377" t="s">
        <v>797</v>
      </c>
    </row>
    <row r="378" spans="1:13" x14ac:dyDescent="0.25">
      <c r="A378" t="s">
        <v>17</v>
      </c>
      <c r="B378" t="s">
        <v>389</v>
      </c>
      <c r="C378" t="s">
        <v>115</v>
      </c>
      <c r="D378">
        <v>80</v>
      </c>
      <c r="E378" t="s">
        <v>502</v>
      </c>
      <c r="F378" t="s">
        <v>443</v>
      </c>
      <c r="G378">
        <v>4500</v>
      </c>
      <c r="H378">
        <v>0</v>
      </c>
      <c r="I378">
        <v>405</v>
      </c>
      <c r="J378">
        <v>405</v>
      </c>
      <c r="K378" s="15">
        <f t="shared" si="5"/>
        <v>5310</v>
      </c>
      <c r="L378" s="16" t="s">
        <v>13</v>
      </c>
      <c r="M378" t="s">
        <v>797</v>
      </c>
    </row>
    <row r="379" spans="1:13" x14ac:dyDescent="0.25">
      <c r="A379" t="s">
        <v>17</v>
      </c>
      <c r="B379" t="s">
        <v>389</v>
      </c>
      <c r="C379" t="s">
        <v>121</v>
      </c>
      <c r="D379">
        <v>129</v>
      </c>
      <c r="E379" t="s">
        <v>508</v>
      </c>
      <c r="F379" t="s">
        <v>444</v>
      </c>
      <c r="G379">
        <v>6000</v>
      </c>
      <c r="H379">
        <v>0</v>
      </c>
      <c r="I379">
        <v>540</v>
      </c>
      <c r="J379">
        <v>540</v>
      </c>
      <c r="K379" s="15">
        <f t="shared" si="5"/>
        <v>7080</v>
      </c>
      <c r="L379" s="16" t="s">
        <v>13</v>
      </c>
      <c r="M379" t="s">
        <v>797</v>
      </c>
    </row>
    <row r="380" spans="1:13" x14ac:dyDescent="0.25">
      <c r="A380" t="s">
        <v>17</v>
      </c>
      <c r="B380" t="s">
        <v>389</v>
      </c>
      <c r="C380" t="s">
        <v>128</v>
      </c>
      <c r="D380">
        <v>138</v>
      </c>
      <c r="E380" t="s">
        <v>515</v>
      </c>
      <c r="F380" t="s">
        <v>444</v>
      </c>
      <c r="G380">
        <v>4000</v>
      </c>
      <c r="H380">
        <v>0</v>
      </c>
      <c r="I380">
        <v>360</v>
      </c>
      <c r="J380">
        <v>360</v>
      </c>
      <c r="K380" s="15">
        <f t="shared" si="5"/>
        <v>4720</v>
      </c>
      <c r="L380" s="16" t="s">
        <v>13</v>
      </c>
      <c r="M380" t="s">
        <v>797</v>
      </c>
    </row>
    <row r="381" spans="1:13" x14ac:dyDescent="0.25">
      <c r="A381" t="s">
        <v>17</v>
      </c>
      <c r="B381" t="s">
        <v>389</v>
      </c>
      <c r="C381" t="s">
        <v>127</v>
      </c>
      <c r="D381">
        <v>139</v>
      </c>
      <c r="E381" t="s">
        <v>514</v>
      </c>
      <c r="F381" t="s">
        <v>444</v>
      </c>
      <c r="G381">
        <v>1800</v>
      </c>
      <c r="H381">
        <v>0</v>
      </c>
      <c r="I381">
        <v>162</v>
      </c>
      <c r="J381">
        <v>162</v>
      </c>
      <c r="K381" s="15">
        <f t="shared" si="5"/>
        <v>2124</v>
      </c>
      <c r="L381" s="16" t="s">
        <v>13</v>
      </c>
      <c r="M381" t="s">
        <v>797</v>
      </c>
    </row>
    <row r="382" spans="1:13" x14ac:dyDescent="0.25">
      <c r="A382" t="s">
        <v>17</v>
      </c>
      <c r="B382" t="s">
        <v>389</v>
      </c>
      <c r="C382" t="s">
        <v>126</v>
      </c>
      <c r="D382">
        <v>150</v>
      </c>
      <c r="E382" t="s">
        <v>513</v>
      </c>
      <c r="F382" t="s">
        <v>444</v>
      </c>
      <c r="G382">
        <v>4000</v>
      </c>
      <c r="H382">
        <v>0</v>
      </c>
      <c r="I382">
        <v>360</v>
      </c>
      <c r="J382">
        <v>360</v>
      </c>
      <c r="K382" s="15">
        <f t="shared" si="5"/>
        <v>4720</v>
      </c>
      <c r="L382" s="16" t="s">
        <v>13</v>
      </c>
      <c r="M382" t="s">
        <v>797</v>
      </c>
    </row>
    <row r="383" spans="1:13" x14ac:dyDescent="0.25">
      <c r="A383" t="s">
        <v>17</v>
      </c>
      <c r="B383" t="s">
        <v>389</v>
      </c>
      <c r="C383" t="s">
        <v>134</v>
      </c>
      <c r="D383">
        <v>169</v>
      </c>
      <c r="E383" t="s">
        <v>521</v>
      </c>
      <c r="F383" t="s">
        <v>456</v>
      </c>
      <c r="G383">
        <v>7000</v>
      </c>
      <c r="H383">
        <v>0</v>
      </c>
      <c r="I383">
        <v>630</v>
      </c>
      <c r="J383">
        <v>630</v>
      </c>
      <c r="K383" s="15">
        <f t="shared" si="5"/>
        <v>8260</v>
      </c>
      <c r="L383" s="16" t="s">
        <v>13</v>
      </c>
      <c r="M383" t="s">
        <v>797</v>
      </c>
    </row>
    <row r="384" spans="1:13" x14ac:dyDescent="0.25">
      <c r="A384" t="s">
        <v>17</v>
      </c>
      <c r="B384" t="s">
        <v>389</v>
      </c>
      <c r="C384" t="s">
        <v>138</v>
      </c>
      <c r="D384">
        <v>218</v>
      </c>
      <c r="E384" t="s">
        <v>525</v>
      </c>
      <c r="F384" t="s">
        <v>445</v>
      </c>
      <c r="G384">
        <v>4500</v>
      </c>
      <c r="H384">
        <v>0</v>
      </c>
      <c r="I384">
        <v>405</v>
      </c>
      <c r="J384">
        <v>405</v>
      </c>
      <c r="K384" s="15">
        <f t="shared" si="5"/>
        <v>5310</v>
      </c>
      <c r="L384" s="16" t="s">
        <v>13</v>
      </c>
      <c r="M384" t="s">
        <v>797</v>
      </c>
    </row>
    <row r="385" spans="1:13" x14ac:dyDescent="0.25">
      <c r="A385" t="s">
        <v>17</v>
      </c>
      <c r="B385" t="s">
        <v>389</v>
      </c>
      <c r="C385" t="s">
        <v>141</v>
      </c>
      <c r="D385">
        <v>226</v>
      </c>
      <c r="E385" t="s">
        <v>528</v>
      </c>
      <c r="F385" t="s">
        <v>445</v>
      </c>
      <c r="G385">
        <v>1900</v>
      </c>
      <c r="H385">
        <v>0</v>
      </c>
      <c r="I385">
        <v>171</v>
      </c>
      <c r="J385">
        <v>171</v>
      </c>
      <c r="K385" s="15">
        <f t="shared" si="5"/>
        <v>2242</v>
      </c>
      <c r="L385" s="16" t="s">
        <v>13</v>
      </c>
      <c r="M385" t="s">
        <v>797</v>
      </c>
    </row>
    <row r="386" spans="1:13" x14ac:dyDescent="0.25">
      <c r="A386" t="s">
        <v>17</v>
      </c>
      <c r="B386" t="s">
        <v>389</v>
      </c>
      <c r="C386" t="s">
        <v>145</v>
      </c>
      <c r="D386">
        <v>246</v>
      </c>
      <c r="E386" t="s">
        <v>532</v>
      </c>
      <c r="F386" t="s">
        <v>445</v>
      </c>
      <c r="G386">
        <v>4000</v>
      </c>
      <c r="H386">
        <v>0</v>
      </c>
      <c r="I386">
        <v>360</v>
      </c>
      <c r="J386">
        <v>360</v>
      </c>
      <c r="K386" s="15">
        <f t="shared" si="5"/>
        <v>4720</v>
      </c>
      <c r="L386" s="16" t="s">
        <v>13</v>
      </c>
      <c r="M386" t="s">
        <v>797</v>
      </c>
    </row>
    <row r="387" spans="1:13" x14ac:dyDescent="0.25">
      <c r="A387" t="s">
        <v>17</v>
      </c>
      <c r="B387" t="s">
        <v>389</v>
      </c>
      <c r="C387" t="s">
        <v>152</v>
      </c>
      <c r="D387">
        <v>254</v>
      </c>
      <c r="E387" t="s">
        <v>539</v>
      </c>
      <c r="F387" t="s">
        <v>452</v>
      </c>
      <c r="G387">
        <v>22000</v>
      </c>
      <c r="H387">
        <v>0</v>
      </c>
      <c r="I387">
        <v>1980</v>
      </c>
      <c r="J387">
        <v>1980</v>
      </c>
      <c r="K387" s="15">
        <f t="shared" ref="K387:K450" si="6">G387+H387+I387+J387</f>
        <v>25960</v>
      </c>
      <c r="L387" s="16" t="s">
        <v>13</v>
      </c>
      <c r="M387" t="s">
        <v>797</v>
      </c>
    </row>
    <row r="388" spans="1:13" x14ac:dyDescent="0.25">
      <c r="A388" t="s">
        <v>17</v>
      </c>
      <c r="B388" t="s">
        <v>389</v>
      </c>
      <c r="C388" t="s">
        <v>164</v>
      </c>
      <c r="D388">
        <v>295</v>
      </c>
      <c r="E388" t="s">
        <v>551</v>
      </c>
      <c r="F388" t="s">
        <v>439</v>
      </c>
      <c r="G388">
        <v>4500</v>
      </c>
      <c r="H388">
        <v>0</v>
      </c>
      <c r="I388">
        <v>405</v>
      </c>
      <c r="J388">
        <v>405</v>
      </c>
      <c r="K388" s="15">
        <f t="shared" si="6"/>
        <v>5310</v>
      </c>
      <c r="L388" s="16" t="s">
        <v>13</v>
      </c>
      <c r="M388" t="s">
        <v>797</v>
      </c>
    </row>
    <row r="389" spans="1:13" x14ac:dyDescent="0.25">
      <c r="A389" t="s">
        <v>17</v>
      </c>
      <c r="B389" t="s">
        <v>389</v>
      </c>
      <c r="C389" t="s">
        <v>169</v>
      </c>
      <c r="D389">
        <v>317</v>
      </c>
      <c r="E389" t="s">
        <v>556</v>
      </c>
      <c r="F389" t="s">
        <v>439</v>
      </c>
      <c r="G389">
        <v>17000</v>
      </c>
      <c r="H389">
        <v>0</v>
      </c>
      <c r="I389">
        <v>1530</v>
      </c>
      <c r="J389">
        <v>1530</v>
      </c>
      <c r="K389" s="15">
        <f t="shared" si="6"/>
        <v>20060</v>
      </c>
      <c r="L389" s="16" t="s">
        <v>13</v>
      </c>
      <c r="M389" t="s">
        <v>797</v>
      </c>
    </row>
    <row r="390" spans="1:13" x14ac:dyDescent="0.25">
      <c r="A390" t="s">
        <v>17</v>
      </c>
      <c r="B390" t="s">
        <v>389</v>
      </c>
      <c r="C390" t="s">
        <v>188</v>
      </c>
      <c r="D390">
        <v>409</v>
      </c>
      <c r="E390" t="s">
        <v>575</v>
      </c>
      <c r="F390" t="s">
        <v>463</v>
      </c>
      <c r="G390">
        <v>4500</v>
      </c>
      <c r="H390">
        <v>0</v>
      </c>
      <c r="I390">
        <v>405</v>
      </c>
      <c r="J390">
        <v>405</v>
      </c>
      <c r="K390" s="15">
        <f t="shared" si="6"/>
        <v>5310</v>
      </c>
      <c r="L390" s="16" t="s">
        <v>13</v>
      </c>
      <c r="M390" t="s">
        <v>797</v>
      </c>
    </row>
    <row r="391" spans="1:13" x14ac:dyDescent="0.25">
      <c r="A391" t="s">
        <v>17</v>
      </c>
      <c r="B391" t="s">
        <v>389</v>
      </c>
      <c r="C391" t="s">
        <v>191</v>
      </c>
      <c r="D391">
        <v>413</v>
      </c>
      <c r="E391" t="s">
        <v>578</v>
      </c>
      <c r="F391" t="s">
        <v>463</v>
      </c>
      <c r="G391">
        <v>2000</v>
      </c>
      <c r="H391">
        <v>0</v>
      </c>
      <c r="I391">
        <v>180</v>
      </c>
      <c r="J391">
        <v>180</v>
      </c>
      <c r="K391" s="15">
        <f t="shared" si="6"/>
        <v>2360</v>
      </c>
      <c r="L391" s="16" t="s">
        <v>13</v>
      </c>
      <c r="M391" t="s">
        <v>797</v>
      </c>
    </row>
    <row r="392" spans="1:13" x14ac:dyDescent="0.25">
      <c r="A392" t="s">
        <v>17</v>
      </c>
      <c r="B392" t="s">
        <v>389</v>
      </c>
      <c r="C392" t="s">
        <v>193</v>
      </c>
      <c r="D392">
        <v>450</v>
      </c>
      <c r="E392" t="s">
        <v>580</v>
      </c>
      <c r="F392" t="s">
        <v>454</v>
      </c>
      <c r="G392">
        <v>50847.44</v>
      </c>
      <c r="H392">
        <v>0</v>
      </c>
      <c r="I392">
        <v>4576.2700000000004</v>
      </c>
      <c r="J392">
        <v>4576.2700000000004</v>
      </c>
      <c r="K392" s="15">
        <f t="shared" si="6"/>
        <v>59999.98000000001</v>
      </c>
      <c r="L392" s="16" t="s">
        <v>13</v>
      </c>
      <c r="M392" t="s">
        <v>797</v>
      </c>
    </row>
    <row r="393" spans="1:13" x14ac:dyDescent="0.25">
      <c r="A393" t="s">
        <v>17</v>
      </c>
      <c r="B393" t="s">
        <v>389</v>
      </c>
      <c r="C393" t="s">
        <v>208</v>
      </c>
      <c r="D393">
        <v>461</v>
      </c>
      <c r="E393" t="s">
        <v>595</v>
      </c>
      <c r="F393" t="s">
        <v>446</v>
      </c>
      <c r="G393">
        <v>14000</v>
      </c>
      <c r="H393">
        <v>0</v>
      </c>
      <c r="I393">
        <v>1260</v>
      </c>
      <c r="J393">
        <v>1260</v>
      </c>
      <c r="K393" s="15">
        <f t="shared" si="6"/>
        <v>16520</v>
      </c>
      <c r="L393" s="16" t="s">
        <v>13</v>
      </c>
      <c r="M393" t="s">
        <v>797</v>
      </c>
    </row>
    <row r="394" spans="1:13" x14ac:dyDescent="0.25">
      <c r="A394" t="s">
        <v>17</v>
      </c>
      <c r="B394" t="s">
        <v>389</v>
      </c>
      <c r="C394" t="s">
        <v>228</v>
      </c>
      <c r="D394">
        <v>524</v>
      </c>
      <c r="E394" t="s">
        <v>615</v>
      </c>
      <c r="F394" t="s">
        <v>461</v>
      </c>
      <c r="G394">
        <v>11000</v>
      </c>
      <c r="H394">
        <v>0</v>
      </c>
      <c r="I394">
        <v>990</v>
      </c>
      <c r="J394">
        <v>990</v>
      </c>
      <c r="K394" s="15">
        <f t="shared" si="6"/>
        <v>12980</v>
      </c>
      <c r="L394" s="16" t="s">
        <v>13</v>
      </c>
      <c r="M394" t="s">
        <v>797</v>
      </c>
    </row>
    <row r="395" spans="1:13" x14ac:dyDescent="0.25">
      <c r="A395" t="s">
        <v>17</v>
      </c>
      <c r="B395" t="s">
        <v>389</v>
      </c>
      <c r="C395" t="s">
        <v>239</v>
      </c>
      <c r="D395">
        <v>559</v>
      </c>
      <c r="E395" t="s">
        <v>626</v>
      </c>
      <c r="F395" t="s">
        <v>459</v>
      </c>
      <c r="G395">
        <v>27000</v>
      </c>
      <c r="H395">
        <v>0</v>
      </c>
      <c r="I395">
        <v>2430</v>
      </c>
      <c r="J395">
        <v>2430</v>
      </c>
      <c r="K395" s="15">
        <f t="shared" si="6"/>
        <v>31860</v>
      </c>
      <c r="L395" s="16" t="s">
        <v>13</v>
      </c>
      <c r="M395" t="s">
        <v>797</v>
      </c>
    </row>
    <row r="396" spans="1:13" x14ac:dyDescent="0.25">
      <c r="A396" t="s">
        <v>17</v>
      </c>
      <c r="B396" t="s">
        <v>389</v>
      </c>
      <c r="C396" t="s">
        <v>257</v>
      </c>
      <c r="D396">
        <v>611</v>
      </c>
      <c r="E396" t="s">
        <v>644</v>
      </c>
      <c r="F396" t="s">
        <v>464</v>
      </c>
      <c r="G396">
        <v>5000</v>
      </c>
      <c r="H396">
        <v>0</v>
      </c>
      <c r="I396">
        <v>450</v>
      </c>
      <c r="J396">
        <v>450</v>
      </c>
      <c r="K396" s="15">
        <f t="shared" si="6"/>
        <v>5900</v>
      </c>
      <c r="L396" s="16" t="s">
        <v>13</v>
      </c>
      <c r="M396" t="s">
        <v>797</v>
      </c>
    </row>
    <row r="397" spans="1:13" x14ac:dyDescent="0.25">
      <c r="A397" t="s">
        <v>17</v>
      </c>
      <c r="B397" t="s">
        <v>389</v>
      </c>
      <c r="C397" t="s">
        <v>254</v>
      </c>
      <c r="D397">
        <v>612</v>
      </c>
      <c r="E397" t="s">
        <v>641</v>
      </c>
      <c r="F397" t="s">
        <v>464</v>
      </c>
      <c r="G397">
        <v>8000</v>
      </c>
      <c r="H397">
        <v>0</v>
      </c>
      <c r="I397">
        <v>720</v>
      </c>
      <c r="J397">
        <v>720</v>
      </c>
      <c r="K397" s="15">
        <f t="shared" si="6"/>
        <v>9440</v>
      </c>
      <c r="L397" s="16" t="s">
        <v>13</v>
      </c>
      <c r="M397" t="s">
        <v>797</v>
      </c>
    </row>
    <row r="398" spans="1:13" x14ac:dyDescent="0.25">
      <c r="A398" t="s">
        <v>17</v>
      </c>
      <c r="B398" t="s">
        <v>389</v>
      </c>
      <c r="C398" t="s">
        <v>255</v>
      </c>
      <c r="D398">
        <v>616</v>
      </c>
      <c r="E398" t="s">
        <v>642</v>
      </c>
      <c r="F398" t="s">
        <v>464</v>
      </c>
      <c r="G398">
        <v>15000</v>
      </c>
      <c r="H398">
        <v>0</v>
      </c>
      <c r="I398">
        <v>1350</v>
      </c>
      <c r="J398">
        <v>1350</v>
      </c>
      <c r="K398" s="15">
        <f t="shared" si="6"/>
        <v>17700</v>
      </c>
      <c r="L398" s="16" t="s">
        <v>13</v>
      </c>
      <c r="M398" t="s">
        <v>797</v>
      </c>
    </row>
    <row r="399" spans="1:13" x14ac:dyDescent="0.25">
      <c r="A399" t="s">
        <v>17</v>
      </c>
      <c r="B399" t="s">
        <v>389</v>
      </c>
      <c r="C399" t="s">
        <v>293</v>
      </c>
      <c r="D399">
        <v>759</v>
      </c>
      <c r="E399" t="s">
        <v>680</v>
      </c>
      <c r="F399" t="s">
        <v>451</v>
      </c>
      <c r="G399">
        <v>6200</v>
      </c>
      <c r="H399">
        <v>0</v>
      </c>
      <c r="I399">
        <v>558</v>
      </c>
      <c r="J399">
        <v>558</v>
      </c>
      <c r="K399" s="15">
        <f t="shared" si="6"/>
        <v>7316</v>
      </c>
      <c r="L399" s="16" t="s">
        <v>13</v>
      </c>
      <c r="M399" t="s">
        <v>797</v>
      </c>
    </row>
    <row r="400" spans="1:13" x14ac:dyDescent="0.25">
      <c r="A400" t="s">
        <v>17</v>
      </c>
      <c r="B400" t="s">
        <v>389</v>
      </c>
      <c r="C400" t="s">
        <v>295</v>
      </c>
      <c r="D400">
        <v>775</v>
      </c>
      <c r="E400" t="s">
        <v>682</v>
      </c>
      <c r="F400" t="s">
        <v>451</v>
      </c>
      <c r="G400">
        <v>6500</v>
      </c>
      <c r="H400">
        <v>0</v>
      </c>
      <c r="I400">
        <v>585</v>
      </c>
      <c r="J400">
        <v>585</v>
      </c>
      <c r="K400" s="15">
        <f t="shared" si="6"/>
        <v>7670</v>
      </c>
      <c r="L400" s="16" t="s">
        <v>13</v>
      </c>
      <c r="M400" t="s">
        <v>797</v>
      </c>
    </row>
    <row r="401" spans="1:13" x14ac:dyDescent="0.25">
      <c r="A401" t="s">
        <v>17</v>
      </c>
      <c r="B401" t="s">
        <v>389</v>
      </c>
      <c r="C401" t="s">
        <v>301</v>
      </c>
      <c r="D401">
        <v>814</v>
      </c>
      <c r="E401" t="s">
        <v>688</v>
      </c>
      <c r="F401" t="s">
        <v>458</v>
      </c>
      <c r="G401">
        <v>4500</v>
      </c>
      <c r="H401">
        <v>0</v>
      </c>
      <c r="I401">
        <v>405</v>
      </c>
      <c r="J401">
        <v>405</v>
      </c>
      <c r="K401" s="15">
        <f t="shared" si="6"/>
        <v>5310</v>
      </c>
      <c r="L401" s="16" t="s">
        <v>13</v>
      </c>
      <c r="M401" t="s">
        <v>797</v>
      </c>
    </row>
    <row r="402" spans="1:13" x14ac:dyDescent="0.25">
      <c r="A402" t="s">
        <v>17</v>
      </c>
      <c r="B402" t="s">
        <v>389</v>
      </c>
      <c r="C402" t="s">
        <v>310</v>
      </c>
      <c r="D402">
        <v>834</v>
      </c>
      <c r="E402" t="s">
        <v>697</v>
      </c>
      <c r="F402" t="s">
        <v>447</v>
      </c>
      <c r="G402">
        <v>4000</v>
      </c>
      <c r="H402">
        <v>0</v>
      </c>
      <c r="I402">
        <v>360</v>
      </c>
      <c r="J402">
        <v>360</v>
      </c>
      <c r="K402" s="15">
        <f t="shared" si="6"/>
        <v>4720</v>
      </c>
      <c r="L402" s="16" t="s">
        <v>13</v>
      </c>
      <c r="M402" t="s">
        <v>797</v>
      </c>
    </row>
    <row r="403" spans="1:13" x14ac:dyDescent="0.25">
      <c r="A403" t="s">
        <v>17</v>
      </c>
      <c r="B403" t="s">
        <v>389</v>
      </c>
      <c r="C403" t="s">
        <v>308</v>
      </c>
      <c r="D403">
        <v>853</v>
      </c>
      <c r="E403" t="s">
        <v>695</v>
      </c>
      <c r="F403" t="s">
        <v>447</v>
      </c>
      <c r="G403">
        <v>10000</v>
      </c>
      <c r="H403">
        <v>0</v>
      </c>
      <c r="I403">
        <v>900</v>
      </c>
      <c r="J403">
        <v>900</v>
      </c>
      <c r="K403" s="15">
        <f t="shared" si="6"/>
        <v>11800</v>
      </c>
      <c r="L403" s="16" t="s">
        <v>13</v>
      </c>
      <c r="M403" t="s">
        <v>797</v>
      </c>
    </row>
    <row r="404" spans="1:13" x14ac:dyDescent="0.25">
      <c r="A404" t="s">
        <v>17</v>
      </c>
      <c r="B404" t="s">
        <v>389</v>
      </c>
      <c r="C404" t="s">
        <v>312</v>
      </c>
      <c r="D404">
        <v>868</v>
      </c>
      <c r="E404" t="s">
        <v>699</v>
      </c>
      <c r="F404" t="s">
        <v>447</v>
      </c>
      <c r="G404">
        <v>5500</v>
      </c>
      <c r="H404">
        <v>0</v>
      </c>
      <c r="I404">
        <v>495</v>
      </c>
      <c r="J404">
        <v>495</v>
      </c>
      <c r="K404" s="15">
        <f t="shared" si="6"/>
        <v>6490</v>
      </c>
      <c r="L404" s="16" t="s">
        <v>13</v>
      </c>
      <c r="M404" t="s">
        <v>797</v>
      </c>
    </row>
    <row r="405" spans="1:13" x14ac:dyDescent="0.25">
      <c r="A405" t="s">
        <v>17</v>
      </c>
      <c r="B405" t="s">
        <v>389</v>
      </c>
      <c r="C405" t="s">
        <v>320</v>
      </c>
      <c r="D405">
        <v>877</v>
      </c>
      <c r="E405" t="s">
        <v>707</v>
      </c>
      <c r="F405" t="s">
        <v>448</v>
      </c>
      <c r="G405">
        <v>7500</v>
      </c>
      <c r="H405">
        <v>0</v>
      </c>
      <c r="I405">
        <v>675</v>
      </c>
      <c r="J405">
        <v>675</v>
      </c>
      <c r="K405" s="15">
        <f t="shared" si="6"/>
        <v>8850</v>
      </c>
      <c r="L405" s="16" t="s">
        <v>13</v>
      </c>
      <c r="M405" t="s">
        <v>797</v>
      </c>
    </row>
    <row r="406" spans="1:13" x14ac:dyDescent="0.25">
      <c r="A406" t="s">
        <v>17</v>
      </c>
      <c r="B406" t="s">
        <v>389</v>
      </c>
      <c r="C406" t="s">
        <v>322</v>
      </c>
      <c r="D406">
        <v>892</v>
      </c>
      <c r="E406" t="s">
        <v>709</v>
      </c>
      <c r="F406" t="s">
        <v>448</v>
      </c>
      <c r="G406">
        <v>1650</v>
      </c>
      <c r="H406">
        <v>0</v>
      </c>
      <c r="I406">
        <v>148.5</v>
      </c>
      <c r="J406">
        <v>148.5</v>
      </c>
      <c r="K406" s="15">
        <f t="shared" si="6"/>
        <v>1947</v>
      </c>
      <c r="L406" s="16" t="s">
        <v>13</v>
      </c>
      <c r="M406" t="s">
        <v>797</v>
      </c>
    </row>
    <row r="407" spans="1:13" x14ac:dyDescent="0.25">
      <c r="A407" t="s">
        <v>17</v>
      </c>
      <c r="B407" t="s">
        <v>389</v>
      </c>
      <c r="C407" t="s">
        <v>334</v>
      </c>
      <c r="D407">
        <v>921</v>
      </c>
      <c r="E407" t="s">
        <v>721</v>
      </c>
      <c r="F407" t="s">
        <v>457</v>
      </c>
      <c r="G407">
        <v>3800</v>
      </c>
      <c r="H407">
        <v>0</v>
      </c>
      <c r="I407">
        <v>342</v>
      </c>
      <c r="J407">
        <v>342</v>
      </c>
      <c r="K407" s="15">
        <f t="shared" si="6"/>
        <v>4484</v>
      </c>
      <c r="L407" s="16" t="s">
        <v>13</v>
      </c>
      <c r="M407" t="s">
        <v>797</v>
      </c>
    </row>
    <row r="408" spans="1:13" x14ac:dyDescent="0.25">
      <c r="A408" t="s">
        <v>17</v>
      </c>
      <c r="B408" t="s">
        <v>389</v>
      </c>
      <c r="C408" t="s">
        <v>330</v>
      </c>
      <c r="D408">
        <v>931</v>
      </c>
      <c r="E408" t="s">
        <v>717</v>
      </c>
      <c r="F408" t="s">
        <v>457</v>
      </c>
      <c r="G408">
        <v>8500</v>
      </c>
      <c r="H408">
        <v>0</v>
      </c>
      <c r="I408">
        <v>765</v>
      </c>
      <c r="J408">
        <v>765</v>
      </c>
      <c r="K408" s="15">
        <f t="shared" si="6"/>
        <v>10030</v>
      </c>
      <c r="L408" s="16" t="s">
        <v>13</v>
      </c>
      <c r="M408" t="s">
        <v>797</v>
      </c>
    </row>
    <row r="409" spans="1:13" x14ac:dyDescent="0.25">
      <c r="A409" t="s">
        <v>17</v>
      </c>
      <c r="B409" t="s">
        <v>389</v>
      </c>
      <c r="C409" t="s">
        <v>337</v>
      </c>
      <c r="D409">
        <v>938</v>
      </c>
      <c r="E409" t="s">
        <v>724</v>
      </c>
      <c r="F409" t="s">
        <v>457</v>
      </c>
      <c r="G409">
        <v>5500</v>
      </c>
      <c r="H409">
        <v>0</v>
      </c>
      <c r="I409">
        <v>495</v>
      </c>
      <c r="J409">
        <v>495</v>
      </c>
      <c r="K409" s="15">
        <f t="shared" si="6"/>
        <v>6490</v>
      </c>
      <c r="L409" s="16" t="s">
        <v>13</v>
      </c>
      <c r="M409" t="s">
        <v>797</v>
      </c>
    </row>
    <row r="410" spans="1:13" x14ac:dyDescent="0.25">
      <c r="A410" t="s">
        <v>17</v>
      </c>
      <c r="B410" t="s">
        <v>389</v>
      </c>
      <c r="C410" t="s">
        <v>345</v>
      </c>
      <c r="D410">
        <v>956</v>
      </c>
      <c r="E410" t="s">
        <v>732</v>
      </c>
      <c r="F410" t="s">
        <v>449</v>
      </c>
      <c r="G410">
        <v>5800</v>
      </c>
      <c r="H410">
        <v>0</v>
      </c>
      <c r="I410">
        <v>522</v>
      </c>
      <c r="J410">
        <v>522</v>
      </c>
      <c r="K410" s="15">
        <f t="shared" si="6"/>
        <v>6844</v>
      </c>
      <c r="L410" s="16" t="s">
        <v>13</v>
      </c>
      <c r="M410" t="s">
        <v>797</v>
      </c>
    </row>
    <row r="411" spans="1:13" x14ac:dyDescent="0.25">
      <c r="A411" t="s">
        <v>17</v>
      </c>
      <c r="B411" t="s">
        <v>389</v>
      </c>
      <c r="C411" t="s">
        <v>346</v>
      </c>
      <c r="D411">
        <v>957</v>
      </c>
      <c r="E411" t="s">
        <v>733</v>
      </c>
      <c r="F411" t="s">
        <v>449</v>
      </c>
      <c r="G411">
        <v>5000</v>
      </c>
      <c r="H411">
        <v>0</v>
      </c>
      <c r="I411">
        <v>450</v>
      </c>
      <c r="J411">
        <v>450</v>
      </c>
      <c r="K411" s="15">
        <f t="shared" si="6"/>
        <v>5900</v>
      </c>
      <c r="L411" s="16" t="s">
        <v>13</v>
      </c>
      <c r="M411" t="s">
        <v>797</v>
      </c>
    </row>
    <row r="412" spans="1:13" x14ac:dyDescent="0.25">
      <c r="A412" t="s">
        <v>17</v>
      </c>
      <c r="B412" t="s">
        <v>389</v>
      </c>
      <c r="C412" t="s">
        <v>347</v>
      </c>
      <c r="D412">
        <v>973</v>
      </c>
      <c r="E412" t="s">
        <v>734</v>
      </c>
      <c r="F412" t="s">
        <v>449</v>
      </c>
      <c r="G412">
        <v>3500</v>
      </c>
      <c r="H412">
        <v>0</v>
      </c>
      <c r="I412">
        <v>315</v>
      </c>
      <c r="J412">
        <v>315</v>
      </c>
      <c r="K412" s="15">
        <f t="shared" si="6"/>
        <v>4130</v>
      </c>
      <c r="L412" s="16" t="s">
        <v>13</v>
      </c>
      <c r="M412" t="s">
        <v>797</v>
      </c>
    </row>
    <row r="413" spans="1:13" x14ac:dyDescent="0.25">
      <c r="A413" t="s">
        <v>17</v>
      </c>
      <c r="B413" t="s">
        <v>389</v>
      </c>
      <c r="C413" t="s">
        <v>364</v>
      </c>
      <c r="D413">
        <v>1011</v>
      </c>
      <c r="E413" t="s">
        <v>751</v>
      </c>
      <c r="F413" t="s">
        <v>440</v>
      </c>
      <c r="G413">
        <v>12500</v>
      </c>
      <c r="H413">
        <v>0</v>
      </c>
      <c r="I413">
        <v>1125</v>
      </c>
      <c r="J413">
        <v>1125</v>
      </c>
      <c r="K413" s="15">
        <f t="shared" si="6"/>
        <v>14750</v>
      </c>
      <c r="L413" s="16" t="s">
        <v>13</v>
      </c>
      <c r="M413" t="s">
        <v>797</v>
      </c>
    </row>
    <row r="414" spans="1:13" x14ac:dyDescent="0.25">
      <c r="A414" t="s">
        <v>33</v>
      </c>
      <c r="B414" t="s">
        <v>69</v>
      </c>
      <c r="C414" t="s">
        <v>426</v>
      </c>
      <c r="D414">
        <v>14</v>
      </c>
      <c r="E414" t="s">
        <v>494</v>
      </c>
      <c r="F414" t="s">
        <v>450</v>
      </c>
      <c r="G414">
        <v>4618.6400000000003</v>
      </c>
      <c r="H414">
        <v>0</v>
      </c>
      <c r="I414">
        <v>415.68</v>
      </c>
      <c r="J414">
        <v>415.68</v>
      </c>
      <c r="K414" s="15">
        <f t="shared" si="6"/>
        <v>5450.0000000000009</v>
      </c>
      <c r="L414" s="16" t="s">
        <v>13</v>
      </c>
      <c r="M414" t="s">
        <v>797</v>
      </c>
    </row>
    <row r="415" spans="1:13" s="43" customFormat="1" x14ac:dyDescent="0.25">
      <c r="A415" s="43" t="s">
        <v>33</v>
      </c>
      <c r="B415" s="43" t="s">
        <v>69</v>
      </c>
      <c r="C415" s="44" t="s">
        <v>427</v>
      </c>
      <c r="D415" s="44">
        <v>23</v>
      </c>
      <c r="E415" s="43" t="s">
        <v>767</v>
      </c>
      <c r="F415" s="43" t="s">
        <v>443</v>
      </c>
      <c r="G415" s="43">
        <v>6927.97</v>
      </c>
      <c r="H415" s="43">
        <v>0</v>
      </c>
      <c r="I415" s="43">
        <v>623.52</v>
      </c>
      <c r="J415" s="43">
        <v>623.52</v>
      </c>
      <c r="K415" s="45">
        <f t="shared" si="6"/>
        <v>8175.01</v>
      </c>
      <c r="L415" s="46" t="s">
        <v>13</v>
      </c>
      <c r="M415" s="43" t="s">
        <v>800</v>
      </c>
    </row>
    <row r="416" spans="1:13" s="43" customFormat="1" x14ac:dyDescent="0.25">
      <c r="A416" s="43" t="s">
        <v>33</v>
      </c>
      <c r="B416" s="43" t="s">
        <v>69</v>
      </c>
      <c r="C416" s="44" t="s">
        <v>428</v>
      </c>
      <c r="D416" s="44">
        <v>32</v>
      </c>
      <c r="E416" s="43" t="s">
        <v>768</v>
      </c>
      <c r="F416" s="43" t="s">
        <v>444</v>
      </c>
      <c r="G416" s="43">
        <v>3048.31</v>
      </c>
      <c r="H416" s="43">
        <v>0</v>
      </c>
      <c r="I416" s="43">
        <v>274.35000000000002</v>
      </c>
      <c r="J416" s="43">
        <v>274.35000000000002</v>
      </c>
      <c r="K416" s="45">
        <f t="shared" si="6"/>
        <v>3597.0099999999998</v>
      </c>
      <c r="L416" s="46" t="s">
        <v>13</v>
      </c>
      <c r="M416" s="43" t="s">
        <v>800</v>
      </c>
    </row>
    <row r="417" spans="1:13" x14ac:dyDescent="0.25">
      <c r="A417" t="s">
        <v>33</v>
      </c>
      <c r="B417" t="s">
        <v>69</v>
      </c>
      <c r="C417" t="s">
        <v>213</v>
      </c>
      <c r="D417">
        <v>132</v>
      </c>
      <c r="E417" t="s">
        <v>600</v>
      </c>
      <c r="F417" t="s">
        <v>455</v>
      </c>
      <c r="G417">
        <v>2700</v>
      </c>
      <c r="H417">
        <v>0</v>
      </c>
      <c r="I417">
        <v>243</v>
      </c>
      <c r="J417">
        <v>243</v>
      </c>
      <c r="K417" s="15">
        <f t="shared" si="6"/>
        <v>3186</v>
      </c>
      <c r="L417" s="16" t="s">
        <v>13</v>
      </c>
      <c r="M417" t="s">
        <v>797</v>
      </c>
    </row>
    <row r="418" spans="1:13" x14ac:dyDescent="0.25">
      <c r="A418" t="s">
        <v>33</v>
      </c>
      <c r="B418" t="s">
        <v>69</v>
      </c>
      <c r="C418" t="s">
        <v>215</v>
      </c>
      <c r="D418">
        <v>133</v>
      </c>
      <c r="E418" t="s">
        <v>602</v>
      </c>
      <c r="F418" t="s">
        <v>455</v>
      </c>
      <c r="G418">
        <v>11084.74</v>
      </c>
      <c r="H418">
        <v>0</v>
      </c>
      <c r="I418">
        <v>997.63</v>
      </c>
      <c r="J418">
        <v>997.63</v>
      </c>
      <c r="K418" s="15">
        <f t="shared" si="6"/>
        <v>13079.999999999998</v>
      </c>
      <c r="L418" s="16" t="s">
        <v>13</v>
      </c>
      <c r="M418" t="s">
        <v>797</v>
      </c>
    </row>
    <row r="419" spans="1:13" x14ac:dyDescent="0.25">
      <c r="A419" t="s">
        <v>33</v>
      </c>
      <c r="B419" t="s">
        <v>69</v>
      </c>
      <c r="C419" t="s">
        <v>238</v>
      </c>
      <c r="D419">
        <v>153</v>
      </c>
      <c r="E419" t="s">
        <v>625</v>
      </c>
      <c r="F419" t="s">
        <v>459</v>
      </c>
      <c r="G419">
        <v>16627.11</v>
      </c>
      <c r="H419">
        <v>0</v>
      </c>
      <c r="I419">
        <v>1496.44</v>
      </c>
      <c r="J419">
        <v>1496.44</v>
      </c>
      <c r="K419" s="15">
        <f t="shared" si="6"/>
        <v>19619.989999999998</v>
      </c>
      <c r="L419" s="16" t="s">
        <v>13</v>
      </c>
      <c r="M419" t="s">
        <v>797</v>
      </c>
    </row>
    <row r="420" spans="1:13" x14ac:dyDescent="0.25">
      <c r="A420" t="s">
        <v>33</v>
      </c>
      <c r="B420" t="s">
        <v>69</v>
      </c>
      <c r="C420" t="s">
        <v>249</v>
      </c>
      <c r="D420">
        <v>162</v>
      </c>
      <c r="E420" t="s">
        <v>636</v>
      </c>
      <c r="F420" t="s">
        <v>464</v>
      </c>
      <c r="G420">
        <v>8313.56</v>
      </c>
      <c r="H420">
        <v>0</v>
      </c>
      <c r="I420">
        <v>748.22</v>
      </c>
      <c r="J420">
        <v>748.22</v>
      </c>
      <c r="K420" s="15">
        <f t="shared" si="6"/>
        <v>9809.9999999999982</v>
      </c>
      <c r="L420" s="16" t="s">
        <v>13</v>
      </c>
      <c r="M420" t="s">
        <v>797</v>
      </c>
    </row>
    <row r="421" spans="1:13" x14ac:dyDescent="0.25">
      <c r="A421" t="s">
        <v>33</v>
      </c>
      <c r="B421" t="s">
        <v>69</v>
      </c>
      <c r="C421" t="s">
        <v>277</v>
      </c>
      <c r="D421">
        <v>194</v>
      </c>
      <c r="E421" t="s">
        <v>664</v>
      </c>
      <c r="F421" t="s">
        <v>460</v>
      </c>
      <c r="G421">
        <v>6004.24</v>
      </c>
      <c r="H421">
        <v>0</v>
      </c>
      <c r="I421">
        <v>540.38</v>
      </c>
      <c r="J421">
        <v>540.38</v>
      </c>
      <c r="K421" s="15">
        <f t="shared" si="6"/>
        <v>7085</v>
      </c>
      <c r="L421" s="16" t="s">
        <v>13</v>
      </c>
      <c r="M421" t="s">
        <v>797</v>
      </c>
    </row>
    <row r="422" spans="1:13" x14ac:dyDescent="0.25">
      <c r="A422" t="s">
        <v>33</v>
      </c>
      <c r="B422" t="s">
        <v>69</v>
      </c>
      <c r="C422" t="s">
        <v>281</v>
      </c>
      <c r="D422">
        <v>196</v>
      </c>
      <c r="E422" t="s">
        <v>668</v>
      </c>
      <c r="F422" t="s">
        <v>460</v>
      </c>
      <c r="G422">
        <v>7389.83</v>
      </c>
      <c r="H422">
        <v>0</v>
      </c>
      <c r="I422">
        <v>665.08</v>
      </c>
      <c r="J422">
        <v>665.08</v>
      </c>
      <c r="K422" s="15">
        <f t="shared" si="6"/>
        <v>8719.99</v>
      </c>
      <c r="L422" s="16" t="s">
        <v>13</v>
      </c>
      <c r="M422" t="s">
        <v>797</v>
      </c>
    </row>
    <row r="423" spans="1:13" x14ac:dyDescent="0.25">
      <c r="A423" t="s">
        <v>33</v>
      </c>
      <c r="B423" t="s">
        <v>69</v>
      </c>
      <c r="C423" t="s">
        <v>317</v>
      </c>
      <c r="D423">
        <v>233</v>
      </c>
      <c r="E423" t="s">
        <v>704</v>
      </c>
      <c r="F423" t="s">
        <v>448</v>
      </c>
      <c r="G423">
        <v>2586.44</v>
      </c>
      <c r="H423">
        <v>0</v>
      </c>
      <c r="I423">
        <v>232.78</v>
      </c>
      <c r="J423">
        <v>232.78</v>
      </c>
      <c r="K423" s="15">
        <f t="shared" si="6"/>
        <v>3052.0000000000005</v>
      </c>
      <c r="L423" s="16" t="s">
        <v>13</v>
      </c>
      <c r="M423" t="s">
        <v>797</v>
      </c>
    </row>
    <row r="424" spans="1:13" x14ac:dyDescent="0.25">
      <c r="A424" t="s">
        <v>33</v>
      </c>
      <c r="B424" t="s">
        <v>69</v>
      </c>
      <c r="C424" t="s">
        <v>335</v>
      </c>
      <c r="D424">
        <v>244</v>
      </c>
      <c r="E424" t="s">
        <v>722</v>
      </c>
      <c r="F424" t="s">
        <v>457</v>
      </c>
      <c r="G424">
        <v>3510.17</v>
      </c>
      <c r="H424">
        <v>0</v>
      </c>
      <c r="I424">
        <v>315.92</v>
      </c>
      <c r="J424">
        <v>315.92</v>
      </c>
      <c r="K424" s="15">
        <f t="shared" si="6"/>
        <v>4142.01</v>
      </c>
      <c r="L424" s="16" t="s">
        <v>13</v>
      </c>
      <c r="M424" t="s">
        <v>797</v>
      </c>
    </row>
    <row r="425" spans="1:13" x14ac:dyDescent="0.25">
      <c r="A425" t="s">
        <v>30</v>
      </c>
      <c r="B425" t="s">
        <v>390</v>
      </c>
      <c r="C425" t="s">
        <v>104</v>
      </c>
      <c r="D425">
        <v>1</v>
      </c>
      <c r="E425" t="s">
        <v>491</v>
      </c>
      <c r="F425" t="s">
        <v>450</v>
      </c>
      <c r="G425">
        <v>4200</v>
      </c>
      <c r="H425">
        <v>0</v>
      </c>
      <c r="I425">
        <v>378</v>
      </c>
      <c r="J425">
        <v>378</v>
      </c>
      <c r="K425" s="15">
        <f t="shared" si="6"/>
        <v>4956</v>
      </c>
      <c r="L425" s="16" t="s">
        <v>13</v>
      </c>
      <c r="M425" t="s">
        <v>797</v>
      </c>
    </row>
    <row r="426" spans="1:13" x14ac:dyDescent="0.25">
      <c r="A426" t="s">
        <v>30</v>
      </c>
      <c r="B426" t="s">
        <v>390</v>
      </c>
      <c r="C426" t="s">
        <v>285</v>
      </c>
      <c r="D426">
        <v>28</v>
      </c>
      <c r="E426" t="s">
        <v>672</v>
      </c>
      <c r="F426" t="s">
        <v>460</v>
      </c>
      <c r="G426">
        <v>9000</v>
      </c>
      <c r="H426">
        <v>0</v>
      </c>
      <c r="I426">
        <v>810</v>
      </c>
      <c r="J426">
        <v>810</v>
      </c>
      <c r="K426" s="15">
        <f t="shared" si="6"/>
        <v>10620</v>
      </c>
      <c r="L426" s="16" t="s">
        <v>13</v>
      </c>
      <c r="M426" t="s">
        <v>797</v>
      </c>
    </row>
    <row r="427" spans="1:13" x14ac:dyDescent="0.25">
      <c r="A427" t="s">
        <v>30</v>
      </c>
      <c r="B427" t="s">
        <v>390</v>
      </c>
      <c r="C427" t="s">
        <v>306</v>
      </c>
      <c r="D427">
        <v>35</v>
      </c>
      <c r="E427" t="s">
        <v>693</v>
      </c>
      <c r="F427" t="s">
        <v>447</v>
      </c>
      <c r="G427">
        <v>6000</v>
      </c>
      <c r="H427">
        <v>0</v>
      </c>
      <c r="I427">
        <v>540</v>
      </c>
      <c r="J427">
        <v>540</v>
      </c>
      <c r="K427" s="15">
        <f t="shared" si="6"/>
        <v>7080</v>
      </c>
      <c r="L427" s="16" t="s">
        <v>13</v>
      </c>
      <c r="M427" t="s">
        <v>797</v>
      </c>
    </row>
    <row r="428" spans="1:13" x14ac:dyDescent="0.25">
      <c r="A428" t="s">
        <v>30</v>
      </c>
      <c r="B428" t="s">
        <v>390</v>
      </c>
      <c r="C428" t="s">
        <v>336</v>
      </c>
      <c r="D428">
        <v>40</v>
      </c>
      <c r="E428" t="s">
        <v>723</v>
      </c>
      <c r="F428" t="s">
        <v>457</v>
      </c>
      <c r="G428">
        <v>4000</v>
      </c>
      <c r="H428">
        <v>0</v>
      </c>
      <c r="I428">
        <v>360</v>
      </c>
      <c r="J428">
        <v>360</v>
      </c>
      <c r="K428" s="15">
        <f t="shared" si="6"/>
        <v>4720</v>
      </c>
      <c r="L428" s="16" t="s">
        <v>13</v>
      </c>
      <c r="M428" t="s">
        <v>797</v>
      </c>
    </row>
    <row r="429" spans="1:13" s="43" customFormat="1" x14ac:dyDescent="0.25">
      <c r="A429" s="43" t="s">
        <v>391</v>
      </c>
      <c r="B429" s="43" t="s">
        <v>392</v>
      </c>
      <c r="C429" s="44" t="s">
        <v>429</v>
      </c>
      <c r="D429" s="44">
        <v>26</v>
      </c>
      <c r="E429" s="43" t="s">
        <v>769</v>
      </c>
      <c r="F429" s="43" t="s">
        <v>451</v>
      </c>
      <c r="G429" s="43">
        <v>7800</v>
      </c>
      <c r="H429" s="43">
        <v>0</v>
      </c>
      <c r="I429" s="43">
        <v>468</v>
      </c>
      <c r="J429" s="43">
        <v>468</v>
      </c>
      <c r="K429" s="45">
        <f t="shared" si="6"/>
        <v>8736</v>
      </c>
      <c r="L429" s="46" t="s">
        <v>13</v>
      </c>
      <c r="M429" s="43" t="s">
        <v>800</v>
      </c>
    </row>
    <row r="430" spans="1:13" s="43" customFormat="1" x14ac:dyDescent="0.25">
      <c r="A430" s="43" t="s">
        <v>393</v>
      </c>
      <c r="B430" s="43" t="s">
        <v>394</v>
      </c>
      <c r="C430" s="44" t="s">
        <v>430</v>
      </c>
      <c r="D430" s="44">
        <v>13</v>
      </c>
      <c r="E430" s="43" t="s">
        <v>770</v>
      </c>
      <c r="F430" s="43" t="s">
        <v>464</v>
      </c>
      <c r="G430" s="43">
        <v>12880</v>
      </c>
      <c r="H430" s="43">
        <v>0</v>
      </c>
      <c r="I430" s="43">
        <v>1159.2</v>
      </c>
      <c r="J430" s="43">
        <v>1159.2</v>
      </c>
      <c r="K430" s="45">
        <f t="shared" si="6"/>
        <v>15198.400000000001</v>
      </c>
      <c r="L430" s="46" t="s">
        <v>13</v>
      </c>
      <c r="M430" s="43" t="s">
        <v>800</v>
      </c>
    </row>
    <row r="431" spans="1:13" x14ac:dyDescent="0.25">
      <c r="A431" t="s">
        <v>51</v>
      </c>
      <c r="B431" t="s">
        <v>395</v>
      </c>
      <c r="C431" t="s">
        <v>343</v>
      </c>
      <c r="D431">
        <v>1792</v>
      </c>
      <c r="E431" t="s">
        <v>730</v>
      </c>
      <c r="F431" t="s">
        <v>449</v>
      </c>
      <c r="G431">
        <v>650</v>
      </c>
      <c r="H431">
        <v>0</v>
      </c>
      <c r="I431">
        <v>58.5</v>
      </c>
      <c r="J431">
        <v>58.5</v>
      </c>
      <c r="K431" s="15">
        <f t="shared" si="6"/>
        <v>767</v>
      </c>
      <c r="L431" s="16" t="s">
        <v>13</v>
      </c>
      <c r="M431" t="s">
        <v>797</v>
      </c>
    </row>
    <row r="432" spans="1:13" x14ac:dyDescent="0.25">
      <c r="A432" t="s">
        <v>51</v>
      </c>
      <c r="B432" t="s">
        <v>395</v>
      </c>
      <c r="C432" t="s">
        <v>340</v>
      </c>
      <c r="D432">
        <v>1826</v>
      </c>
      <c r="E432" t="s">
        <v>727</v>
      </c>
      <c r="F432" t="s">
        <v>449</v>
      </c>
      <c r="G432">
        <v>2425</v>
      </c>
      <c r="H432">
        <v>0</v>
      </c>
      <c r="I432">
        <v>218.25</v>
      </c>
      <c r="J432">
        <v>218.25</v>
      </c>
      <c r="K432" s="15">
        <f t="shared" si="6"/>
        <v>2861.5</v>
      </c>
      <c r="L432" s="16" t="s">
        <v>13</v>
      </c>
      <c r="M432" t="s">
        <v>797</v>
      </c>
    </row>
    <row r="433" spans="1:13" x14ac:dyDescent="0.25">
      <c r="A433" t="s">
        <v>37</v>
      </c>
      <c r="B433" t="s">
        <v>73</v>
      </c>
      <c r="C433" t="s">
        <v>130</v>
      </c>
      <c r="D433">
        <v>14</v>
      </c>
      <c r="E433" t="s">
        <v>517</v>
      </c>
      <c r="F433" t="s">
        <v>444</v>
      </c>
      <c r="G433">
        <v>1000</v>
      </c>
      <c r="H433">
        <v>0</v>
      </c>
      <c r="I433">
        <v>90</v>
      </c>
      <c r="J433">
        <v>90</v>
      </c>
      <c r="K433" s="15">
        <f t="shared" si="6"/>
        <v>1180</v>
      </c>
      <c r="L433" s="16" t="s">
        <v>13</v>
      </c>
      <c r="M433" t="s">
        <v>797</v>
      </c>
    </row>
    <row r="434" spans="1:13" x14ac:dyDescent="0.25">
      <c r="A434" t="s">
        <v>37</v>
      </c>
      <c r="B434" t="s">
        <v>73</v>
      </c>
      <c r="C434" t="s">
        <v>209</v>
      </c>
      <c r="D434">
        <v>75</v>
      </c>
      <c r="E434" t="s">
        <v>596</v>
      </c>
      <c r="F434" t="s">
        <v>446</v>
      </c>
      <c r="G434">
        <v>200</v>
      </c>
      <c r="H434">
        <v>0</v>
      </c>
      <c r="I434">
        <v>18</v>
      </c>
      <c r="J434">
        <v>18</v>
      </c>
      <c r="K434" s="15">
        <f t="shared" si="6"/>
        <v>236</v>
      </c>
      <c r="L434" s="16" t="s">
        <v>13</v>
      </c>
      <c r="M434" t="s">
        <v>797</v>
      </c>
    </row>
    <row r="435" spans="1:13" x14ac:dyDescent="0.25">
      <c r="A435" t="s">
        <v>37</v>
      </c>
      <c r="B435" t="s">
        <v>73</v>
      </c>
      <c r="C435" t="s">
        <v>235</v>
      </c>
      <c r="D435">
        <v>88</v>
      </c>
      <c r="E435" t="s">
        <v>622</v>
      </c>
      <c r="F435" t="s">
        <v>459</v>
      </c>
      <c r="G435">
        <v>600</v>
      </c>
      <c r="H435">
        <v>0</v>
      </c>
      <c r="I435">
        <v>54</v>
      </c>
      <c r="J435">
        <v>54</v>
      </c>
      <c r="K435" s="15">
        <f t="shared" si="6"/>
        <v>708</v>
      </c>
      <c r="L435" s="16" t="s">
        <v>13</v>
      </c>
      <c r="M435" t="s">
        <v>797</v>
      </c>
    </row>
    <row r="436" spans="1:13" x14ac:dyDescent="0.25">
      <c r="A436" t="s">
        <v>19</v>
      </c>
      <c r="B436" t="s">
        <v>55</v>
      </c>
      <c r="C436" t="s">
        <v>92</v>
      </c>
      <c r="D436">
        <v>30</v>
      </c>
      <c r="E436" t="s">
        <v>478</v>
      </c>
      <c r="F436" t="s">
        <v>442</v>
      </c>
      <c r="G436">
        <v>2627.12</v>
      </c>
      <c r="H436">
        <v>0</v>
      </c>
      <c r="I436">
        <v>236.44</v>
      </c>
      <c r="J436">
        <v>236.44</v>
      </c>
      <c r="K436" s="15">
        <f t="shared" si="6"/>
        <v>3100</v>
      </c>
      <c r="L436" s="16" t="s">
        <v>13</v>
      </c>
      <c r="M436" t="s">
        <v>797</v>
      </c>
    </row>
    <row r="437" spans="1:13" x14ac:dyDescent="0.25">
      <c r="A437" t="s">
        <v>19</v>
      </c>
      <c r="B437" t="s">
        <v>55</v>
      </c>
      <c r="C437" t="s">
        <v>153</v>
      </c>
      <c r="D437">
        <v>404</v>
      </c>
      <c r="E437" t="s">
        <v>540</v>
      </c>
      <c r="F437" t="s">
        <v>452</v>
      </c>
      <c r="G437">
        <v>1991.53</v>
      </c>
      <c r="H437">
        <v>0</v>
      </c>
      <c r="I437">
        <v>179.24</v>
      </c>
      <c r="J437">
        <v>179.24</v>
      </c>
      <c r="K437" s="15">
        <f t="shared" si="6"/>
        <v>2350.0100000000002</v>
      </c>
      <c r="L437" s="16" t="s">
        <v>13</v>
      </c>
      <c r="M437" t="s">
        <v>797</v>
      </c>
    </row>
    <row r="438" spans="1:13" x14ac:dyDescent="0.25">
      <c r="A438" t="s">
        <v>49</v>
      </c>
      <c r="B438" t="s">
        <v>396</v>
      </c>
      <c r="C438" t="s">
        <v>264</v>
      </c>
      <c r="D438">
        <v>2607000301832</v>
      </c>
      <c r="E438" t="s">
        <v>651</v>
      </c>
      <c r="F438" t="s">
        <v>439</v>
      </c>
      <c r="G438">
        <v>2099</v>
      </c>
      <c r="H438">
        <v>0</v>
      </c>
      <c r="I438">
        <v>188.91</v>
      </c>
      <c r="J438">
        <v>188.91</v>
      </c>
      <c r="K438" s="15">
        <f t="shared" si="6"/>
        <v>2476.8199999999997</v>
      </c>
      <c r="L438" s="16" t="s">
        <v>13</v>
      </c>
      <c r="M438" t="s">
        <v>797</v>
      </c>
    </row>
    <row r="439" spans="1:13" x14ac:dyDescent="0.25">
      <c r="A439" t="s">
        <v>22</v>
      </c>
      <c r="B439" t="s">
        <v>58</v>
      </c>
      <c r="C439" t="s">
        <v>95</v>
      </c>
      <c r="D439">
        <v>3</v>
      </c>
      <c r="E439" t="s">
        <v>481</v>
      </c>
      <c r="F439" t="s">
        <v>442</v>
      </c>
      <c r="G439">
        <v>400</v>
      </c>
      <c r="H439">
        <v>0</v>
      </c>
      <c r="I439">
        <v>36</v>
      </c>
      <c r="J439">
        <v>36</v>
      </c>
      <c r="K439" s="15">
        <f t="shared" si="6"/>
        <v>472</v>
      </c>
      <c r="L439" s="16" t="s">
        <v>13</v>
      </c>
      <c r="M439" t="s">
        <v>797</v>
      </c>
    </row>
    <row r="440" spans="1:13" s="43" customFormat="1" x14ac:dyDescent="0.25">
      <c r="A440" s="43" t="s">
        <v>22</v>
      </c>
      <c r="B440" s="43" t="s">
        <v>58</v>
      </c>
      <c r="C440" s="44" t="s">
        <v>431</v>
      </c>
      <c r="D440" s="44">
        <v>6</v>
      </c>
      <c r="E440" s="43" t="s">
        <v>771</v>
      </c>
      <c r="F440" s="43" t="s">
        <v>442</v>
      </c>
      <c r="G440" s="43">
        <v>700</v>
      </c>
      <c r="H440" s="43">
        <v>0</v>
      </c>
      <c r="I440" s="43">
        <v>63</v>
      </c>
      <c r="J440" s="43">
        <v>63</v>
      </c>
      <c r="K440" s="45">
        <f t="shared" si="6"/>
        <v>826</v>
      </c>
      <c r="L440" s="46" t="s">
        <v>13</v>
      </c>
      <c r="M440" s="43" t="s">
        <v>800</v>
      </c>
    </row>
    <row r="441" spans="1:13" x14ac:dyDescent="0.25">
      <c r="A441" t="s">
        <v>22</v>
      </c>
      <c r="B441" t="s">
        <v>58</v>
      </c>
      <c r="C441" t="s">
        <v>131</v>
      </c>
      <c r="D441">
        <v>67</v>
      </c>
      <c r="E441" t="s">
        <v>518</v>
      </c>
      <c r="F441" t="s">
        <v>444</v>
      </c>
      <c r="G441">
        <v>700</v>
      </c>
      <c r="H441">
        <v>0</v>
      </c>
      <c r="I441">
        <v>63</v>
      </c>
      <c r="J441">
        <v>63</v>
      </c>
      <c r="K441" s="15">
        <f t="shared" si="6"/>
        <v>826</v>
      </c>
      <c r="L441" s="16" t="s">
        <v>13</v>
      </c>
      <c r="M441" t="s">
        <v>797</v>
      </c>
    </row>
    <row r="442" spans="1:13" x14ac:dyDescent="0.25">
      <c r="A442" t="s">
        <v>22</v>
      </c>
      <c r="B442" t="s">
        <v>58</v>
      </c>
      <c r="C442" t="s">
        <v>135</v>
      </c>
      <c r="D442">
        <v>82</v>
      </c>
      <c r="E442" t="s">
        <v>522</v>
      </c>
      <c r="F442" t="s">
        <v>456</v>
      </c>
      <c r="G442">
        <v>600</v>
      </c>
      <c r="H442">
        <v>0</v>
      </c>
      <c r="I442">
        <v>54</v>
      </c>
      <c r="J442">
        <v>54</v>
      </c>
      <c r="K442" s="15">
        <f t="shared" si="6"/>
        <v>708</v>
      </c>
      <c r="L442" s="16" t="s">
        <v>13</v>
      </c>
      <c r="M442" t="s">
        <v>797</v>
      </c>
    </row>
    <row r="443" spans="1:13" s="43" customFormat="1" x14ac:dyDescent="0.25">
      <c r="A443" s="43" t="s">
        <v>22</v>
      </c>
      <c r="B443" s="43" t="s">
        <v>58</v>
      </c>
      <c r="C443" s="44" t="s">
        <v>432</v>
      </c>
      <c r="D443" s="44">
        <v>86</v>
      </c>
      <c r="E443" s="43" t="s">
        <v>772</v>
      </c>
      <c r="F443" s="43" t="s">
        <v>456</v>
      </c>
      <c r="G443" s="43">
        <v>15270</v>
      </c>
      <c r="H443" s="43">
        <v>0</v>
      </c>
      <c r="I443" s="43">
        <v>1374.3</v>
      </c>
      <c r="J443" s="43">
        <v>1374.3</v>
      </c>
      <c r="K443" s="45">
        <f t="shared" si="6"/>
        <v>18018.599999999999</v>
      </c>
      <c r="L443" s="46" t="s">
        <v>13</v>
      </c>
      <c r="M443" s="43" t="s">
        <v>800</v>
      </c>
    </row>
    <row r="444" spans="1:13" x14ac:dyDescent="0.25">
      <c r="A444" t="s">
        <v>22</v>
      </c>
      <c r="B444" t="s">
        <v>58</v>
      </c>
      <c r="C444" t="s">
        <v>155</v>
      </c>
      <c r="D444">
        <v>113</v>
      </c>
      <c r="E444" t="s">
        <v>542</v>
      </c>
      <c r="F444" t="s">
        <v>452</v>
      </c>
      <c r="G444">
        <v>450</v>
      </c>
      <c r="H444">
        <v>0</v>
      </c>
      <c r="I444">
        <v>40.5</v>
      </c>
      <c r="J444">
        <v>40.5</v>
      </c>
      <c r="K444" s="15">
        <f t="shared" si="6"/>
        <v>531</v>
      </c>
      <c r="L444" s="16" t="s">
        <v>13</v>
      </c>
      <c r="M444" t="s">
        <v>797</v>
      </c>
    </row>
    <row r="445" spans="1:13" x14ac:dyDescent="0.25">
      <c r="A445" t="s">
        <v>22</v>
      </c>
      <c r="B445" t="s">
        <v>58</v>
      </c>
      <c r="C445" t="s">
        <v>150</v>
      </c>
      <c r="D445">
        <v>116</v>
      </c>
      <c r="E445" t="s">
        <v>537</v>
      </c>
      <c r="F445" t="s">
        <v>452</v>
      </c>
      <c r="G445">
        <v>400</v>
      </c>
      <c r="H445">
        <v>0</v>
      </c>
      <c r="I445">
        <v>36</v>
      </c>
      <c r="J445">
        <v>36</v>
      </c>
      <c r="K445" s="15">
        <f t="shared" si="6"/>
        <v>472</v>
      </c>
      <c r="L445" s="16" t="s">
        <v>13</v>
      </c>
      <c r="M445" t="s">
        <v>797</v>
      </c>
    </row>
    <row r="446" spans="1:13" x14ac:dyDescent="0.25">
      <c r="A446" t="s">
        <v>22</v>
      </c>
      <c r="B446" t="s">
        <v>58</v>
      </c>
      <c r="C446" t="s">
        <v>149</v>
      </c>
      <c r="D446">
        <v>117</v>
      </c>
      <c r="E446" t="s">
        <v>536</v>
      </c>
      <c r="F446" t="s">
        <v>452</v>
      </c>
      <c r="G446">
        <v>200</v>
      </c>
      <c r="H446">
        <v>0</v>
      </c>
      <c r="I446">
        <v>18</v>
      </c>
      <c r="J446">
        <v>18</v>
      </c>
      <c r="K446" s="15">
        <f t="shared" si="6"/>
        <v>236</v>
      </c>
      <c r="L446" s="16" t="s">
        <v>13</v>
      </c>
      <c r="M446" t="s">
        <v>797</v>
      </c>
    </row>
    <row r="447" spans="1:13" x14ac:dyDescent="0.25">
      <c r="A447" t="s">
        <v>22</v>
      </c>
      <c r="B447" t="s">
        <v>58</v>
      </c>
      <c r="C447" t="s">
        <v>181</v>
      </c>
      <c r="D447">
        <v>138</v>
      </c>
      <c r="E447" t="s">
        <v>568</v>
      </c>
      <c r="F447" t="s">
        <v>453</v>
      </c>
      <c r="G447">
        <v>700</v>
      </c>
      <c r="H447">
        <v>0</v>
      </c>
      <c r="I447">
        <v>63</v>
      </c>
      <c r="J447">
        <v>63</v>
      </c>
      <c r="K447" s="15">
        <f t="shared" si="6"/>
        <v>826</v>
      </c>
      <c r="L447" s="16" t="s">
        <v>13</v>
      </c>
      <c r="M447" t="s">
        <v>797</v>
      </c>
    </row>
    <row r="448" spans="1:13" x14ac:dyDescent="0.25">
      <c r="A448" t="s">
        <v>22</v>
      </c>
      <c r="B448" t="s">
        <v>58</v>
      </c>
      <c r="C448" t="s">
        <v>185</v>
      </c>
      <c r="D448">
        <v>165</v>
      </c>
      <c r="E448" t="s">
        <v>572</v>
      </c>
      <c r="F448" t="s">
        <v>463</v>
      </c>
      <c r="G448">
        <v>400</v>
      </c>
      <c r="H448">
        <v>0</v>
      </c>
      <c r="I448">
        <v>36</v>
      </c>
      <c r="J448">
        <v>36</v>
      </c>
      <c r="K448" s="15">
        <f t="shared" si="6"/>
        <v>472</v>
      </c>
      <c r="L448" s="16" t="s">
        <v>13</v>
      </c>
      <c r="M448" t="s">
        <v>797</v>
      </c>
    </row>
    <row r="449" spans="1:13" x14ac:dyDescent="0.25">
      <c r="A449" t="s">
        <v>22</v>
      </c>
      <c r="B449" t="s">
        <v>58</v>
      </c>
      <c r="C449" t="s">
        <v>198</v>
      </c>
      <c r="D449">
        <v>175</v>
      </c>
      <c r="E449" t="s">
        <v>585</v>
      </c>
      <c r="F449" t="s">
        <v>454</v>
      </c>
      <c r="G449">
        <v>1300</v>
      </c>
      <c r="H449">
        <v>0</v>
      </c>
      <c r="I449">
        <v>117</v>
      </c>
      <c r="J449">
        <v>117</v>
      </c>
      <c r="K449" s="15">
        <f t="shared" si="6"/>
        <v>1534</v>
      </c>
      <c r="L449" s="16" t="s">
        <v>13</v>
      </c>
      <c r="M449" t="s">
        <v>797</v>
      </c>
    </row>
    <row r="450" spans="1:13" x14ac:dyDescent="0.25">
      <c r="A450" t="s">
        <v>22</v>
      </c>
      <c r="B450" t="s">
        <v>58</v>
      </c>
      <c r="C450" t="s">
        <v>205</v>
      </c>
      <c r="D450">
        <v>196</v>
      </c>
      <c r="E450" t="s">
        <v>592</v>
      </c>
      <c r="F450" t="s">
        <v>446</v>
      </c>
      <c r="G450">
        <v>400</v>
      </c>
      <c r="H450">
        <v>0</v>
      </c>
      <c r="I450">
        <v>36</v>
      </c>
      <c r="J450">
        <v>36</v>
      </c>
      <c r="K450" s="15">
        <f t="shared" si="6"/>
        <v>472</v>
      </c>
      <c r="L450" s="16" t="s">
        <v>13</v>
      </c>
      <c r="M450" t="s">
        <v>797</v>
      </c>
    </row>
    <row r="451" spans="1:13" x14ac:dyDescent="0.25">
      <c r="A451" t="s">
        <v>22</v>
      </c>
      <c r="B451" t="s">
        <v>58</v>
      </c>
      <c r="C451" t="s">
        <v>219</v>
      </c>
      <c r="D451">
        <v>207</v>
      </c>
      <c r="E451" t="s">
        <v>606</v>
      </c>
      <c r="F451" t="s">
        <v>455</v>
      </c>
      <c r="G451">
        <v>2500</v>
      </c>
      <c r="H451">
        <v>0</v>
      </c>
      <c r="I451">
        <v>225</v>
      </c>
      <c r="J451">
        <v>225</v>
      </c>
      <c r="K451" s="15">
        <f t="shared" ref="K451:K514" si="7">G451+H451+I451+J451</f>
        <v>2950</v>
      </c>
      <c r="L451" s="16" t="s">
        <v>13</v>
      </c>
      <c r="M451" t="s">
        <v>797</v>
      </c>
    </row>
    <row r="452" spans="1:13" x14ac:dyDescent="0.25">
      <c r="A452" t="s">
        <v>22</v>
      </c>
      <c r="B452" t="s">
        <v>58</v>
      </c>
      <c r="C452" t="s">
        <v>241</v>
      </c>
      <c r="D452">
        <v>250</v>
      </c>
      <c r="E452" t="s">
        <v>628</v>
      </c>
      <c r="F452" t="s">
        <v>459</v>
      </c>
      <c r="G452">
        <v>700</v>
      </c>
      <c r="H452">
        <v>0</v>
      </c>
      <c r="I452">
        <v>63</v>
      </c>
      <c r="J452">
        <v>63</v>
      </c>
      <c r="K452" s="15">
        <f t="shared" si="7"/>
        <v>826</v>
      </c>
      <c r="L452" s="16" t="s">
        <v>13</v>
      </c>
      <c r="M452" t="s">
        <v>797</v>
      </c>
    </row>
    <row r="453" spans="1:13" x14ac:dyDescent="0.25">
      <c r="A453" t="s">
        <v>22</v>
      </c>
      <c r="B453" t="s">
        <v>58</v>
      </c>
      <c r="C453" t="s">
        <v>242</v>
      </c>
      <c r="D453">
        <v>256</v>
      </c>
      <c r="E453" t="s">
        <v>629</v>
      </c>
      <c r="F453" t="s">
        <v>459</v>
      </c>
      <c r="G453">
        <v>600</v>
      </c>
      <c r="H453">
        <v>0</v>
      </c>
      <c r="I453">
        <v>54</v>
      </c>
      <c r="J453">
        <v>54</v>
      </c>
      <c r="K453" s="15">
        <f t="shared" si="7"/>
        <v>708</v>
      </c>
      <c r="L453" s="16" t="s">
        <v>13</v>
      </c>
      <c r="M453" t="s">
        <v>797</v>
      </c>
    </row>
    <row r="454" spans="1:13" x14ac:dyDescent="0.25">
      <c r="A454" t="s">
        <v>22</v>
      </c>
      <c r="B454" t="s">
        <v>58</v>
      </c>
      <c r="C454" t="s">
        <v>253</v>
      </c>
      <c r="D454">
        <v>292</v>
      </c>
      <c r="E454" t="s">
        <v>640</v>
      </c>
      <c r="F454" t="s">
        <v>464</v>
      </c>
      <c r="G454">
        <v>700</v>
      </c>
      <c r="H454">
        <v>0</v>
      </c>
      <c r="I454">
        <v>63</v>
      </c>
      <c r="J454">
        <v>63</v>
      </c>
      <c r="K454" s="15">
        <f t="shared" si="7"/>
        <v>826</v>
      </c>
      <c r="L454" s="16" t="s">
        <v>13</v>
      </c>
      <c r="M454" t="s">
        <v>797</v>
      </c>
    </row>
    <row r="455" spans="1:13" x14ac:dyDescent="0.25">
      <c r="A455" t="s">
        <v>22</v>
      </c>
      <c r="B455" t="s">
        <v>58</v>
      </c>
      <c r="C455" t="s">
        <v>270</v>
      </c>
      <c r="D455">
        <v>297</v>
      </c>
      <c r="E455" t="s">
        <v>657</v>
      </c>
      <c r="F455" t="s">
        <v>441</v>
      </c>
      <c r="G455">
        <v>1300</v>
      </c>
      <c r="H455">
        <v>0</v>
      </c>
      <c r="I455">
        <v>117</v>
      </c>
      <c r="J455">
        <v>117</v>
      </c>
      <c r="K455" s="15">
        <f t="shared" si="7"/>
        <v>1534</v>
      </c>
      <c r="L455" s="16" t="s">
        <v>13</v>
      </c>
      <c r="M455" t="s">
        <v>797</v>
      </c>
    </row>
    <row r="456" spans="1:13" x14ac:dyDescent="0.25">
      <c r="A456" t="s">
        <v>22</v>
      </c>
      <c r="B456" t="s">
        <v>58</v>
      </c>
      <c r="C456" t="s">
        <v>273</v>
      </c>
      <c r="D456">
        <v>327</v>
      </c>
      <c r="E456" t="s">
        <v>660</v>
      </c>
      <c r="F456" t="s">
        <v>465</v>
      </c>
      <c r="G456">
        <v>1400</v>
      </c>
      <c r="H456">
        <v>0</v>
      </c>
      <c r="I456">
        <v>126</v>
      </c>
      <c r="J456">
        <v>126</v>
      </c>
      <c r="K456" s="15">
        <f t="shared" si="7"/>
        <v>1652</v>
      </c>
      <c r="L456" s="16" t="s">
        <v>13</v>
      </c>
      <c r="M456" t="s">
        <v>797</v>
      </c>
    </row>
    <row r="457" spans="1:13" x14ac:dyDescent="0.25">
      <c r="A457" t="s">
        <v>22</v>
      </c>
      <c r="B457" t="s">
        <v>58</v>
      </c>
      <c r="C457" t="s">
        <v>284</v>
      </c>
      <c r="D457">
        <v>334</v>
      </c>
      <c r="E457" t="s">
        <v>671</v>
      </c>
      <c r="F457" t="s">
        <v>460</v>
      </c>
      <c r="G457">
        <v>350</v>
      </c>
      <c r="H457">
        <v>0</v>
      </c>
      <c r="I457">
        <v>31.5</v>
      </c>
      <c r="J457">
        <v>31.5</v>
      </c>
      <c r="K457" s="15">
        <f t="shared" si="7"/>
        <v>413</v>
      </c>
      <c r="L457" s="16" t="s">
        <v>13</v>
      </c>
      <c r="M457" t="s">
        <v>797</v>
      </c>
    </row>
    <row r="458" spans="1:13" x14ac:dyDescent="0.25">
      <c r="A458" t="s">
        <v>22</v>
      </c>
      <c r="B458" t="s">
        <v>58</v>
      </c>
      <c r="C458" t="s">
        <v>282</v>
      </c>
      <c r="D458">
        <v>344</v>
      </c>
      <c r="E458" t="s">
        <v>669</v>
      </c>
      <c r="F458" t="s">
        <v>460</v>
      </c>
      <c r="G458">
        <v>650</v>
      </c>
      <c r="H458">
        <v>0</v>
      </c>
      <c r="I458">
        <v>58.5</v>
      </c>
      <c r="J458">
        <v>58.5</v>
      </c>
      <c r="K458" s="15">
        <f t="shared" si="7"/>
        <v>767</v>
      </c>
      <c r="L458" s="16" t="s">
        <v>13</v>
      </c>
      <c r="M458" t="s">
        <v>797</v>
      </c>
    </row>
    <row r="459" spans="1:13" x14ac:dyDescent="0.25">
      <c r="A459" t="s">
        <v>22</v>
      </c>
      <c r="B459" t="s">
        <v>58</v>
      </c>
      <c r="C459" t="s">
        <v>299</v>
      </c>
      <c r="D459">
        <v>384</v>
      </c>
      <c r="E459" t="s">
        <v>686</v>
      </c>
      <c r="F459" t="s">
        <v>458</v>
      </c>
      <c r="G459">
        <v>2800</v>
      </c>
      <c r="H459">
        <v>0</v>
      </c>
      <c r="I459">
        <v>252</v>
      </c>
      <c r="J459">
        <v>252</v>
      </c>
      <c r="K459" s="15">
        <f t="shared" si="7"/>
        <v>3304</v>
      </c>
      <c r="L459" s="16" t="s">
        <v>13</v>
      </c>
      <c r="M459" t="s">
        <v>797</v>
      </c>
    </row>
    <row r="460" spans="1:13" x14ac:dyDescent="0.25">
      <c r="A460" t="s">
        <v>22</v>
      </c>
      <c r="B460" t="s">
        <v>58</v>
      </c>
      <c r="C460" t="s">
        <v>358</v>
      </c>
      <c r="D460">
        <v>474</v>
      </c>
      <c r="E460" t="s">
        <v>745</v>
      </c>
      <c r="F460" t="s">
        <v>440</v>
      </c>
      <c r="G460">
        <v>2600</v>
      </c>
      <c r="H460">
        <v>0</v>
      </c>
      <c r="I460">
        <v>234</v>
      </c>
      <c r="J460">
        <v>234</v>
      </c>
      <c r="K460" s="15">
        <f t="shared" si="7"/>
        <v>3068</v>
      </c>
      <c r="L460" s="16" t="s">
        <v>13</v>
      </c>
      <c r="M460" t="s">
        <v>797</v>
      </c>
    </row>
    <row r="461" spans="1:13" x14ac:dyDescent="0.25">
      <c r="A461" t="s">
        <v>27</v>
      </c>
      <c r="B461" t="s">
        <v>397</v>
      </c>
      <c r="C461" t="s">
        <v>207</v>
      </c>
      <c r="D461">
        <v>1949</v>
      </c>
      <c r="E461" t="s">
        <v>594</v>
      </c>
      <c r="F461" t="s">
        <v>446</v>
      </c>
      <c r="G461">
        <v>3500</v>
      </c>
      <c r="H461">
        <v>0</v>
      </c>
      <c r="I461">
        <v>315</v>
      </c>
      <c r="J461">
        <v>315</v>
      </c>
      <c r="K461" s="15">
        <f t="shared" si="7"/>
        <v>4130</v>
      </c>
      <c r="L461" s="16" t="s">
        <v>13</v>
      </c>
      <c r="M461" t="s">
        <v>797</v>
      </c>
    </row>
    <row r="462" spans="1:13" x14ac:dyDescent="0.25">
      <c r="A462" t="s">
        <v>27</v>
      </c>
      <c r="B462" t="s">
        <v>397</v>
      </c>
      <c r="C462" t="s">
        <v>225</v>
      </c>
      <c r="D462">
        <v>2353</v>
      </c>
      <c r="E462" t="s">
        <v>612</v>
      </c>
      <c r="F462" t="s">
        <v>461</v>
      </c>
      <c r="G462">
        <v>17827.14</v>
      </c>
      <c r="H462">
        <v>0</v>
      </c>
      <c r="I462">
        <v>1604.44</v>
      </c>
      <c r="J462">
        <v>1604.44</v>
      </c>
      <c r="K462" s="15">
        <f t="shared" si="7"/>
        <v>21036.019999999997</v>
      </c>
      <c r="L462" s="16" t="s">
        <v>13</v>
      </c>
      <c r="M462" t="s">
        <v>797</v>
      </c>
    </row>
    <row r="463" spans="1:13" x14ac:dyDescent="0.25">
      <c r="A463" t="s">
        <v>27</v>
      </c>
      <c r="B463" t="s">
        <v>397</v>
      </c>
      <c r="C463" t="s">
        <v>99</v>
      </c>
      <c r="D463">
        <v>268</v>
      </c>
      <c r="E463" t="s">
        <v>486</v>
      </c>
      <c r="F463" t="s">
        <v>450</v>
      </c>
      <c r="G463">
        <v>805.09</v>
      </c>
      <c r="H463">
        <v>0</v>
      </c>
      <c r="I463">
        <v>72.459999999999994</v>
      </c>
      <c r="J463">
        <v>72.459999999999994</v>
      </c>
      <c r="K463" s="15">
        <f t="shared" si="7"/>
        <v>950.0100000000001</v>
      </c>
      <c r="L463" s="16" t="s">
        <v>13</v>
      </c>
      <c r="M463" t="s">
        <v>797</v>
      </c>
    </row>
    <row r="464" spans="1:13" x14ac:dyDescent="0.25">
      <c r="A464" t="s">
        <v>27</v>
      </c>
      <c r="B464" t="s">
        <v>397</v>
      </c>
      <c r="C464" t="s">
        <v>325</v>
      </c>
      <c r="D464">
        <v>3780</v>
      </c>
      <c r="E464" t="s">
        <v>712</v>
      </c>
      <c r="F464" t="s">
        <v>448</v>
      </c>
      <c r="G464">
        <v>593.22</v>
      </c>
      <c r="H464">
        <v>0</v>
      </c>
      <c r="I464">
        <v>53.39</v>
      </c>
      <c r="J464">
        <v>53.39</v>
      </c>
      <c r="K464" s="15">
        <f t="shared" si="7"/>
        <v>700</v>
      </c>
      <c r="L464" s="16" t="s">
        <v>13</v>
      </c>
      <c r="M464" t="s">
        <v>797</v>
      </c>
    </row>
    <row r="465" spans="1:13" x14ac:dyDescent="0.25">
      <c r="A465" t="s">
        <v>27</v>
      </c>
      <c r="B465" t="s">
        <v>397</v>
      </c>
      <c r="C465" t="s">
        <v>361</v>
      </c>
      <c r="D465">
        <v>4184</v>
      </c>
      <c r="E465" t="s">
        <v>748</v>
      </c>
      <c r="F465" t="s">
        <v>440</v>
      </c>
      <c r="G465">
        <v>4703.3999999999996</v>
      </c>
      <c r="H465">
        <v>0</v>
      </c>
      <c r="I465">
        <v>423.31</v>
      </c>
      <c r="J465">
        <v>423.31</v>
      </c>
      <c r="K465" s="15">
        <f t="shared" si="7"/>
        <v>5550.02</v>
      </c>
      <c r="L465" s="16" t="s">
        <v>13</v>
      </c>
      <c r="M465" t="s">
        <v>797</v>
      </c>
    </row>
    <row r="466" spans="1:13" x14ac:dyDescent="0.25">
      <c r="A466" t="s">
        <v>27</v>
      </c>
      <c r="B466" t="s">
        <v>397</v>
      </c>
      <c r="C466" t="s">
        <v>360</v>
      </c>
      <c r="D466">
        <v>4243</v>
      </c>
      <c r="E466" t="s">
        <v>747</v>
      </c>
      <c r="F466" t="s">
        <v>440</v>
      </c>
      <c r="G466">
        <v>2711.87</v>
      </c>
      <c r="H466">
        <v>0</v>
      </c>
      <c r="I466">
        <v>244.07</v>
      </c>
      <c r="J466">
        <v>244.07</v>
      </c>
      <c r="K466" s="15">
        <f t="shared" si="7"/>
        <v>3200.01</v>
      </c>
      <c r="L466" s="16" t="s">
        <v>13</v>
      </c>
      <c r="M466" t="s">
        <v>797</v>
      </c>
    </row>
    <row r="467" spans="1:13" x14ac:dyDescent="0.25">
      <c r="A467" t="s">
        <v>28</v>
      </c>
      <c r="B467" t="s">
        <v>64</v>
      </c>
      <c r="C467" t="s">
        <v>102</v>
      </c>
      <c r="D467">
        <v>2</v>
      </c>
      <c r="E467" t="s">
        <v>489</v>
      </c>
      <c r="F467" t="s">
        <v>450</v>
      </c>
      <c r="G467">
        <v>1300</v>
      </c>
      <c r="H467">
        <v>0</v>
      </c>
      <c r="I467">
        <v>117</v>
      </c>
      <c r="J467">
        <v>117</v>
      </c>
      <c r="K467" s="15">
        <f t="shared" si="7"/>
        <v>1534</v>
      </c>
      <c r="L467" s="16" t="s">
        <v>13</v>
      </c>
      <c r="M467" t="s">
        <v>797</v>
      </c>
    </row>
    <row r="468" spans="1:13" x14ac:dyDescent="0.25">
      <c r="A468" t="s">
        <v>28</v>
      </c>
      <c r="B468" t="s">
        <v>64</v>
      </c>
      <c r="C468" t="s">
        <v>204</v>
      </c>
      <c r="D468">
        <v>19</v>
      </c>
      <c r="E468" t="s">
        <v>591</v>
      </c>
      <c r="F468" t="s">
        <v>446</v>
      </c>
      <c r="G468">
        <v>2000</v>
      </c>
      <c r="H468">
        <v>0</v>
      </c>
      <c r="I468">
        <v>180</v>
      </c>
      <c r="J468">
        <v>180</v>
      </c>
      <c r="K468" s="15">
        <f t="shared" si="7"/>
        <v>2360</v>
      </c>
      <c r="L468" s="16" t="s">
        <v>13</v>
      </c>
      <c r="M468" t="s">
        <v>797</v>
      </c>
    </row>
    <row r="469" spans="1:13" s="43" customFormat="1" x14ac:dyDescent="0.25">
      <c r="A469" s="43" t="s">
        <v>398</v>
      </c>
      <c r="B469" s="43" t="s">
        <v>399</v>
      </c>
      <c r="C469" s="44" t="s">
        <v>108</v>
      </c>
      <c r="D469" s="44">
        <v>109</v>
      </c>
      <c r="E469" s="43" t="s">
        <v>773</v>
      </c>
      <c r="F469" s="43" t="s">
        <v>443</v>
      </c>
      <c r="G469" s="43">
        <v>11022.8</v>
      </c>
      <c r="H469" s="43">
        <v>0</v>
      </c>
      <c r="I469" s="43">
        <v>953.65</v>
      </c>
      <c r="J469" s="43">
        <v>953.65</v>
      </c>
      <c r="K469" s="45">
        <f t="shared" si="7"/>
        <v>12930.099999999999</v>
      </c>
      <c r="L469" s="46" t="s">
        <v>13</v>
      </c>
      <c r="M469" s="43" t="s">
        <v>800</v>
      </c>
    </row>
    <row r="470" spans="1:13" s="43" customFormat="1" x14ac:dyDescent="0.25">
      <c r="A470" s="43" t="s">
        <v>400</v>
      </c>
      <c r="B470" s="43" t="s">
        <v>401</v>
      </c>
      <c r="C470" s="44" t="s">
        <v>433</v>
      </c>
      <c r="D470" s="44">
        <v>3125101434819</v>
      </c>
      <c r="E470" s="43" t="s">
        <v>774</v>
      </c>
      <c r="F470" s="43" t="s">
        <v>458</v>
      </c>
      <c r="G470" s="43">
        <v>4951</v>
      </c>
      <c r="H470" s="43">
        <v>0</v>
      </c>
      <c r="I470" s="43">
        <v>446</v>
      </c>
      <c r="J470" s="43">
        <v>446</v>
      </c>
      <c r="K470" s="45">
        <f t="shared" si="7"/>
        <v>5843</v>
      </c>
      <c r="L470" s="46" t="s">
        <v>13</v>
      </c>
      <c r="M470" s="43" t="s">
        <v>800</v>
      </c>
    </row>
    <row r="471" spans="1:13" s="43" customFormat="1" x14ac:dyDescent="0.25">
      <c r="A471" s="43" t="s">
        <v>402</v>
      </c>
      <c r="B471" s="43" t="s">
        <v>403</v>
      </c>
      <c r="C471" s="44" t="s">
        <v>434</v>
      </c>
      <c r="D471" s="44">
        <v>11</v>
      </c>
      <c r="E471" s="43" t="s">
        <v>775</v>
      </c>
      <c r="F471" s="43" t="s">
        <v>443</v>
      </c>
      <c r="G471" s="43">
        <v>9500</v>
      </c>
      <c r="H471" s="43">
        <v>0</v>
      </c>
      <c r="I471" s="43">
        <v>855</v>
      </c>
      <c r="J471" s="43">
        <v>855</v>
      </c>
      <c r="K471" s="45">
        <f t="shared" si="7"/>
        <v>11210</v>
      </c>
      <c r="L471" s="46" t="s">
        <v>13</v>
      </c>
      <c r="M471" s="43" t="s">
        <v>800</v>
      </c>
    </row>
    <row r="472" spans="1:13" x14ac:dyDescent="0.25">
      <c r="A472" t="s">
        <v>31</v>
      </c>
      <c r="B472" t="s">
        <v>404</v>
      </c>
      <c r="C472" t="s">
        <v>129</v>
      </c>
      <c r="D472">
        <v>119</v>
      </c>
      <c r="E472" t="s">
        <v>516</v>
      </c>
      <c r="F472" t="s">
        <v>444</v>
      </c>
      <c r="G472">
        <v>11600</v>
      </c>
      <c r="H472">
        <v>0</v>
      </c>
      <c r="I472">
        <v>1044</v>
      </c>
      <c r="J472">
        <v>1044</v>
      </c>
      <c r="K472" s="15">
        <f t="shared" si="7"/>
        <v>13688</v>
      </c>
      <c r="L472" s="16" t="s">
        <v>13</v>
      </c>
      <c r="M472" t="s">
        <v>797</v>
      </c>
    </row>
    <row r="473" spans="1:13" x14ac:dyDescent="0.25">
      <c r="A473" t="s">
        <v>31</v>
      </c>
      <c r="B473" t="s">
        <v>404</v>
      </c>
      <c r="C473" t="s">
        <v>132</v>
      </c>
      <c r="D473">
        <v>124</v>
      </c>
      <c r="E473" t="s">
        <v>519</v>
      </c>
      <c r="F473" t="s">
        <v>444</v>
      </c>
      <c r="G473">
        <v>7000</v>
      </c>
      <c r="H473">
        <v>0</v>
      </c>
      <c r="I473">
        <v>630</v>
      </c>
      <c r="J473">
        <v>630</v>
      </c>
      <c r="K473" s="15">
        <f t="shared" si="7"/>
        <v>8260</v>
      </c>
      <c r="L473" s="16" t="s">
        <v>13</v>
      </c>
      <c r="M473" t="s">
        <v>797</v>
      </c>
    </row>
    <row r="474" spans="1:13" x14ac:dyDescent="0.25">
      <c r="A474" t="s">
        <v>31</v>
      </c>
      <c r="B474" t="s">
        <v>404</v>
      </c>
      <c r="C474" t="s">
        <v>136</v>
      </c>
      <c r="D474">
        <v>128</v>
      </c>
      <c r="E474" t="s">
        <v>523</v>
      </c>
      <c r="F474" t="s">
        <v>456</v>
      </c>
      <c r="G474">
        <v>250</v>
      </c>
      <c r="H474">
        <v>0</v>
      </c>
      <c r="I474">
        <v>22.5</v>
      </c>
      <c r="J474">
        <v>22.5</v>
      </c>
      <c r="K474" s="15">
        <f t="shared" si="7"/>
        <v>295</v>
      </c>
      <c r="L474" s="16" t="s">
        <v>13</v>
      </c>
      <c r="M474" t="s">
        <v>797</v>
      </c>
    </row>
    <row r="475" spans="1:13" x14ac:dyDescent="0.25">
      <c r="A475" t="s">
        <v>31</v>
      </c>
      <c r="B475" t="s">
        <v>404</v>
      </c>
      <c r="C475" t="s">
        <v>139</v>
      </c>
      <c r="D475">
        <v>173</v>
      </c>
      <c r="E475" t="s">
        <v>526</v>
      </c>
      <c r="F475" t="s">
        <v>445</v>
      </c>
      <c r="G475">
        <v>600</v>
      </c>
      <c r="H475">
        <v>0</v>
      </c>
      <c r="I475">
        <v>54</v>
      </c>
      <c r="J475">
        <v>54</v>
      </c>
      <c r="K475" s="15">
        <f t="shared" si="7"/>
        <v>708</v>
      </c>
      <c r="L475" s="16" t="s">
        <v>13</v>
      </c>
      <c r="M475" t="s">
        <v>797</v>
      </c>
    </row>
    <row r="476" spans="1:13" x14ac:dyDescent="0.25">
      <c r="A476" t="s">
        <v>31</v>
      </c>
      <c r="B476" t="s">
        <v>404</v>
      </c>
      <c r="C476" t="s">
        <v>140</v>
      </c>
      <c r="D476">
        <v>179</v>
      </c>
      <c r="E476" t="s">
        <v>527</v>
      </c>
      <c r="F476" t="s">
        <v>445</v>
      </c>
      <c r="G476">
        <v>400</v>
      </c>
      <c r="H476">
        <v>0</v>
      </c>
      <c r="I476">
        <v>36</v>
      </c>
      <c r="J476">
        <v>36</v>
      </c>
      <c r="K476" s="15">
        <f t="shared" si="7"/>
        <v>472</v>
      </c>
      <c r="L476" s="16" t="s">
        <v>13</v>
      </c>
      <c r="M476" t="s">
        <v>797</v>
      </c>
    </row>
    <row r="477" spans="1:13" x14ac:dyDescent="0.25">
      <c r="A477" t="s">
        <v>31</v>
      </c>
      <c r="B477" t="s">
        <v>404</v>
      </c>
      <c r="C477" t="s">
        <v>144</v>
      </c>
      <c r="D477">
        <v>192</v>
      </c>
      <c r="E477" t="s">
        <v>531</v>
      </c>
      <c r="F477" t="s">
        <v>445</v>
      </c>
      <c r="G477">
        <v>1650</v>
      </c>
      <c r="H477">
        <v>0</v>
      </c>
      <c r="I477">
        <v>148.5</v>
      </c>
      <c r="J477">
        <v>148.5</v>
      </c>
      <c r="K477" s="15">
        <f t="shared" si="7"/>
        <v>1947</v>
      </c>
      <c r="L477" s="16" t="s">
        <v>13</v>
      </c>
      <c r="M477" t="s">
        <v>797</v>
      </c>
    </row>
    <row r="478" spans="1:13" x14ac:dyDescent="0.25">
      <c r="A478" t="s">
        <v>31</v>
      </c>
      <c r="B478" t="s">
        <v>404</v>
      </c>
      <c r="C478" t="s">
        <v>156</v>
      </c>
      <c r="D478">
        <v>208</v>
      </c>
      <c r="E478" t="s">
        <v>543</v>
      </c>
      <c r="F478" t="s">
        <v>452</v>
      </c>
      <c r="G478">
        <v>3630</v>
      </c>
      <c r="H478">
        <v>0</v>
      </c>
      <c r="I478">
        <v>326.7</v>
      </c>
      <c r="J478">
        <v>326.7</v>
      </c>
      <c r="K478" s="15">
        <f t="shared" si="7"/>
        <v>4283.3999999999996</v>
      </c>
      <c r="L478" s="16" t="s">
        <v>13</v>
      </c>
      <c r="M478" t="s">
        <v>797</v>
      </c>
    </row>
    <row r="479" spans="1:13" x14ac:dyDescent="0.25">
      <c r="A479" t="s">
        <v>31</v>
      </c>
      <c r="B479" t="s">
        <v>404</v>
      </c>
      <c r="C479" t="s">
        <v>154</v>
      </c>
      <c r="D479">
        <v>224</v>
      </c>
      <c r="E479" t="s">
        <v>541</v>
      </c>
      <c r="F479" t="s">
        <v>452</v>
      </c>
      <c r="G479">
        <v>600</v>
      </c>
      <c r="H479">
        <v>0</v>
      </c>
      <c r="I479">
        <v>54</v>
      </c>
      <c r="J479">
        <v>54</v>
      </c>
      <c r="K479" s="15">
        <f t="shared" si="7"/>
        <v>708</v>
      </c>
      <c r="L479" s="16" t="s">
        <v>13</v>
      </c>
      <c r="M479" t="s">
        <v>797</v>
      </c>
    </row>
    <row r="480" spans="1:13" x14ac:dyDescent="0.25">
      <c r="A480" t="s">
        <v>31</v>
      </c>
      <c r="B480" t="s">
        <v>404</v>
      </c>
      <c r="C480" t="s">
        <v>160</v>
      </c>
      <c r="D480">
        <v>234</v>
      </c>
      <c r="E480" t="s">
        <v>547</v>
      </c>
      <c r="F480" t="s">
        <v>439</v>
      </c>
      <c r="G480">
        <v>850</v>
      </c>
      <c r="H480">
        <v>0</v>
      </c>
      <c r="I480">
        <v>76.5</v>
      </c>
      <c r="J480">
        <v>76.5</v>
      </c>
      <c r="K480" s="15">
        <f t="shared" si="7"/>
        <v>1003</v>
      </c>
      <c r="L480" s="16" t="s">
        <v>13</v>
      </c>
      <c r="M480" t="s">
        <v>797</v>
      </c>
    </row>
    <row r="481" spans="1:13" x14ac:dyDescent="0.25">
      <c r="A481" t="s">
        <v>31</v>
      </c>
      <c r="B481" t="s">
        <v>404</v>
      </c>
      <c r="C481" t="s">
        <v>166</v>
      </c>
      <c r="D481">
        <v>237</v>
      </c>
      <c r="E481" t="s">
        <v>553</v>
      </c>
      <c r="F481" t="s">
        <v>439</v>
      </c>
      <c r="G481">
        <v>1000</v>
      </c>
      <c r="H481">
        <v>0</v>
      </c>
      <c r="I481">
        <v>90</v>
      </c>
      <c r="J481">
        <v>90</v>
      </c>
      <c r="K481" s="15">
        <f t="shared" si="7"/>
        <v>1180</v>
      </c>
      <c r="L481" s="16" t="s">
        <v>13</v>
      </c>
      <c r="M481" t="s">
        <v>797</v>
      </c>
    </row>
    <row r="482" spans="1:13" x14ac:dyDescent="0.25">
      <c r="A482" t="s">
        <v>31</v>
      </c>
      <c r="B482" t="s">
        <v>404</v>
      </c>
      <c r="C482" t="s">
        <v>167</v>
      </c>
      <c r="D482">
        <v>239</v>
      </c>
      <c r="E482" t="s">
        <v>554</v>
      </c>
      <c r="F482" t="s">
        <v>439</v>
      </c>
      <c r="G482">
        <v>6500</v>
      </c>
      <c r="H482">
        <v>0</v>
      </c>
      <c r="I482">
        <v>585</v>
      </c>
      <c r="J482">
        <v>585</v>
      </c>
      <c r="K482" s="15">
        <f t="shared" si="7"/>
        <v>7670</v>
      </c>
      <c r="L482" s="16" t="s">
        <v>13</v>
      </c>
      <c r="M482" t="s">
        <v>797</v>
      </c>
    </row>
    <row r="483" spans="1:13" x14ac:dyDescent="0.25">
      <c r="A483" t="s">
        <v>31</v>
      </c>
      <c r="B483" t="s">
        <v>404</v>
      </c>
      <c r="C483" t="s">
        <v>168</v>
      </c>
      <c r="D483">
        <v>242</v>
      </c>
      <c r="E483" t="s">
        <v>555</v>
      </c>
      <c r="F483" t="s">
        <v>439</v>
      </c>
      <c r="G483">
        <v>10500</v>
      </c>
      <c r="H483">
        <v>0</v>
      </c>
      <c r="I483">
        <v>945</v>
      </c>
      <c r="J483">
        <v>945</v>
      </c>
      <c r="K483" s="15">
        <f t="shared" si="7"/>
        <v>12390</v>
      </c>
      <c r="L483" s="16" t="s">
        <v>13</v>
      </c>
      <c r="M483" t="s">
        <v>797</v>
      </c>
    </row>
    <row r="484" spans="1:13" x14ac:dyDescent="0.25">
      <c r="A484" t="s">
        <v>31</v>
      </c>
      <c r="B484" t="s">
        <v>404</v>
      </c>
      <c r="C484" t="s">
        <v>165</v>
      </c>
      <c r="D484">
        <v>244</v>
      </c>
      <c r="E484" t="s">
        <v>552</v>
      </c>
      <c r="F484" t="s">
        <v>439</v>
      </c>
      <c r="G484">
        <v>3250</v>
      </c>
      <c r="H484">
        <v>0</v>
      </c>
      <c r="I484">
        <v>292.5</v>
      </c>
      <c r="J484">
        <v>292.5</v>
      </c>
      <c r="K484" s="15">
        <f t="shared" si="7"/>
        <v>3835</v>
      </c>
      <c r="L484" s="16" t="s">
        <v>13</v>
      </c>
      <c r="M484" t="s">
        <v>797</v>
      </c>
    </row>
    <row r="485" spans="1:13" x14ac:dyDescent="0.25">
      <c r="A485" t="s">
        <v>31</v>
      </c>
      <c r="B485" t="s">
        <v>404</v>
      </c>
      <c r="C485" t="s">
        <v>162</v>
      </c>
      <c r="D485">
        <v>263</v>
      </c>
      <c r="E485" t="s">
        <v>549</v>
      </c>
      <c r="F485" t="s">
        <v>439</v>
      </c>
      <c r="G485">
        <v>1000</v>
      </c>
      <c r="H485">
        <v>0</v>
      </c>
      <c r="I485">
        <v>90</v>
      </c>
      <c r="J485">
        <v>90</v>
      </c>
      <c r="K485" s="15">
        <f t="shared" si="7"/>
        <v>1180</v>
      </c>
      <c r="L485" s="16" t="s">
        <v>13</v>
      </c>
      <c r="M485" t="s">
        <v>797</v>
      </c>
    </row>
    <row r="486" spans="1:13" x14ac:dyDescent="0.25">
      <c r="A486" t="s">
        <v>31</v>
      </c>
      <c r="B486" t="s">
        <v>404</v>
      </c>
      <c r="C486" t="s">
        <v>180</v>
      </c>
      <c r="D486">
        <v>277</v>
      </c>
      <c r="E486" t="s">
        <v>567</v>
      </c>
      <c r="F486" t="s">
        <v>453</v>
      </c>
      <c r="G486">
        <v>6000</v>
      </c>
      <c r="H486">
        <v>0</v>
      </c>
      <c r="I486">
        <v>540</v>
      </c>
      <c r="J486">
        <v>540</v>
      </c>
      <c r="K486" s="15">
        <f t="shared" si="7"/>
        <v>7080</v>
      </c>
      <c r="L486" s="16" t="s">
        <v>13</v>
      </c>
      <c r="M486" t="s">
        <v>797</v>
      </c>
    </row>
    <row r="487" spans="1:13" x14ac:dyDescent="0.25">
      <c r="A487" t="s">
        <v>31</v>
      </c>
      <c r="B487" t="s">
        <v>404</v>
      </c>
      <c r="C487" t="s">
        <v>186</v>
      </c>
      <c r="D487">
        <v>335</v>
      </c>
      <c r="E487" t="s">
        <v>573</v>
      </c>
      <c r="F487" t="s">
        <v>463</v>
      </c>
      <c r="G487">
        <v>6775</v>
      </c>
      <c r="H487">
        <v>0</v>
      </c>
      <c r="I487">
        <v>609.75</v>
      </c>
      <c r="J487">
        <v>609.75</v>
      </c>
      <c r="K487" s="15">
        <f t="shared" si="7"/>
        <v>7994.5</v>
      </c>
      <c r="L487" s="16" t="s">
        <v>13</v>
      </c>
      <c r="M487" t="s">
        <v>797</v>
      </c>
    </row>
    <row r="488" spans="1:13" x14ac:dyDescent="0.25">
      <c r="A488" t="s">
        <v>31</v>
      </c>
      <c r="B488" t="s">
        <v>404</v>
      </c>
      <c r="C488" t="s">
        <v>187</v>
      </c>
      <c r="D488">
        <v>337</v>
      </c>
      <c r="E488" t="s">
        <v>574</v>
      </c>
      <c r="F488" t="s">
        <v>463</v>
      </c>
      <c r="G488">
        <v>7500</v>
      </c>
      <c r="H488">
        <v>0</v>
      </c>
      <c r="I488">
        <v>675</v>
      </c>
      <c r="J488">
        <v>675</v>
      </c>
      <c r="K488" s="15">
        <f t="shared" si="7"/>
        <v>8850</v>
      </c>
      <c r="L488" s="16" t="s">
        <v>13</v>
      </c>
      <c r="M488" t="s">
        <v>797</v>
      </c>
    </row>
    <row r="489" spans="1:13" x14ac:dyDescent="0.25">
      <c r="A489" t="s">
        <v>31</v>
      </c>
      <c r="B489" t="s">
        <v>404</v>
      </c>
      <c r="C489" t="s">
        <v>199</v>
      </c>
      <c r="D489">
        <v>350</v>
      </c>
      <c r="E489" t="s">
        <v>586</v>
      </c>
      <c r="F489" t="s">
        <v>454</v>
      </c>
      <c r="G489">
        <v>700</v>
      </c>
      <c r="H489">
        <v>0</v>
      </c>
      <c r="I489">
        <v>63</v>
      </c>
      <c r="J489">
        <v>63</v>
      </c>
      <c r="K489" s="15">
        <f t="shared" si="7"/>
        <v>826</v>
      </c>
      <c r="L489" s="16" t="s">
        <v>13</v>
      </c>
      <c r="M489" t="s">
        <v>797</v>
      </c>
    </row>
    <row r="490" spans="1:13" x14ac:dyDescent="0.25">
      <c r="A490" t="s">
        <v>31</v>
      </c>
      <c r="B490" t="s">
        <v>404</v>
      </c>
      <c r="C490" t="s">
        <v>206</v>
      </c>
      <c r="D490">
        <v>388</v>
      </c>
      <c r="E490" t="s">
        <v>593</v>
      </c>
      <c r="F490" t="s">
        <v>446</v>
      </c>
      <c r="G490">
        <v>250</v>
      </c>
      <c r="H490">
        <v>0</v>
      </c>
      <c r="I490">
        <v>22.5</v>
      </c>
      <c r="J490">
        <v>22.5</v>
      </c>
      <c r="K490" s="15">
        <f t="shared" si="7"/>
        <v>295</v>
      </c>
      <c r="L490" s="16" t="s">
        <v>13</v>
      </c>
      <c r="M490" t="s">
        <v>797</v>
      </c>
    </row>
    <row r="491" spans="1:13" x14ac:dyDescent="0.25">
      <c r="A491" t="s">
        <v>31</v>
      </c>
      <c r="B491" t="s">
        <v>404</v>
      </c>
      <c r="C491" t="s">
        <v>202</v>
      </c>
      <c r="D491">
        <v>395</v>
      </c>
      <c r="E491" t="s">
        <v>589</v>
      </c>
      <c r="F491" t="s">
        <v>446</v>
      </c>
      <c r="G491">
        <v>600</v>
      </c>
      <c r="H491">
        <v>0</v>
      </c>
      <c r="I491">
        <v>54</v>
      </c>
      <c r="J491">
        <v>54</v>
      </c>
      <c r="K491" s="15">
        <f t="shared" si="7"/>
        <v>708</v>
      </c>
      <c r="L491" s="16" t="s">
        <v>13</v>
      </c>
      <c r="M491" t="s">
        <v>797</v>
      </c>
    </row>
    <row r="492" spans="1:13" x14ac:dyDescent="0.25">
      <c r="A492" t="s">
        <v>31</v>
      </c>
      <c r="B492" t="s">
        <v>404</v>
      </c>
      <c r="C492" t="s">
        <v>201</v>
      </c>
      <c r="D492">
        <v>402</v>
      </c>
      <c r="E492" t="s">
        <v>588</v>
      </c>
      <c r="F492" t="s">
        <v>446</v>
      </c>
      <c r="G492">
        <v>1150</v>
      </c>
      <c r="H492">
        <v>0</v>
      </c>
      <c r="I492">
        <v>103.5</v>
      </c>
      <c r="J492">
        <v>103.5</v>
      </c>
      <c r="K492" s="15">
        <f t="shared" si="7"/>
        <v>1357</v>
      </c>
      <c r="L492" s="16" t="s">
        <v>13</v>
      </c>
      <c r="M492" t="s">
        <v>797</v>
      </c>
    </row>
    <row r="493" spans="1:13" x14ac:dyDescent="0.25">
      <c r="A493" t="s">
        <v>31</v>
      </c>
      <c r="B493" t="s">
        <v>404</v>
      </c>
      <c r="C493" t="s">
        <v>200</v>
      </c>
      <c r="D493">
        <v>403</v>
      </c>
      <c r="E493" t="s">
        <v>587</v>
      </c>
      <c r="F493" t="s">
        <v>446</v>
      </c>
      <c r="G493">
        <v>2300</v>
      </c>
      <c r="H493">
        <v>0</v>
      </c>
      <c r="I493">
        <v>207</v>
      </c>
      <c r="J493">
        <v>207</v>
      </c>
      <c r="K493" s="15">
        <f t="shared" si="7"/>
        <v>2714</v>
      </c>
      <c r="L493" s="16" t="s">
        <v>13</v>
      </c>
      <c r="M493" t="s">
        <v>797</v>
      </c>
    </row>
    <row r="494" spans="1:13" x14ac:dyDescent="0.25">
      <c r="A494" t="s">
        <v>31</v>
      </c>
      <c r="B494" t="s">
        <v>404</v>
      </c>
      <c r="C494" t="s">
        <v>214</v>
      </c>
      <c r="D494">
        <v>422</v>
      </c>
      <c r="E494" t="s">
        <v>601</v>
      </c>
      <c r="F494" t="s">
        <v>455</v>
      </c>
      <c r="G494">
        <v>975</v>
      </c>
      <c r="H494">
        <v>0</v>
      </c>
      <c r="I494">
        <v>87.75</v>
      </c>
      <c r="J494">
        <v>87.75</v>
      </c>
      <c r="K494" s="15">
        <f t="shared" si="7"/>
        <v>1150.5</v>
      </c>
      <c r="L494" s="16" t="s">
        <v>13</v>
      </c>
      <c r="M494" t="s">
        <v>797</v>
      </c>
    </row>
    <row r="495" spans="1:13" x14ac:dyDescent="0.25">
      <c r="A495" t="s">
        <v>31</v>
      </c>
      <c r="B495" t="s">
        <v>404</v>
      </c>
      <c r="C495" t="s">
        <v>216</v>
      </c>
      <c r="D495">
        <v>425</v>
      </c>
      <c r="E495" t="s">
        <v>603</v>
      </c>
      <c r="F495" t="s">
        <v>455</v>
      </c>
      <c r="G495">
        <v>600</v>
      </c>
      <c r="H495">
        <v>0</v>
      </c>
      <c r="I495">
        <v>54</v>
      </c>
      <c r="J495">
        <v>54</v>
      </c>
      <c r="K495" s="15">
        <f t="shared" si="7"/>
        <v>708</v>
      </c>
      <c r="L495" s="16" t="s">
        <v>13</v>
      </c>
      <c r="M495" t="s">
        <v>797</v>
      </c>
    </row>
    <row r="496" spans="1:13" x14ac:dyDescent="0.25">
      <c r="A496" t="s">
        <v>31</v>
      </c>
      <c r="B496" t="s">
        <v>404</v>
      </c>
      <c r="C496" t="s">
        <v>105</v>
      </c>
      <c r="D496">
        <v>43</v>
      </c>
      <c r="E496" t="s">
        <v>492</v>
      </c>
      <c r="F496" t="s">
        <v>450</v>
      </c>
      <c r="G496">
        <v>13100</v>
      </c>
      <c r="H496">
        <v>0</v>
      </c>
      <c r="I496">
        <v>1179</v>
      </c>
      <c r="J496">
        <v>1179</v>
      </c>
      <c r="K496" s="15">
        <f t="shared" si="7"/>
        <v>15458</v>
      </c>
      <c r="L496" s="16" t="s">
        <v>13</v>
      </c>
      <c r="M496" t="s">
        <v>797</v>
      </c>
    </row>
    <row r="497" spans="1:13" x14ac:dyDescent="0.25">
      <c r="A497" t="s">
        <v>31</v>
      </c>
      <c r="B497" t="s">
        <v>404</v>
      </c>
      <c r="C497" t="s">
        <v>224</v>
      </c>
      <c r="D497">
        <v>445</v>
      </c>
      <c r="E497" t="s">
        <v>611</v>
      </c>
      <c r="F497" t="s">
        <v>461</v>
      </c>
      <c r="G497">
        <v>8830</v>
      </c>
      <c r="H497">
        <v>0</v>
      </c>
      <c r="I497">
        <v>794.7</v>
      </c>
      <c r="J497">
        <v>794.7</v>
      </c>
      <c r="K497" s="15">
        <f t="shared" si="7"/>
        <v>10419.400000000001</v>
      </c>
      <c r="L497" s="16" t="s">
        <v>13</v>
      </c>
      <c r="M497" t="s">
        <v>797</v>
      </c>
    </row>
    <row r="498" spans="1:13" x14ac:dyDescent="0.25">
      <c r="A498" t="s">
        <v>31</v>
      </c>
      <c r="B498" t="s">
        <v>404</v>
      </c>
      <c r="C498" t="s">
        <v>243</v>
      </c>
      <c r="D498">
        <v>465</v>
      </c>
      <c r="E498" t="s">
        <v>630</v>
      </c>
      <c r="F498" t="s">
        <v>459</v>
      </c>
      <c r="G498">
        <v>2825</v>
      </c>
      <c r="H498">
        <v>0</v>
      </c>
      <c r="I498">
        <v>254.25</v>
      </c>
      <c r="J498">
        <v>254.25</v>
      </c>
      <c r="K498" s="15">
        <f t="shared" si="7"/>
        <v>3333.5</v>
      </c>
      <c r="L498" s="16" t="s">
        <v>13</v>
      </c>
      <c r="M498" t="s">
        <v>797</v>
      </c>
    </row>
    <row r="499" spans="1:13" x14ac:dyDescent="0.25">
      <c r="A499" t="s">
        <v>31</v>
      </c>
      <c r="B499" t="s">
        <v>404</v>
      </c>
      <c r="C499" t="s">
        <v>244</v>
      </c>
      <c r="D499">
        <v>475</v>
      </c>
      <c r="E499" t="s">
        <v>631</v>
      </c>
      <c r="F499" t="s">
        <v>459</v>
      </c>
      <c r="G499">
        <v>2250</v>
      </c>
      <c r="H499">
        <v>0</v>
      </c>
      <c r="I499">
        <v>202.5</v>
      </c>
      <c r="J499">
        <v>202.5</v>
      </c>
      <c r="K499" s="15">
        <f t="shared" si="7"/>
        <v>2655</v>
      </c>
      <c r="L499" s="16" t="s">
        <v>13</v>
      </c>
      <c r="M499" t="s">
        <v>797</v>
      </c>
    </row>
    <row r="500" spans="1:13" x14ac:dyDescent="0.25">
      <c r="A500" t="s">
        <v>31</v>
      </c>
      <c r="B500" t="s">
        <v>404</v>
      </c>
      <c r="C500" t="s">
        <v>240</v>
      </c>
      <c r="D500">
        <v>492</v>
      </c>
      <c r="E500" t="s">
        <v>627</v>
      </c>
      <c r="F500" t="s">
        <v>459</v>
      </c>
      <c r="G500">
        <v>1600</v>
      </c>
      <c r="H500">
        <v>0</v>
      </c>
      <c r="I500">
        <v>144</v>
      </c>
      <c r="J500">
        <v>144</v>
      </c>
      <c r="K500" s="15">
        <f t="shared" si="7"/>
        <v>1888</v>
      </c>
      <c r="L500" s="16" t="s">
        <v>13</v>
      </c>
      <c r="M500" t="s">
        <v>797</v>
      </c>
    </row>
    <row r="501" spans="1:13" x14ac:dyDescent="0.25">
      <c r="A501" t="s">
        <v>31</v>
      </c>
      <c r="B501" t="s">
        <v>404</v>
      </c>
      <c r="C501" t="s">
        <v>236</v>
      </c>
      <c r="D501">
        <v>500</v>
      </c>
      <c r="E501" t="s">
        <v>623</v>
      </c>
      <c r="F501" t="s">
        <v>459</v>
      </c>
      <c r="G501">
        <v>400</v>
      </c>
      <c r="H501">
        <v>0</v>
      </c>
      <c r="I501">
        <v>36</v>
      </c>
      <c r="J501">
        <v>36</v>
      </c>
      <c r="K501" s="15">
        <f t="shared" si="7"/>
        <v>472</v>
      </c>
      <c r="L501" s="16" t="s">
        <v>13</v>
      </c>
      <c r="M501" t="s">
        <v>797</v>
      </c>
    </row>
    <row r="502" spans="1:13" x14ac:dyDescent="0.25">
      <c r="A502" t="s">
        <v>31</v>
      </c>
      <c r="B502" t="s">
        <v>404</v>
      </c>
      <c r="C502" t="s">
        <v>258</v>
      </c>
      <c r="D502">
        <v>509</v>
      </c>
      <c r="E502" t="s">
        <v>645</v>
      </c>
      <c r="F502" t="s">
        <v>464</v>
      </c>
      <c r="G502">
        <v>800</v>
      </c>
      <c r="H502">
        <v>0</v>
      </c>
      <c r="I502">
        <v>72</v>
      </c>
      <c r="J502">
        <v>72</v>
      </c>
      <c r="K502" s="15">
        <f t="shared" si="7"/>
        <v>944</v>
      </c>
      <c r="L502" s="16" t="s">
        <v>13</v>
      </c>
      <c r="M502" t="s">
        <v>797</v>
      </c>
    </row>
    <row r="503" spans="1:13" x14ac:dyDescent="0.25">
      <c r="A503" t="s">
        <v>31</v>
      </c>
      <c r="B503" t="s">
        <v>404</v>
      </c>
      <c r="C503" t="s">
        <v>250</v>
      </c>
      <c r="D503">
        <v>511</v>
      </c>
      <c r="E503" t="s">
        <v>637</v>
      </c>
      <c r="F503" t="s">
        <v>464</v>
      </c>
      <c r="G503">
        <v>2775</v>
      </c>
      <c r="H503">
        <v>0</v>
      </c>
      <c r="I503">
        <v>249.75</v>
      </c>
      <c r="J503">
        <v>249.75</v>
      </c>
      <c r="K503" s="15">
        <f t="shared" si="7"/>
        <v>3274.5</v>
      </c>
      <c r="L503" s="16" t="s">
        <v>13</v>
      </c>
      <c r="M503" t="s">
        <v>797</v>
      </c>
    </row>
    <row r="504" spans="1:13" x14ac:dyDescent="0.25">
      <c r="A504" t="s">
        <v>31</v>
      </c>
      <c r="B504" t="s">
        <v>404</v>
      </c>
      <c r="C504" t="s">
        <v>251</v>
      </c>
      <c r="D504">
        <v>521</v>
      </c>
      <c r="E504" t="s">
        <v>638</v>
      </c>
      <c r="F504" t="s">
        <v>464</v>
      </c>
      <c r="G504">
        <v>600</v>
      </c>
      <c r="H504">
        <v>0</v>
      </c>
      <c r="I504">
        <v>54</v>
      </c>
      <c r="J504">
        <v>54</v>
      </c>
      <c r="K504" s="15">
        <f t="shared" si="7"/>
        <v>708</v>
      </c>
      <c r="L504" s="16" t="s">
        <v>13</v>
      </c>
      <c r="M504" t="s">
        <v>797</v>
      </c>
    </row>
    <row r="505" spans="1:13" x14ac:dyDescent="0.25">
      <c r="A505" t="s">
        <v>31</v>
      </c>
      <c r="B505" t="s">
        <v>404</v>
      </c>
      <c r="C505" t="s">
        <v>252</v>
      </c>
      <c r="D505">
        <v>529</v>
      </c>
      <c r="E505" t="s">
        <v>639</v>
      </c>
      <c r="F505" t="s">
        <v>464</v>
      </c>
      <c r="G505">
        <v>230</v>
      </c>
      <c r="H505">
        <v>0</v>
      </c>
      <c r="I505">
        <v>20.7</v>
      </c>
      <c r="J505">
        <v>20.7</v>
      </c>
      <c r="K505" s="15">
        <f t="shared" si="7"/>
        <v>271.39999999999998</v>
      </c>
      <c r="L505" s="16" t="s">
        <v>13</v>
      </c>
      <c r="M505" t="s">
        <v>797</v>
      </c>
    </row>
    <row r="506" spans="1:13" x14ac:dyDescent="0.25">
      <c r="A506" t="s">
        <v>31</v>
      </c>
      <c r="B506" t="s">
        <v>404</v>
      </c>
      <c r="C506" t="s">
        <v>269</v>
      </c>
      <c r="D506">
        <v>547</v>
      </c>
      <c r="E506" t="s">
        <v>656</v>
      </c>
      <c r="F506" t="s">
        <v>441</v>
      </c>
      <c r="G506">
        <v>800</v>
      </c>
      <c r="H506">
        <v>0</v>
      </c>
      <c r="I506">
        <v>72</v>
      </c>
      <c r="J506">
        <v>72</v>
      </c>
      <c r="K506" s="15">
        <f t="shared" si="7"/>
        <v>944</v>
      </c>
      <c r="L506" s="16" t="s">
        <v>13</v>
      </c>
      <c r="M506" t="s">
        <v>797</v>
      </c>
    </row>
    <row r="507" spans="1:13" x14ac:dyDescent="0.25">
      <c r="A507" t="s">
        <v>31</v>
      </c>
      <c r="B507" t="s">
        <v>404</v>
      </c>
      <c r="C507" t="s">
        <v>271</v>
      </c>
      <c r="D507">
        <v>573</v>
      </c>
      <c r="E507" t="s">
        <v>658</v>
      </c>
      <c r="F507" t="s">
        <v>465</v>
      </c>
      <c r="G507">
        <v>700</v>
      </c>
      <c r="H507">
        <v>0</v>
      </c>
      <c r="I507">
        <v>63</v>
      </c>
      <c r="J507">
        <v>63</v>
      </c>
      <c r="K507" s="15">
        <f t="shared" si="7"/>
        <v>826</v>
      </c>
      <c r="L507" s="16" t="s">
        <v>13</v>
      </c>
      <c r="M507" t="s">
        <v>797</v>
      </c>
    </row>
    <row r="508" spans="1:13" x14ac:dyDescent="0.25">
      <c r="A508" t="s">
        <v>31</v>
      </c>
      <c r="B508" t="s">
        <v>404</v>
      </c>
      <c r="C508" t="s">
        <v>272</v>
      </c>
      <c r="D508">
        <v>584</v>
      </c>
      <c r="E508" t="s">
        <v>659</v>
      </c>
      <c r="F508" t="s">
        <v>465</v>
      </c>
      <c r="G508">
        <v>900</v>
      </c>
      <c r="H508">
        <v>0</v>
      </c>
      <c r="I508">
        <v>81</v>
      </c>
      <c r="J508">
        <v>81</v>
      </c>
      <c r="K508" s="15">
        <f t="shared" si="7"/>
        <v>1062</v>
      </c>
      <c r="L508" s="16" t="s">
        <v>13</v>
      </c>
      <c r="M508" t="s">
        <v>797</v>
      </c>
    </row>
    <row r="509" spans="1:13" x14ac:dyDescent="0.25">
      <c r="A509" t="s">
        <v>31</v>
      </c>
      <c r="B509" t="s">
        <v>404</v>
      </c>
      <c r="C509" t="s">
        <v>286</v>
      </c>
      <c r="D509">
        <v>604</v>
      </c>
      <c r="E509" t="s">
        <v>673</v>
      </c>
      <c r="F509" t="s">
        <v>460</v>
      </c>
      <c r="G509">
        <v>600</v>
      </c>
      <c r="H509">
        <v>0</v>
      </c>
      <c r="I509">
        <v>54</v>
      </c>
      <c r="J509">
        <v>54</v>
      </c>
      <c r="K509" s="15">
        <f t="shared" si="7"/>
        <v>708</v>
      </c>
      <c r="L509" s="16" t="s">
        <v>13</v>
      </c>
      <c r="M509" t="s">
        <v>797</v>
      </c>
    </row>
    <row r="510" spans="1:13" x14ac:dyDescent="0.25">
      <c r="A510" t="s">
        <v>31</v>
      </c>
      <c r="B510" t="s">
        <v>404</v>
      </c>
      <c r="C510" t="s">
        <v>276</v>
      </c>
      <c r="D510">
        <v>605</v>
      </c>
      <c r="E510" t="s">
        <v>663</v>
      </c>
      <c r="F510" t="s">
        <v>460</v>
      </c>
      <c r="G510">
        <v>220</v>
      </c>
      <c r="H510">
        <v>0</v>
      </c>
      <c r="I510">
        <v>19.8</v>
      </c>
      <c r="J510">
        <v>19.8</v>
      </c>
      <c r="K510" s="15">
        <f t="shared" si="7"/>
        <v>259.60000000000002</v>
      </c>
      <c r="L510" s="16" t="s">
        <v>13</v>
      </c>
      <c r="M510" t="s">
        <v>797</v>
      </c>
    </row>
    <row r="511" spans="1:13" x14ac:dyDescent="0.25">
      <c r="A511" t="s">
        <v>31</v>
      </c>
      <c r="B511" t="s">
        <v>404</v>
      </c>
      <c r="C511" t="s">
        <v>278</v>
      </c>
      <c r="D511">
        <v>614</v>
      </c>
      <c r="E511" t="s">
        <v>665</v>
      </c>
      <c r="F511" t="s">
        <v>460</v>
      </c>
      <c r="G511">
        <v>220</v>
      </c>
      <c r="H511">
        <v>0</v>
      </c>
      <c r="I511">
        <v>19.8</v>
      </c>
      <c r="J511">
        <v>19.8</v>
      </c>
      <c r="K511" s="15">
        <f t="shared" si="7"/>
        <v>259.60000000000002</v>
      </c>
      <c r="L511" s="16" t="s">
        <v>13</v>
      </c>
      <c r="M511" t="s">
        <v>797</v>
      </c>
    </row>
    <row r="512" spans="1:13" x14ac:dyDescent="0.25">
      <c r="A512" t="s">
        <v>31</v>
      </c>
      <c r="B512" t="s">
        <v>404</v>
      </c>
      <c r="C512" t="s">
        <v>291</v>
      </c>
      <c r="D512">
        <v>636</v>
      </c>
      <c r="E512" t="s">
        <v>678</v>
      </c>
      <c r="F512" t="s">
        <v>451</v>
      </c>
      <c r="G512">
        <v>650</v>
      </c>
      <c r="H512">
        <v>0</v>
      </c>
      <c r="I512">
        <v>58.5</v>
      </c>
      <c r="J512">
        <v>58.5</v>
      </c>
      <c r="K512" s="15">
        <f t="shared" si="7"/>
        <v>767</v>
      </c>
      <c r="L512" s="16" t="s">
        <v>13</v>
      </c>
      <c r="M512" t="s">
        <v>797</v>
      </c>
    </row>
    <row r="513" spans="1:13" x14ac:dyDescent="0.25">
      <c r="A513" t="s">
        <v>31</v>
      </c>
      <c r="B513" t="s">
        <v>404</v>
      </c>
      <c r="C513" t="s">
        <v>302</v>
      </c>
      <c r="D513">
        <v>665</v>
      </c>
      <c r="E513" t="s">
        <v>689</v>
      </c>
      <c r="F513" t="s">
        <v>458</v>
      </c>
      <c r="G513">
        <v>1800</v>
      </c>
      <c r="H513">
        <v>0</v>
      </c>
      <c r="I513">
        <v>162</v>
      </c>
      <c r="J513">
        <v>162</v>
      </c>
      <c r="K513" s="15">
        <f t="shared" si="7"/>
        <v>2124</v>
      </c>
      <c r="L513" s="16" t="s">
        <v>13</v>
      </c>
      <c r="M513" t="s">
        <v>797</v>
      </c>
    </row>
    <row r="514" spans="1:13" x14ac:dyDescent="0.25">
      <c r="A514" t="s">
        <v>31</v>
      </c>
      <c r="B514" t="s">
        <v>404</v>
      </c>
      <c r="C514" t="s">
        <v>318</v>
      </c>
      <c r="D514">
        <v>737</v>
      </c>
      <c r="E514" t="s">
        <v>705</v>
      </c>
      <c r="F514" t="s">
        <v>448</v>
      </c>
      <c r="G514">
        <v>1300</v>
      </c>
      <c r="H514">
        <v>0</v>
      </c>
      <c r="I514">
        <v>117</v>
      </c>
      <c r="J514">
        <v>117</v>
      </c>
      <c r="K514" s="15">
        <f t="shared" si="7"/>
        <v>1534</v>
      </c>
      <c r="L514" s="16" t="s">
        <v>13</v>
      </c>
      <c r="M514" t="s">
        <v>797</v>
      </c>
    </row>
    <row r="515" spans="1:13" x14ac:dyDescent="0.25">
      <c r="A515" t="s">
        <v>31</v>
      </c>
      <c r="B515" t="s">
        <v>404</v>
      </c>
      <c r="C515" t="s">
        <v>329</v>
      </c>
      <c r="D515">
        <v>761</v>
      </c>
      <c r="E515" t="s">
        <v>716</v>
      </c>
      <c r="F515" t="s">
        <v>457</v>
      </c>
      <c r="G515">
        <v>600</v>
      </c>
      <c r="H515">
        <v>0</v>
      </c>
      <c r="I515">
        <v>54</v>
      </c>
      <c r="J515">
        <v>54</v>
      </c>
      <c r="K515" s="15">
        <f t="shared" ref="K515:K559" si="8">G515+H515+I515+J515</f>
        <v>708</v>
      </c>
      <c r="L515" s="16" t="s">
        <v>13</v>
      </c>
      <c r="M515" t="s">
        <v>797</v>
      </c>
    </row>
    <row r="516" spans="1:13" x14ac:dyDescent="0.25">
      <c r="A516" t="s">
        <v>31</v>
      </c>
      <c r="B516" t="s">
        <v>404</v>
      </c>
      <c r="C516" t="s">
        <v>114</v>
      </c>
      <c r="D516">
        <v>77</v>
      </c>
      <c r="E516" t="s">
        <v>501</v>
      </c>
      <c r="F516" t="s">
        <v>443</v>
      </c>
      <c r="G516">
        <v>850</v>
      </c>
      <c r="H516">
        <v>0</v>
      </c>
      <c r="I516">
        <v>76.5</v>
      </c>
      <c r="J516">
        <v>76.5</v>
      </c>
      <c r="K516" s="15">
        <f t="shared" si="8"/>
        <v>1003</v>
      </c>
      <c r="L516" s="16" t="s">
        <v>13</v>
      </c>
      <c r="M516" t="s">
        <v>797</v>
      </c>
    </row>
    <row r="517" spans="1:13" x14ac:dyDescent="0.25">
      <c r="A517" t="s">
        <v>31</v>
      </c>
      <c r="B517" t="s">
        <v>404</v>
      </c>
      <c r="C517" t="s">
        <v>117</v>
      </c>
      <c r="D517">
        <v>78</v>
      </c>
      <c r="E517" t="s">
        <v>504</v>
      </c>
      <c r="F517" t="s">
        <v>443</v>
      </c>
      <c r="G517">
        <v>7500</v>
      </c>
      <c r="H517">
        <v>0</v>
      </c>
      <c r="I517">
        <v>675</v>
      </c>
      <c r="J517">
        <v>675</v>
      </c>
      <c r="K517" s="15">
        <f t="shared" si="8"/>
        <v>8850</v>
      </c>
      <c r="L517" s="16" t="s">
        <v>13</v>
      </c>
      <c r="M517" t="s">
        <v>797</v>
      </c>
    </row>
    <row r="518" spans="1:13" x14ac:dyDescent="0.25">
      <c r="A518" t="s">
        <v>31</v>
      </c>
      <c r="B518" t="s">
        <v>404</v>
      </c>
      <c r="C518" t="s">
        <v>342</v>
      </c>
      <c r="D518">
        <v>809</v>
      </c>
      <c r="E518" t="s">
        <v>729</v>
      </c>
      <c r="F518" t="s">
        <v>449</v>
      </c>
      <c r="G518">
        <v>600</v>
      </c>
      <c r="H518">
        <v>0</v>
      </c>
      <c r="I518">
        <v>54</v>
      </c>
      <c r="J518">
        <v>54</v>
      </c>
      <c r="K518" s="15">
        <f t="shared" si="8"/>
        <v>708</v>
      </c>
      <c r="L518" s="16" t="s">
        <v>13</v>
      </c>
      <c r="M518" t="s">
        <v>797</v>
      </c>
    </row>
    <row r="519" spans="1:13" x14ac:dyDescent="0.25">
      <c r="A519" t="s">
        <v>31</v>
      </c>
      <c r="B519" t="s">
        <v>404</v>
      </c>
      <c r="C519" t="s">
        <v>123</v>
      </c>
      <c r="D519">
        <v>82</v>
      </c>
      <c r="E519" t="s">
        <v>510</v>
      </c>
      <c r="F519" t="s">
        <v>444</v>
      </c>
      <c r="G519">
        <v>970</v>
      </c>
      <c r="H519">
        <v>0</v>
      </c>
      <c r="I519">
        <v>87.3</v>
      </c>
      <c r="J519">
        <v>87.3</v>
      </c>
      <c r="K519" s="15">
        <f t="shared" si="8"/>
        <v>1144.5999999999999</v>
      </c>
      <c r="L519" s="16" t="s">
        <v>13</v>
      </c>
      <c r="M519" t="s">
        <v>797</v>
      </c>
    </row>
    <row r="520" spans="1:13" x14ac:dyDescent="0.25">
      <c r="A520" t="s">
        <v>31</v>
      </c>
      <c r="B520" t="s">
        <v>404</v>
      </c>
      <c r="C520" t="s">
        <v>365</v>
      </c>
      <c r="D520">
        <v>850</v>
      </c>
      <c r="E520" t="s">
        <v>752</v>
      </c>
      <c r="F520" t="s">
        <v>440</v>
      </c>
      <c r="G520">
        <v>220</v>
      </c>
      <c r="H520">
        <v>0</v>
      </c>
      <c r="I520">
        <v>19.8</v>
      </c>
      <c r="J520">
        <v>19.8</v>
      </c>
      <c r="K520" s="15">
        <f t="shared" si="8"/>
        <v>259.60000000000002</v>
      </c>
      <c r="L520" s="16" t="s">
        <v>13</v>
      </c>
      <c r="M520" t="s">
        <v>797</v>
      </c>
    </row>
    <row r="521" spans="1:13" s="43" customFormat="1" x14ac:dyDescent="0.25">
      <c r="A521" s="43" t="s">
        <v>405</v>
      </c>
      <c r="B521" s="43" t="s">
        <v>406</v>
      </c>
      <c r="C521" s="44" t="s">
        <v>435</v>
      </c>
      <c r="D521" s="44">
        <v>11</v>
      </c>
      <c r="E521" s="43" t="s">
        <v>776</v>
      </c>
      <c r="F521" s="43" t="s">
        <v>442</v>
      </c>
      <c r="G521" s="43">
        <v>24000</v>
      </c>
      <c r="H521" s="43">
        <v>0</v>
      </c>
      <c r="I521" s="43">
        <v>2160</v>
      </c>
      <c r="J521" s="43">
        <v>2160</v>
      </c>
      <c r="K521" s="45">
        <f t="shared" si="8"/>
        <v>28320</v>
      </c>
      <c r="L521" s="46" t="s">
        <v>13</v>
      </c>
      <c r="M521" s="43" t="s">
        <v>800</v>
      </c>
    </row>
    <row r="522" spans="1:13" x14ac:dyDescent="0.25">
      <c r="A522" t="s">
        <v>18</v>
      </c>
      <c r="B522" t="s">
        <v>54</v>
      </c>
      <c r="C522" t="s">
        <v>341</v>
      </c>
      <c r="D522">
        <v>1173</v>
      </c>
      <c r="E522" t="s">
        <v>728</v>
      </c>
      <c r="F522" t="s">
        <v>449</v>
      </c>
      <c r="G522">
        <v>1100</v>
      </c>
      <c r="H522">
        <v>0</v>
      </c>
      <c r="I522">
        <v>99</v>
      </c>
      <c r="J522">
        <v>99</v>
      </c>
      <c r="K522" s="15">
        <f t="shared" si="8"/>
        <v>1298</v>
      </c>
      <c r="L522" s="16" t="s">
        <v>13</v>
      </c>
      <c r="M522" t="s">
        <v>797</v>
      </c>
    </row>
    <row r="523" spans="1:13" x14ac:dyDescent="0.25">
      <c r="A523" t="s">
        <v>18</v>
      </c>
      <c r="B523" t="s">
        <v>54</v>
      </c>
      <c r="C523" t="s">
        <v>359</v>
      </c>
      <c r="D523">
        <v>1195</v>
      </c>
      <c r="E523" t="s">
        <v>746</v>
      </c>
      <c r="F523" t="s">
        <v>440</v>
      </c>
      <c r="G523">
        <v>1320</v>
      </c>
      <c r="H523">
        <v>0</v>
      </c>
      <c r="I523">
        <v>118.8</v>
      </c>
      <c r="J523">
        <v>118.8</v>
      </c>
      <c r="K523" s="15">
        <f t="shared" si="8"/>
        <v>1557.6</v>
      </c>
      <c r="L523" s="16" t="s">
        <v>13</v>
      </c>
      <c r="M523" t="s">
        <v>797</v>
      </c>
    </row>
    <row r="524" spans="1:13" x14ac:dyDescent="0.25">
      <c r="A524" t="s">
        <v>18</v>
      </c>
      <c r="B524" t="s">
        <v>54</v>
      </c>
      <c r="C524" t="s">
        <v>151</v>
      </c>
      <c r="D524">
        <v>348</v>
      </c>
      <c r="E524" t="s">
        <v>538</v>
      </c>
      <c r="F524" t="s">
        <v>452</v>
      </c>
      <c r="G524">
        <v>1300</v>
      </c>
      <c r="H524">
        <v>0</v>
      </c>
      <c r="I524">
        <v>117</v>
      </c>
      <c r="J524">
        <v>117</v>
      </c>
      <c r="K524" s="15">
        <f t="shared" si="8"/>
        <v>1534</v>
      </c>
      <c r="L524" s="16" t="s">
        <v>13</v>
      </c>
      <c r="M524" t="s">
        <v>797</v>
      </c>
    </row>
    <row r="525" spans="1:13" x14ac:dyDescent="0.25">
      <c r="A525" t="s">
        <v>18</v>
      </c>
      <c r="B525" t="s">
        <v>54</v>
      </c>
      <c r="C525" t="s">
        <v>91</v>
      </c>
      <c r="D525">
        <v>35</v>
      </c>
      <c r="E525" t="s">
        <v>477</v>
      </c>
      <c r="F525" t="s">
        <v>442</v>
      </c>
      <c r="G525">
        <v>1100</v>
      </c>
      <c r="H525">
        <v>0</v>
      </c>
      <c r="I525">
        <v>99</v>
      </c>
      <c r="J525">
        <v>99</v>
      </c>
      <c r="K525" s="15">
        <f t="shared" si="8"/>
        <v>1298</v>
      </c>
      <c r="L525" s="16" t="s">
        <v>13</v>
      </c>
      <c r="M525" t="s">
        <v>797</v>
      </c>
    </row>
    <row r="526" spans="1:13" x14ac:dyDescent="0.25">
      <c r="A526" t="s">
        <v>18</v>
      </c>
      <c r="B526" t="s">
        <v>54</v>
      </c>
      <c r="C526" t="s">
        <v>190</v>
      </c>
      <c r="D526">
        <v>485</v>
      </c>
      <c r="E526" t="s">
        <v>577</v>
      </c>
      <c r="F526" t="s">
        <v>463</v>
      </c>
      <c r="G526">
        <v>1600</v>
      </c>
      <c r="H526">
        <v>0</v>
      </c>
      <c r="I526">
        <v>144</v>
      </c>
      <c r="J526">
        <v>144</v>
      </c>
      <c r="K526" s="15">
        <f t="shared" si="8"/>
        <v>1888</v>
      </c>
      <c r="L526" s="16" t="s">
        <v>13</v>
      </c>
      <c r="M526" t="s">
        <v>797</v>
      </c>
    </row>
    <row r="527" spans="1:13" x14ac:dyDescent="0.25">
      <c r="A527" t="s">
        <v>18</v>
      </c>
      <c r="B527" t="s">
        <v>54</v>
      </c>
      <c r="C527" t="s">
        <v>197</v>
      </c>
      <c r="D527">
        <v>536</v>
      </c>
      <c r="E527" t="s">
        <v>584</v>
      </c>
      <c r="F527" t="s">
        <v>454</v>
      </c>
      <c r="G527">
        <v>1600</v>
      </c>
      <c r="H527">
        <v>0</v>
      </c>
      <c r="I527">
        <v>144</v>
      </c>
      <c r="J527">
        <v>144</v>
      </c>
      <c r="K527" s="15">
        <f t="shared" si="8"/>
        <v>1888</v>
      </c>
      <c r="L527" s="16" t="s">
        <v>13</v>
      </c>
      <c r="M527" t="s">
        <v>797</v>
      </c>
    </row>
    <row r="528" spans="1:13" x14ac:dyDescent="0.25">
      <c r="A528" t="s">
        <v>18</v>
      </c>
      <c r="B528" t="s">
        <v>54</v>
      </c>
      <c r="C528" t="s">
        <v>217</v>
      </c>
      <c r="D528">
        <v>607</v>
      </c>
      <c r="E528" t="s">
        <v>604</v>
      </c>
      <c r="F528" t="s">
        <v>455</v>
      </c>
      <c r="G528">
        <v>1750</v>
      </c>
      <c r="H528">
        <v>0</v>
      </c>
      <c r="I528">
        <v>157.5</v>
      </c>
      <c r="J528">
        <v>157.5</v>
      </c>
      <c r="K528" s="15">
        <f t="shared" si="8"/>
        <v>2065</v>
      </c>
      <c r="L528" s="16" t="s">
        <v>13</v>
      </c>
      <c r="M528" t="s">
        <v>797</v>
      </c>
    </row>
    <row r="529" spans="1:13" x14ac:dyDescent="0.25">
      <c r="A529" t="s">
        <v>18</v>
      </c>
      <c r="B529" t="s">
        <v>54</v>
      </c>
      <c r="C529" t="s">
        <v>229</v>
      </c>
      <c r="D529">
        <v>656</v>
      </c>
      <c r="E529" t="s">
        <v>616</v>
      </c>
      <c r="F529" t="s">
        <v>461</v>
      </c>
      <c r="G529">
        <v>2000</v>
      </c>
      <c r="H529">
        <v>0</v>
      </c>
      <c r="I529">
        <v>180</v>
      </c>
      <c r="J529">
        <v>180</v>
      </c>
      <c r="K529" s="15">
        <f t="shared" si="8"/>
        <v>2360</v>
      </c>
      <c r="L529" s="16" t="s">
        <v>13</v>
      </c>
      <c r="M529" t="s">
        <v>797</v>
      </c>
    </row>
    <row r="530" spans="1:13" x14ac:dyDescent="0.25">
      <c r="A530" t="s">
        <v>18</v>
      </c>
      <c r="B530" t="s">
        <v>54</v>
      </c>
      <c r="C530" t="s">
        <v>245</v>
      </c>
      <c r="D530">
        <v>685</v>
      </c>
      <c r="E530" t="s">
        <v>632</v>
      </c>
      <c r="F530" t="s">
        <v>459</v>
      </c>
      <c r="G530">
        <v>1100</v>
      </c>
      <c r="H530">
        <v>0</v>
      </c>
      <c r="I530">
        <v>99</v>
      </c>
      <c r="J530">
        <v>99</v>
      </c>
      <c r="K530" s="15">
        <f t="shared" si="8"/>
        <v>1298</v>
      </c>
      <c r="L530" s="16" t="s">
        <v>13</v>
      </c>
      <c r="M530" t="s">
        <v>797</v>
      </c>
    </row>
    <row r="531" spans="1:13" x14ac:dyDescent="0.25">
      <c r="A531" t="s">
        <v>18</v>
      </c>
      <c r="B531" t="s">
        <v>54</v>
      </c>
      <c r="C531" t="s">
        <v>292</v>
      </c>
      <c r="D531">
        <v>936</v>
      </c>
      <c r="E531" t="s">
        <v>679</v>
      </c>
      <c r="F531" t="s">
        <v>451</v>
      </c>
      <c r="G531">
        <v>1100</v>
      </c>
      <c r="H531">
        <v>0</v>
      </c>
      <c r="I531">
        <v>99</v>
      </c>
      <c r="J531">
        <v>99</v>
      </c>
      <c r="K531" s="15">
        <f t="shared" si="8"/>
        <v>1298</v>
      </c>
      <c r="L531" s="16" t="s">
        <v>13</v>
      </c>
      <c r="M531" t="s">
        <v>797</v>
      </c>
    </row>
    <row r="532" spans="1:13" s="50" customFormat="1" x14ac:dyDescent="0.25">
      <c r="A532" s="50" t="s">
        <v>407</v>
      </c>
      <c r="B532" s="50" t="s">
        <v>408</v>
      </c>
      <c r="C532" s="51" t="s">
        <v>170</v>
      </c>
      <c r="D532" s="51">
        <v>12</v>
      </c>
      <c r="E532" s="50" t="s">
        <v>777</v>
      </c>
      <c r="F532" s="50" t="s">
        <v>453</v>
      </c>
      <c r="G532" s="50">
        <v>5593.22</v>
      </c>
      <c r="H532" s="50">
        <v>0</v>
      </c>
      <c r="I532" s="50">
        <v>503.39</v>
      </c>
      <c r="J532" s="50">
        <v>503.39</v>
      </c>
      <c r="K532" s="47">
        <f t="shared" si="8"/>
        <v>6600.0000000000009</v>
      </c>
      <c r="L532" s="45" t="s">
        <v>13</v>
      </c>
      <c r="M532" s="50" t="s">
        <v>800</v>
      </c>
    </row>
    <row r="533" spans="1:13" s="43" customFormat="1" x14ac:dyDescent="0.25">
      <c r="A533" s="43" t="s">
        <v>407</v>
      </c>
      <c r="B533" s="43" t="s">
        <v>408</v>
      </c>
      <c r="C533" s="44" t="s">
        <v>210</v>
      </c>
      <c r="D533" s="44">
        <v>21</v>
      </c>
      <c r="E533" s="43" t="s">
        <v>778</v>
      </c>
      <c r="F533" s="43" t="s">
        <v>446</v>
      </c>
      <c r="G533" s="43">
        <v>4661.0200000000004</v>
      </c>
      <c r="H533" s="43">
        <v>0</v>
      </c>
      <c r="I533" s="43">
        <v>419.49</v>
      </c>
      <c r="J533" s="43">
        <v>419.49</v>
      </c>
      <c r="K533" s="45">
        <f t="shared" si="8"/>
        <v>5500</v>
      </c>
      <c r="L533" s="46" t="s">
        <v>13</v>
      </c>
      <c r="M533" s="43" t="s">
        <v>800</v>
      </c>
    </row>
    <row r="534" spans="1:13" s="43" customFormat="1" x14ac:dyDescent="0.25">
      <c r="A534" s="43" t="s">
        <v>407</v>
      </c>
      <c r="B534" s="43" t="s">
        <v>408</v>
      </c>
      <c r="C534" s="44" t="s">
        <v>227</v>
      </c>
      <c r="D534" s="44">
        <v>26</v>
      </c>
      <c r="E534" s="43" t="s">
        <v>779</v>
      </c>
      <c r="F534" s="43" t="s">
        <v>461</v>
      </c>
      <c r="G534" s="43">
        <v>13050.85</v>
      </c>
      <c r="H534" s="43">
        <v>0</v>
      </c>
      <c r="I534" s="43">
        <v>1174.58</v>
      </c>
      <c r="J534" s="43">
        <v>1174.58</v>
      </c>
      <c r="K534" s="45">
        <f t="shared" si="8"/>
        <v>15400.01</v>
      </c>
      <c r="L534" s="46" t="s">
        <v>13</v>
      </c>
      <c r="M534" s="43" t="s">
        <v>800</v>
      </c>
    </row>
    <row r="535" spans="1:13" s="43" customFormat="1" x14ac:dyDescent="0.25">
      <c r="A535" s="43" t="s">
        <v>407</v>
      </c>
      <c r="B535" s="43" t="s">
        <v>408</v>
      </c>
      <c r="C535" s="44" t="s">
        <v>226</v>
      </c>
      <c r="D535" s="44">
        <v>27</v>
      </c>
      <c r="E535" s="43" t="s">
        <v>780</v>
      </c>
      <c r="F535" s="43" t="s">
        <v>461</v>
      </c>
      <c r="G535" s="43">
        <v>1398.31</v>
      </c>
      <c r="H535" s="43">
        <v>0</v>
      </c>
      <c r="I535" s="43">
        <v>125.85</v>
      </c>
      <c r="J535" s="43">
        <v>125.85</v>
      </c>
      <c r="K535" s="45">
        <f t="shared" si="8"/>
        <v>1650.0099999999998</v>
      </c>
      <c r="L535" s="46" t="s">
        <v>13</v>
      </c>
      <c r="M535" s="43" t="s">
        <v>800</v>
      </c>
    </row>
    <row r="536" spans="1:13" s="43" customFormat="1" x14ac:dyDescent="0.25">
      <c r="A536" s="43" t="s">
        <v>407</v>
      </c>
      <c r="B536" s="43" t="s">
        <v>408</v>
      </c>
      <c r="C536" s="44" t="s">
        <v>246</v>
      </c>
      <c r="D536" s="44">
        <v>29</v>
      </c>
      <c r="E536" s="43" t="s">
        <v>781</v>
      </c>
      <c r="F536" s="43" t="s">
        <v>459</v>
      </c>
      <c r="G536" s="43">
        <v>3169.48</v>
      </c>
      <c r="H536" s="43">
        <v>0</v>
      </c>
      <c r="I536" s="43">
        <v>285.25</v>
      </c>
      <c r="J536" s="43">
        <v>285.25</v>
      </c>
      <c r="K536" s="45">
        <f t="shared" si="8"/>
        <v>3739.98</v>
      </c>
      <c r="L536" s="46" t="s">
        <v>13</v>
      </c>
      <c r="M536" s="43" t="s">
        <v>800</v>
      </c>
    </row>
    <row r="537" spans="1:13" s="43" customFormat="1" x14ac:dyDescent="0.25">
      <c r="A537" s="43" t="s">
        <v>407</v>
      </c>
      <c r="B537" s="43" t="s">
        <v>408</v>
      </c>
      <c r="C537" s="44" t="s">
        <v>256</v>
      </c>
      <c r="D537" s="44">
        <v>30</v>
      </c>
      <c r="E537" s="43" t="s">
        <v>782</v>
      </c>
      <c r="F537" s="43" t="s">
        <v>464</v>
      </c>
      <c r="G537" s="43">
        <v>2796.61</v>
      </c>
      <c r="H537" s="43">
        <v>0</v>
      </c>
      <c r="I537" s="43">
        <v>251.69</v>
      </c>
      <c r="J537" s="43">
        <v>251.69</v>
      </c>
      <c r="K537" s="45">
        <f t="shared" si="8"/>
        <v>3299.9900000000002</v>
      </c>
      <c r="L537" s="46" t="s">
        <v>13</v>
      </c>
      <c r="M537" s="43" t="s">
        <v>800</v>
      </c>
    </row>
    <row r="538" spans="1:13" s="43" customFormat="1" x14ac:dyDescent="0.25">
      <c r="A538" s="43" t="s">
        <v>407</v>
      </c>
      <c r="B538" s="43" t="s">
        <v>408</v>
      </c>
      <c r="C538" s="44" t="s">
        <v>259</v>
      </c>
      <c r="D538" s="44">
        <v>33</v>
      </c>
      <c r="E538" s="43" t="s">
        <v>783</v>
      </c>
      <c r="F538" s="43" t="s">
        <v>464</v>
      </c>
      <c r="G538" s="43">
        <v>4940.68</v>
      </c>
      <c r="H538" s="43">
        <v>0</v>
      </c>
      <c r="I538" s="43">
        <v>444.66</v>
      </c>
      <c r="J538" s="43">
        <v>444.66</v>
      </c>
      <c r="K538" s="45">
        <f t="shared" si="8"/>
        <v>5830</v>
      </c>
      <c r="L538" s="46" t="s">
        <v>13</v>
      </c>
      <c r="M538" s="43" t="s">
        <v>800</v>
      </c>
    </row>
    <row r="539" spans="1:13" s="43" customFormat="1" x14ac:dyDescent="0.25">
      <c r="A539" s="43" t="s">
        <v>407</v>
      </c>
      <c r="B539" s="43" t="s">
        <v>408</v>
      </c>
      <c r="C539" s="44" t="s">
        <v>266</v>
      </c>
      <c r="D539" s="44">
        <v>34</v>
      </c>
      <c r="E539" s="43" t="s">
        <v>784</v>
      </c>
      <c r="F539" s="43" t="s">
        <v>441</v>
      </c>
      <c r="G539" s="43">
        <v>9322.0300000000007</v>
      </c>
      <c r="H539" s="43">
        <v>0</v>
      </c>
      <c r="I539" s="43">
        <v>838.98</v>
      </c>
      <c r="J539" s="43">
        <v>838.98</v>
      </c>
      <c r="K539" s="45">
        <f t="shared" si="8"/>
        <v>10999.99</v>
      </c>
      <c r="L539" s="46" t="s">
        <v>13</v>
      </c>
      <c r="M539" s="43" t="s">
        <v>800</v>
      </c>
    </row>
    <row r="540" spans="1:13" s="43" customFormat="1" x14ac:dyDescent="0.25">
      <c r="A540" s="43" t="s">
        <v>407</v>
      </c>
      <c r="B540" s="43" t="s">
        <v>408</v>
      </c>
      <c r="C540" s="44" t="s">
        <v>265</v>
      </c>
      <c r="D540" s="44">
        <v>35</v>
      </c>
      <c r="E540" s="43" t="s">
        <v>785</v>
      </c>
      <c r="F540" s="43" t="s">
        <v>441</v>
      </c>
      <c r="G540" s="43">
        <v>9135.6</v>
      </c>
      <c r="H540" s="43">
        <v>0</v>
      </c>
      <c r="I540" s="43">
        <v>822.2</v>
      </c>
      <c r="J540" s="43">
        <v>822.2</v>
      </c>
      <c r="K540" s="45">
        <f t="shared" si="8"/>
        <v>10780.000000000002</v>
      </c>
      <c r="L540" s="46" t="s">
        <v>13</v>
      </c>
      <c r="M540" s="43" t="s">
        <v>800</v>
      </c>
    </row>
    <row r="541" spans="1:13" s="43" customFormat="1" x14ac:dyDescent="0.25">
      <c r="A541" s="43" t="s">
        <v>407</v>
      </c>
      <c r="B541" s="43" t="s">
        <v>408</v>
      </c>
      <c r="C541" s="44" t="s">
        <v>106</v>
      </c>
      <c r="D541" s="44">
        <v>4</v>
      </c>
      <c r="E541" s="43" t="s">
        <v>786</v>
      </c>
      <c r="F541" s="43" t="s">
        <v>450</v>
      </c>
      <c r="G541" s="43">
        <v>3542.37</v>
      </c>
      <c r="H541" s="43">
        <v>0</v>
      </c>
      <c r="I541" s="43">
        <v>318.81</v>
      </c>
      <c r="J541" s="43">
        <v>318.81</v>
      </c>
      <c r="K541" s="45">
        <f t="shared" si="8"/>
        <v>4179.99</v>
      </c>
      <c r="L541" s="46" t="s">
        <v>13</v>
      </c>
      <c r="M541" s="43" t="s">
        <v>800</v>
      </c>
    </row>
    <row r="542" spans="1:13" s="43" customFormat="1" x14ac:dyDescent="0.25">
      <c r="A542" s="43" t="s">
        <v>407</v>
      </c>
      <c r="B542" s="43" t="s">
        <v>408</v>
      </c>
      <c r="C542" s="44" t="s">
        <v>436</v>
      </c>
      <c r="D542" s="44">
        <v>45</v>
      </c>
      <c r="E542" s="43" t="s">
        <v>787</v>
      </c>
      <c r="F542" s="43" t="s">
        <v>458</v>
      </c>
      <c r="G542" s="43">
        <v>2983.05</v>
      </c>
      <c r="H542" s="43">
        <v>0</v>
      </c>
      <c r="I542" s="43">
        <v>268.47000000000003</v>
      </c>
      <c r="J542" s="43">
        <v>268.47000000000003</v>
      </c>
      <c r="K542" s="45">
        <f t="shared" si="8"/>
        <v>3519.9900000000007</v>
      </c>
      <c r="L542" s="46" t="s">
        <v>13</v>
      </c>
      <c r="M542" s="43" t="s">
        <v>800</v>
      </c>
    </row>
    <row r="543" spans="1:13" s="43" customFormat="1" x14ac:dyDescent="0.25">
      <c r="A543" s="43" t="s">
        <v>407</v>
      </c>
      <c r="B543" s="43" t="s">
        <v>408</v>
      </c>
      <c r="C543" s="44" t="s">
        <v>113</v>
      </c>
      <c r="D543" s="44">
        <v>5</v>
      </c>
      <c r="E543" s="43" t="s">
        <v>788</v>
      </c>
      <c r="F543" s="43" t="s">
        <v>443</v>
      </c>
      <c r="G543" s="43">
        <v>2516.9499999999998</v>
      </c>
      <c r="H543" s="43">
        <v>0</v>
      </c>
      <c r="I543" s="43">
        <v>226.53</v>
      </c>
      <c r="J543" s="43">
        <v>226.53</v>
      </c>
      <c r="K543" s="45">
        <f t="shared" si="8"/>
        <v>2970.01</v>
      </c>
      <c r="L543" s="46" t="s">
        <v>13</v>
      </c>
      <c r="M543" s="43" t="s">
        <v>800</v>
      </c>
    </row>
    <row r="544" spans="1:13" s="43" customFormat="1" x14ac:dyDescent="0.25">
      <c r="A544" s="43" t="s">
        <v>407</v>
      </c>
      <c r="B544" s="43" t="s">
        <v>408</v>
      </c>
      <c r="C544" s="44" t="s">
        <v>323</v>
      </c>
      <c r="D544" s="44">
        <v>50</v>
      </c>
      <c r="E544" s="43" t="s">
        <v>789</v>
      </c>
      <c r="F544" s="43" t="s">
        <v>448</v>
      </c>
      <c r="G544" s="43">
        <v>2796.61</v>
      </c>
      <c r="H544" s="43">
        <v>0</v>
      </c>
      <c r="I544" s="43">
        <v>251.69</v>
      </c>
      <c r="J544" s="43">
        <v>251.69</v>
      </c>
      <c r="K544" s="45">
        <f t="shared" si="8"/>
        <v>3299.9900000000002</v>
      </c>
      <c r="L544" s="46" t="s">
        <v>13</v>
      </c>
      <c r="M544" s="43" t="s">
        <v>800</v>
      </c>
    </row>
    <row r="545" spans="1:13" s="43" customFormat="1" x14ac:dyDescent="0.25">
      <c r="A545" s="43" t="s">
        <v>407</v>
      </c>
      <c r="B545" s="43" t="s">
        <v>408</v>
      </c>
      <c r="C545" s="44" t="s">
        <v>332</v>
      </c>
      <c r="D545" s="44">
        <v>55</v>
      </c>
      <c r="E545" s="43" t="s">
        <v>790</v>
      </c>
      <c r="F545" s="43" t="s">
        <v>457</v>
      </c>
      <c r="G545" s="43">
        <v>4008.47</v>
      </c>
      <c r="H545" s="43">
        <v>0</v>
      </c>
      <c r="I545" s="43">
        <v>360.76</v>
      </c>
      <c r="J545" s="43">
        <v>360.76</v>
      </c>
      <c r="K545" s="45">
        <f t="shared" si="8"/>
        <v>4729.99</v>
      </c>
      <c r="L545" s="46" t="s">
        <v>13</v>
      </c>
      <c r="M545" s="43" t="s">
        <v>800</v>
      </c>
    </row>
    <row r="546" spans="1:13" s="43" customFormat="1" x14ac:dyDescent="0.25">
      <c r="A546" s="43" t="s">
        <v>407</v>
      </c>
      <c r="B546" s="43" t="s">
        <v>408</v>
      </c>
      <c r="C546" s="44" t="s">
        <v>348</v>
      </c>
      <c r="D546" s="44">
        <v>60</v>
      </c>
      <c r="E546" s="43" t="s">
        <v>791</v>
      </c>
      <c r="F546" s="43" t="s">
        <v>449</v>
      </c>
      <c r="G546" s="43">
        <v>6991.53</v>
      </c>
      <c r="H546" s="43">
        <v>0</v>
      </c>
      <c r="I546" s="43">
        <v>629.24</v>
      </c>
      <c r="J546" s="43">
        <v>629.24</v>
      </c>
      <c r="K546" s="45">
        <f t="shared" si="8"/>
        <v>8250.01</v>
      </c>
      <c r="L546" s="46" t="s">
        <v>13</v>
      </c>
      <c r="M546" s="43" t="s">
        <v>800</v>
      </c>
    </row>
    <row r="547" spans="1:13" s="43" customFormat="1" x14ac:dyDescent="0.25">
      <c r="A547" s="43" t="s">
        <v>407</v>
      </c>
      <c r="B547" s="43" t="s">
        <v>408</v>
      </c>
      <c r="C547" s="44" t="s">
        <v>349</v>
      </c>
      <c r="D547" s="44">
        <v>61</v>
      </c>
      <c r="E547" s="43" t="s">
        <v>792</v>
      </c>
      <c r="F547" s="43" t="s">
        <v>449</v>
      </c>
      <c r="G547" s="43">
        <v>10440.68</v>
      </c>
      <c r="H547" s="43">
        <v>0</v>
      </c>
      <c r="I547" s="43">
        <v>939.66</v>
      </c>
      <c r="J547" s="43">
        <v>939.66</v>
      </c>
      <c r="K547" s="45">
        <f t="shared" si="8"/>
        <v>12320</v>
      </c>
      <c r="L547" s="46" t="s">
        <v>13</v>
      </c>
      <c r="M547" s="43" t="s">
        <v>800</v>
      </c>
    </row>
    <row r="548" spans="1:13" s="43" customFormat="1" x14ac:dyDescent="0.25">
      <c r="A548" s="43" t="s">
        <v>407</v>
      </c>
      <c r="B548" s="43" t="s">
        <v>408</v>
      </c>
      <c r="C548" s="44" t="s">
        <v>437</v>
      </c>
      <c r="D548" s="44">
        <v>65</v>
      </c>
      <c r="E548" s="43" t="s">
        <v>793</v>
      </c>
      <c r="F548" s="43" t="s">
        <v>440</v>
      </c>
      <c r="G548" s="43">
        <v>3728.81</v>
      </c>
      <c r="H548" s="43">
        <v>0</v>
      </c>
      <c r="I548" s="43">
        <v>335.59</v>
      </c>
      <c r="J548" s="43">
        <v>335.59</v>
      </c>
      <c r="K548" s="45">
        <f t="shared" si="8"/>
        <v>4399.99</v>
      </c>
      <c r="L548" s="46" t="s">
        <v>13</v>
      </c>
      <c r="M548" s="43" t="s">
        <v>800</v>
      </c>
    </row>
    <row r="549" spans="1:13" s="43" customFormat="1" x14ac:dyDescent="0.25">
      <c r="A549" s="43" t="s">
        <v>407</v>
      </c>
      <c r="B549" s="43" t="s">
        <v>408</v>
      </c>
      <c r="C549" s="44" t="s">
        <v>124</v>
      </c>
      <c r="D549" s="44">
        <v>7</v>
      </c>
      <c r="E549" s="43" t="s">
        <v>794</v>
      </c>
      <c r="F549" s="43" t="s">
        <v>444</v>
      </c>
      <c r="G549" s="43">
        <v>4661.0200000000004</v>
      </c>
      <c r="H549" s="43">
        <v>0</v>
      </c>
      <c r="I549" s="43">
        <v>419.49</v>
      </c>
      <c r="J549" s="43">
        <v>419.49</v>
      </c>
      <c r="K549" s="45">
        <f t="shared" si="8"/>
        <v>5500</v>
      </c>
      <c r="L549" s="46" t="s">
        <v>13</v>
      </c>
      <c r="M549" s="43" t="s">
        <v>800</v>
      </c>
    </row>
    <row r="550" spans="1:13" s="43" customFormat="1" x14ac:dyDescent="0.25">
      <c r="A550" s="43" t="s">
        <v>409</v>
      </c>
      <c r="B550" s="43" t="s">
        <v>410</v>
      </c>
      <c r="C550" s="44" t="s">
        <v>438</v>
      </c>
      <c r="D550" s="44">
        <v>25040045903</v>
      </c>
      <c r="E550" s="43" t="s">
        <v>795</v>
      </c>
      <c r="F550" s="43" t="s">
        <v>440</v>
      </c>
      <c r="G550" s="43">
        <v>498.77</v>
      </c>
      <c r="H550" s="43">
        <v>89.77</v>
      </c>
      <c r="I550" s="43">
        <v>0</v>
      </c>
      <c r="J550" s="43">
        <v>0</v>
      </c>
      <c r="K550" s="45">
        <f t="shared" si="8"/>
        <v>588.54</v>
      </c>
      <c r="L550" s="46" t="s">
        <v>13</v>
      </c>
      <c r="M550" s="43" t="s">
        <v>800</v>
      </c>
    </row>
    <row r="551" spans="1:13" x14ac:dyDescent="0.25">
      <c r="A551" t="s">
        <v>35</v>
      </c>
      <c r="B551" t="s">
        <v>71</v>
      </c>
      <c r="C551" t="s">
        <v>109</v>
      </c>
      <c r="D551">
        <v>4007</v>
      </c>
      <c r="E551" t="s">
        <v>496</v>
      </c>
      <c r="F551" t="s">
        <v>443</v>
      </c>
      <c r="G551">
        <v>8750</v>
      </c>
      <c r="H551">
        <v>1575</v>
      </c>
      <c r="I551">
        <v>0</v>
      </c>
      <c r="J551">
        <v>0</v>
      </c>
      <c r="K551" s="15">
        <f t="shared" si="8"/>
        <v>10325</v>
      </c>
      <c r="L551" s="16" t="s">
        <v>13</v>
      </c>
      <c r="M551" t="s">
        <v>797</v>
      </c>
    </row>
    <row r="552" spans="1:13" x14ac:dyDescent="0.25">
      <c r="A552" t="s">
        <v>35</v>
      </c>
      <c r="B552" t="s">
        <v>71</v>
      </c>
      <c r="C552" t="s">
        <v>119</v>
      </c>
      <c r="D552">
        <v>4011</v>
      </c>
      <c r="E552" t="s">
        <v>506</v>
      </c>
      <c r="F552" t="s">
        <v>444</v>
      </c>
      <c r="G552">
        <v>14150</v>
      </c>
      <c r="H552">
        <v>2547</v>
      </c>
      <c r="I552">
        <v>0</v>
      </c>
      <c r="J552">
        <v>0</v>
      </c>
      <c r="K552" s="15">
        <f t="shared" si="8"/>
        <v>16697</v>
      </c>
      <c r="L552" s="16" t="s">
        <v>13</v>
      </c>
      <c r="M552" t="s">
        <v>797</v>
      </c>
    </row>
    <row r="553" spans="1:13" x14ac:dyDescent="0.25">
      <c r="A553" t="s">
        <v>35</v>
      </c>
      <c r="B553" t="s">
        <v>71</v>
      </c>
      <c r="C553" t="s">
        <v>137</v>
      </c>
      <c r="D553">
        <v>4013</v>
      </c>
      <c r="E553" t="s">
        <v>524</v>
      </c>
      <c r="F553" t="s">
        <v>456</v>
      </c>
      <c r="G553">
        <v>6150</v>
      </c>
      <c r="H553">
        <v>1107</v>
      </c>
      <c r="I553">
        <v>0</v>
      </c>
      <c r="J553">
        <v>0</v>
      </c>
      <c r="K553" s="15">
        <f t="shared" si="8"/>
        <v>7257</v>
      </c>
      <c r="L553" s="16" t="s">
        <v>13</v>
      </c>
      <c r="M553" t="s">
        <v>797</v>
      </c>
    </row>
    <row r="554" spans="1:13" s="9" customFormat="1" x14ac:dyDescent="0.25">
      <c r="A554" s="9" t="s">
        <v>35</v>
      </c>
      <c r="B554" s="9" t="s">
        <v>71</v>
      </c>
      <c r="C554" s="9" t="s">
        <v>158</v>
      </c>
      <c r="D554" s="9">
        <v>4018</v>
      </c>
      <c r="E554" s="9" t="s">
        <v>545</v>
      </c>
      <c r="F554" s="9" t="s">
        <v>452</v>
      </c>
      <c r="G554" s="9">
        <v>10000</v>
      </c>
      <c r="H554" s="9">
        <v>2000</v>
      </c>
      <c r="I554" s="9">
        <v>0</v>
      </c>
      <c r="J554" s="9">
        <v>0</v>
      </c>
      <c r="K554" s="15">
        <f t="shared" si="8"/>
        <v>12000</v>
      </c>
      <c r="L554" s="15" t="s">
        <v>13</v>
      </c>
      <c r="M554" s="9" t="s">
        <v>797</v>
      </c>
    </row>
    <row r="555" spans="1:13" s="9" customFormat="1" x14ac:dyDescent="0.25">
      <c r="A555" s="9" t="s">
        <v>35</v>
      </c>
      <c r="B555" s="9" t="s">
        <v>71</v>
      </c>
      <c r="C555" s="9" t="s">
        <v>158</v>
      </c>
      <c r="D555" s="9">
        <v>4018</v>
      </c>
      <c r="E555" s="9" t="s">
        <v>545</v>
      </c>
      <c r="F555" s="9" t="s">
        <v>452</v>
      </c>
      <c r="G555" s="9">
        <v>4400</v>
      </c>
      <c r="H555" s="9">
        <v>592</v>
      </c>
      <c r="I555" s="9">
        <v>0</v>
      </c>
      <c r="J555" s="9">
        <v>0</v>
      </c>
      <c r="K555" s="15">
        <f t="shared" ref="K555" si="9">G555+H555+I555+J555</f>
        <v>4992</v>
      </c>
      <c r="L555" s="15" t="s">
        <v>13</v>
      </c>
      <c r="M555" s="9" t="s">
        <v>797</v>
      </c>
    </row>
    <row r="556" spans="1:13" x14ac:dyDescent="0.25">
      <c r="A556" t="s">
        <v>35</v>
      </c>
      <c r="B556" t="s">
        <v>71</v>
      </c>
      <c r="C556" t="s">
        <v>171</v>
      </c>
      <c r="D556">
        <v>4021</v>
      </c>
      <c r="E556" t="s">
        <v>558</v>
      </c>
      <c r="F556" t="s">
        <v>439</v>
      </c>
      <c r="G556">
        <v>8650</v>
      </c>
      <c r="H556">
        <v>1557</v>
      </c>
      <c r="I556">
        <v>0</v>
      </c>
      <c r="J556">
        <v>0</v>
      </c>
      <c r="K556" s="15">
        <f t="shared" si="8"/>
        <v>10207</v>
      </c>
      <c r="L556" s="16" t="s">
        <v>13</v>
      </c>
      <c r="M556" t="s">
        <v>797</v>
      </c>
    </row>
    <row r="557" spans="1:13" x14ac:dyDescent="0.25">
      <c r="A557" t="s">
        <v>35</v>
      </c>
      <c r="B557" t="s">
        <v>71</v>
      </c>
      <c r="C557" t="s">
        <v>212</v>
      </c>
      <c r="D557">
        <v>4037</v>
      </c>
      <c r="E557" t="s">
        <v>599</v>
      </c>
      <c r="F557" t="s">
        <v>455</v>
      </c>
      <c r="G557">
        <v>9150</v>
      </c>
      <c r="H557">
        <v>1647</v>
      </c>
      <c r="I557">
        <v>0</v>
      </c>
      <c r="J557">
        <v>0</v>
      </c>
      <c r="K557" s="15">
        <f t="shared" si="8"/>
        <v>10797</v>
      </c>
      <c r="L557" s="16" t="s">
        <v>13</v>
      </c>
      <c r="M557" t="s">
        <v>797</v>
      </c>
    </row>
    <row r="558" spans="1:13" x14ac:dyDescent="0.25">
      <c r="A558" t="s">
        <v>35</v>
      </c>
      <c r="B558" t="s">
        <v>71</v>
      </c>
      <c r="C558" t="s">
        <v>260</v>
      </c>
      <c r="D558">
        <v>4044</v>
      </c>
      <c r="E558" t="s">
        <v>647</v>
      </c>
      <c r="F558" t="s">
        <v>464</v>
      </c>
      <c r="G558">
        <v>3650</v>
      </c>
      <c r="H558">
        <v>657</v>
      </c>
      <c r="I558">
        <v>0</v>
      </c>
      <c r="J558">
        <v>0</v>
      </c>
      <c r="K558" s="15">
        <f t="shared" si="8"/>
        <v>4307</v>
      </c>
      <c r="L558" s="16" t="s">
        <v>13</v>
      </c>
      <c r="M558" t="s">
        <v>797</v>
      </c>
    </row>
    <row r="559" spans="1:13" x14ac:dyDescent="0.25">
      <c r="A559" t="s">
        <v>35</v>
      </c>
      <c r="B559" t="s">
        <v>71</v>
      </c>
      <c r="C559" t="s">
        <v>261</v>
      </c>
      <c r="D559">
        <v>4048</v>
      </c>
      <c r="E559" t="s">
        <v>648</v>
      </c>
      <c r="F559" t="s">
        <v>464</v>
      </c>
      <c r="G559">
        <v>4850</v>
      </c>
      <c r="H559">
        <v>873</v>
      </c>
      <c r="I559">
        <v>0</v>
      </c>
      <c r="J559">
        <v>0</v>
      </c>
      <c r="K559" s="15">
        <f t="shared" si="8"/>
        <v>5723</v>
      </c>
      <c r="L559" s="16" t="s">
        <v>13</v>
      </c>
      <c r="M559" t="s">
        <v>797</v>
      </c>
    </row>
    <row r="561" spans="5:5" x14ac:dyDescent="0.25">
      <c r="E561" s="9" t="s">
        <v>470</v>
      </c>
    </row>
    <row r="562" spans="5:5" x14ac:dyDescent="0.25">
      <c r="E562" s="9" t="s">
        <v>471</v>
      </c>
    </row>
    <row r="563" spans="5:5" x14ac:dyDescent="0.25">
      <c r="E563" s="9" t="s">
        <v>472</v>
      </c>
    </row>
    <row r="564" spans="5:5" x14ac:dyDescent="0.25">
      <c r="E564" s="9" t="s">
        <v>473</v>
      </c>
    </row>
    <row r="565" spans="5:5" x14ac:dyDescent="0.25">
      <c r="E565" s="9" t="s">
        <v>474</v>
      </c>
    </row>
  </sheetData>
  <hyperlinks>
    <hyperlink ref="P2" r:id="rId1" xr:uid="{1197174D-68F9-4F80-9F06-0889211C0C28}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ReconcileITCDataOnly">
                <anchor moveWithCells="1" sizeWithCells="1">
                  <from>
                    <xdr:col>14</xdr:col>
                    <xdr:colOff>85725</xdr:colOff>
                    <xdr:row>5</xdr:row>
                    <xdr:rowOff>76200</xdr:rowOff>
                  </from>
                  <to>
                    <xdr:col>15</xdr:col>
                    <xdr:colOff>485775</xdr:colOff>
                    <xdr:row>8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SendReconciliationEmail">
                <anchor moveWithCells="1" sizeWithCells="1">
                  <from>
                    <xdr:col>14</xdr:col>
                    <xdr:colOff>238125</xdr:colOff>
                    <xdr:row>10</xdr:row>
                    <xdr:rowOff>19050</xdr:rowOff>
                  </from>
                  <to>
                    <xdr:col>15</xdr:col>
                    <xdr:colOff>581025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Deepak gupta</dc:creator>
  <cp:lastModifiedBy>Deepak gupta</cp:lastModifiedBy>
  <dcterms:created xsi:type="dcterms:W3CDTF">2024-06-05T18:50:22Z</dcterms:created>
  <dcterms:modified xsi:type="dcterms:W3CDTF">2025-08-13T15:42:04Z</dcterms:modified>
</cp:coreProperties>
</file>