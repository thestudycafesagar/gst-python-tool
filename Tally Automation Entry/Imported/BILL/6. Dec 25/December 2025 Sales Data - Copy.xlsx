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bc12315ff2562b71/Sujal/SUJAL/cedar and sage pvt limited/purchase and sale/6. Dec 25/"/>
    </mc:Choice>
  </mc:AlternateContent>
  <xr:revisionPtr revIDLastSave="127" documentId="11_5AC31F63DD116AEDBBFB3AD7C77F986D185CBF86" xr6:coauthVersionLast="47" xr6:coauthVersionMax="47" xr10:uidLastSave="{0DEF5435-0DAA-493B-8005-02A0060C9AC8}"/>
  <bookViews>
    <workbookView xWindow="-120" yWindow="-120" windowWidth="24240" windowHeight="13140" activeTab="1" xr2:uid="{00000000-000D-0000-FFFF-FFFF00000000}"/>
  </bookViews>
  <sheets>
    <sheet name="Sheet4" sheetId="4" r:id="rId1"/>
    <sheet name="Sheet1" sheetId="1" r:id="rId2"/>
  </sheets>
  <definedNames>
    <definedName name="_xlnm._FilterDatabase" localSheetId="1" hidden="1">Sheet1!$A$5:$U$803</definedName>
  </definedNames>
  <calcPr calcId="191029"/>
  <pivotCaches>
    <pivotCache cacheId="18"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03" i="1" l="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N791" i="1" l="1"/>
  <c r="N803" i="1"/>
  <c r="N788" i="1"/>
  <c r="N792" i="1"/>
  <c r="N796" i="1"/>
  <c r="N800" i="1"/>
  <c r="N795" i="1"/>
  <c r="N789" i="1"/>
  <c r="N793" i="1"/>
  <c r="N797" i="1"/>
  <c r="N801" i="1"/>
  <c r="N799" i="1"/>
  <c r="N790" i="1"/>
  <c r="N794" i="1"/>
  <c r="N798" i="1"/>
  <c r="N802" i="1"/>
</calcChain>
</file>

<file path=xl/sharedStrings.xml><?xml version="1.0" encoding="utf-8"?>
<sst xmlns="http://schemas.openxmlformats.org/spreadsheetml/2006/main" count="4216" uniqueCount="1246">
  <si>
    <t>Name:</t>
  </si>
  <si>
    <t>Restaurant Name:</t>
  </si>
  <si>
    <t>Restaurant Address:</t>
  </si>
  <si>
    <t>Order No.</t>
  </si>
  <si>
    <t>Order Type</t>
  </si>
  <si>
    <t>Sub Order Type</t>
  </si>
  <si>
    <t>Customer Name</t>
  </si>
  <si>
    <t>Customer Phone</t>
  </si>
  <si>
    <t>GSTIN</t>
  </si>
  <si>
    <t>Customer Address</t>
  </si>
  <si>
    <t>Delivery Boy</t>
  </si>
  <si>
    <t>Delivery Boy Number</t>
  </si>
  <si>
    <t>Items</t>
  </si>
  <si>
    <t>My Amount (₹)</t>
  </si>
  <si>
    <t>Total Discount (₹)</t>
  </si>
  <si>
    <t>Total Tax (₹)</t>
  </si>
  <si>
    <t>Round Off (₹)</t>
  </si>
  <si>
    <t>Grand Total (₹)</t>
  </si>
  <si>
    <t>Payment Type</t>
  </si>
  <si>
    <t>Payment Description</t>
  </si>
  <si>
    <t>Status</t>
  </si>
  <si>
    <t>Created</t>
  </si>
  <si>
    <t>Sequence Name</t>
  </si>
  <si>
    <t>Dine In (5)</t>
  </si>
  <si>
    <t>Dine In</t>
  </si>
  <si>
    <t>Chicken Quesadilla, Classic Bombay Maestro Sandwich, Classic Hot Chocolate</t>
  </si>
  <si>
    <t>Other [DINE OUT]</t>
  </si>
  <si>
    <t>Printed</t>
  </si>
  <si>
    <t>Dine In (SIDHART SIR)</t>
  </si>
  <si>
    <t>Chicken &amp; Cheese On Toast</t>
  </si>
  <si>
    <t>Card</t>
  </si>
  <si>
    <t>Dine In (vikash sir)</t>
  </si>
  <si>
    <t>Spicy Chicken Tenders</t>
  </si>
  <si>
    <t>Cash</t>
  </si>
  <si>
    <t>Dine In (VIKASH SIR)</t>
  </si>
  <si>
    <t>Salsa Rose, The Full House Nachos (Veg)</t>
  </si>
  <si>
    <t>Dine In (radhika maam)</t>
  </si>
  <si>
    <t>Buffalo Chicken Wings With Ranch Dip, Chicken &amp; Cheese On Toast, Classic Hot Chocolate, Cookies - Cookie Of The Week, Espresso Tiramisu</t>
  </si>
  <si>
    <t>Dine In (rahul)</t>
  </si>
  <si>
    <t>Salsa Rose, Truffle And Parmesan Crispy Scouts</t>
  </si>
  <si>
    <t>Other [UPI]</t>
  </si>
  <si>
    <t>Dine In (7)</t>
  </si>
  <si>
    <t>Arrabbiata Ambush, Classic Garlic Gambit</t>
  </si>
  <si>
    <t>Dine In (1)</t>
  </si>
  <si>
    <t>Claasic Cold Coffee, Classic Margherita Pizza, Roasted Tomato &amp; Basil, Sour Cream And Onion Wrdges Warriors, Tex-Mex Bowl With Cottage Cheese (V)</t>
  </si>
  <si>
    <t>Dine In (6)</t>
  </si>
  <si>
    <t>Spicy Chicken Tenders, Thukpa Vegan</t>
  </si>
  <si>
    <t>Dine In (11)</t>
  </si>
  <si>
    <t>Avocado Vanguard, Chicken &amp; Cheese On Toast, New Classic Hot Chocolate</t>
  </si>
  <si>
    <t>Chicken Quesadilla, Lebanese Chicken Pizza, The Full House Nachos (Veg)</t>
  </si>
  <si>
    <t>Dine In (12)</t>
  </si>
  <si>
    <t>Brown Butter Latte, Cappuccino</t>
  </si>
  <si>
    <t>Dine In (4)</t>
  </si>
  <si>
    <t>Classic Margherita Pizza, Iced Americano</t>
  </si>
  <si>
    <t>Dine In (3)</t>
  </si>
  <si>
    <t>Captain Fish Fingers, Classic Bombay Maestro Sandwich, Espresso Tiramisu, Salsa Rose, The Full House Nachos (Veg), Vanilla And Cocoa Marble Teacakes</t>
  </si>
  <si>
    <t>Classic Hot Chocolate, Classic Pancakes, Pistachio Latte</t>
  </si>
  <si>
    <t>Captain Fish Fingers, Extra Vegetables, Hot Americano, Rainbow Roll Pizza</t>
  </si>
  <si>
    <t>Dine In (2)</t>
  </si>
  <si>
    <t>Buffalo Chicken Wings With Ranch Dip, Rainbow Roll Pizza, Roasted Tomato &amp; Basil, Truffle And Parmesan Crispy Scouts, Vanilla And Cocoa Marble Teacakes</t>
  </si>
  <si>
    <t>Dine In (soniya)</t>
  </si>
  <si>
    <t>Rainbow Roll Pizza, Spicy Chicken Tenders</t>
  </si>
  <si>
    <t>Burnt Garlic &amp; Cauliflower, Peri Peri Cottage Cheese Pizza</t>
  </si>
  <si>
    <t>Middle-East Meetup, Pistachio Latte, Secret Mocha, Sour Cream And Onion Crispy Scouts</t>
  </si>
  <si>
    <t>Captain Fish Fingers, Chicken Conqueror Burger, Classic Hot Chocolate, Creamy Pesto, Semolina And Pistachio Teacakes</t>
  </si>
  <si>
    <t>Flat White</t>
  </si>
  <si>
    <t>Banana Caramel Pancakes, Cappuccino, Chicken Conqueror Burger, Classic Margherita Pizza, Ratatouille Bunny Chow</t>
  </si>
  <si>
    <t>Rainbow Roll Pizza, Thukpa Vegan</t>
  </si>
  <si>
    <t>Avocado Vanguard, Classic Hot Chocolate</t>
  </si>
  <si>
    <t>Asian Bowl Hot Garlic Stir Fry Bean Curd, Brown Butter Latte, Creamy Pesto, Mushroom Marauders Bruschetta, New Classic Hot Chocolate, Pistachio Latte</t>
  </si>
  <si>
    <t>Dine In (15)</t>
  </si>
  <si>
    <t>Water Bottle</t>
  </si>
  <si>
    <t>Brown Butter Latte, Burrata Baron Pizza, Captain Fish Fingers, Truffle And Parmesan Crispy Scouts, Truffle Mushroom Arancini</t>
  </si>
  <si>
    <t>Chicken Quesadilla, Classic Margherita Pizza, Egg French Omelette, Extra Dip, Tex-Mex Bowl Grilled Chicken</t>
  </si>
  <si>
    <t>Captain Fish Fingers, Cookies - Cookie Of The Week, Middle-East Meetup, Peri Peri Cottage Cheese Pizza, Roasted Tomato &amp; Basil</t>
  </si>
  <si>
    <t>Dine In (jai)</t>
  </si>
  <si>
    <t>Cappuccino</t>
  </si>
  <si>
    <t>Honey Cinnamon Cold Brew, Salsa Rose</t>
  </si>
  <si>
    <t>Dine In (DHRUV)</t>
  </si>
  <si>
    <t>Creamy Pesto, Grilled Chicken</t>
  </si>
  <si>
    <t>Dine In (JTOTSHNA)</t>
  </si>
  <si>
    <t>Gaming Charge, The Catalyst</t>
  </si>
  <si>
    <t>Dine In (sidhant sir)</t>
  </si>
  <si>
    <t>Cinnamon Hot Chocolate, Egg French Omelette, Extra Vegetables</t>
  </si>
  <si>
    <t>Banana Walnut Teacakes, Espresso Tiramisu</t>
  </si>
  <si>
    <t>Dine In (JATIN)</t>
  </si>
  <si>
    <t>Classic Garlic Gambit</t>
  </si>
  <si>
    <t>Dine In (RANVEER)</t>
  </si>
  <si>
    <t>Banana Walnut Teacakes, Grilled Meaty Maverick</t>
  </si>
  <si>
    <t>Dine In (shivangi)</t>
  </si>
  <si>
    <t>Classic Hot Chocolate</t>
  </si>
  <si>
    <t>Dine In (RADHIKA MAAM)</t>
  </si>
  <si>
    <t>Buffalo Chicken Wings With Ranch Dip, Grilled Chicken</t>
  </si>
  <si>
    <t>Dine In (YASH)</t>
  </si>
  <si>
    <t>Classic Lemon Ice Tea</t>
  </si>
  <si>
    <t>Dine In (VIKAS)</t>
  </si>
  <si>
    <t>Masala Egg Bhurji</t>
  </si>
  <si>
    <t>Classic Margherita Pizza, Classical Chicken Stroganoff</t>
  </si>
  <si>
    <t>Asian Bowl Hot Garlic Stir Fry Bean Curd, Chocolate Chip Pancakes, Salsa Rose</t>
  </si>
  <si>
    <t>Dine In (SHIVAM)</t>
  </si>
  <si>
    <t>Dine In (AMOL)</t>
  </si>
  <si>
    <t>Add Paneer, Tex-Mex Bowl With Cottage Cheese (V)</t>
  </si>
  <si>
    <t>Dine In (10)</t>
  </si>
  <si>
    <t>Claasic Cold Coffee, Pinefire, Rainbow Roll Pizza, Stained Sagrada</t>
  </si>
  <si>
    <t>Classic Garlic Gambit, Rainbow Roll Pizza, Secret Mocha</t>
  </si>
  <si>
    <t>Cappuccino, Classic Hot Chocolate, Mushroom Alfredo, Peri Peri Cottage Cheese Pizza, Pinefire</t>
  </si>
  <si>
    <t>Biscoff Shake, Creamy Pesto, Gaming Charge, Phoenix Berry, Pinefire, Salsa Rose, Tex-Mex Bowl With Cottage Cheese (V), The Full House Nachos (Veg)</t>
  </si>
  <si>
    <t>Dine In (priti)</t>
  </si>
  <si>
    <t>Aglio Olio, Rainbow Roll Pizza</t>
  </si>
  <si>
    <t>Classic Bombay Maestro Sandwich, The Melty Mischief, Water Bottle</t>
  </si>
  <si>
    <t>Dine In (shiangi)</t>
  </si>
  <si>
    <t>Gaming Charge, Hot Americano, Sour Cream And Onion Crispy Scouts</t>
  </si>
  <si>
    <t>Chicken Stroganoff Bunnychow, Golden Tiramisu, Spicy Chicken Tenders</t>
  </si>
  <si>
    <t>Cappuccino, Peri Peri Crispy Scouts, Salsa Rose, Tex-Mex Bowl With Cottage Cheese (V)</t>
  </si>
  <si>
    <t>Brownie With Ice Cream, Classic Hot Chocolate, Water Bottle</t>
  </si>
  <si>
    <t>Dine In (josna)</t>
  </si>
  <si>
    <t>Creamy Pesto</t>
  </si>
  <si>
    <t>Ginger Cookie</t>
  </si>
  <si>
    <t>Classic Hot Chocolate, Pistachio Latte</t>
  </si>
  <si>
    <t>Hot Americano, Red Dust Frappe, Secret Mocha, Truffle Mushroom Arancini</t>
  </si>
  <si>
    <t>Cafe Latte, Classic Hot Chocolate, Classic Wrdges Warriors</t>
  </si>
  <si>
    <t>Cappuccino, Classic Hot Chocolate</t>
  </si>
  <si>
    <t>Classic Hot Chocolate, The Catalyst</t>
  </si>
  <si>
    <t>Dine In (sidharth)</t>
  </si>
  <si>
    <t>Egg French Omelette, Extra Vegetables</t>
  </si>
  <si>
    <t>Asian Bowl Hot Garlic Stir Fry Chicken, Classic Hot Chocolate, Tex-Mex Bowl With Cottage Cheese (V)</t>
  </si>
  <si>
    <t>Dine In (RADHIKA MAA)</t>
  </si>
  <si>
    <t>Chicken &amp; Cheese On Toast, Classic Hot Chocolate, Classic Vanilla Stuffed French Toast, Masala Egg Bhurji, Matcha Latte</t>
  </si>
  <si>
    <t>Extra Chicken, Tex-Mex Bowl Grilled Chicken</t>
  </si>
  <si>
    <t>Captain Fish Fingers, Chicken Stroganoff Bunnychow, Cinnamon Hot Chocolate, Creamy Pesto, New Classic Hot Chocolate</t>
  </si>
  <si>
    <t>Dine In (neha)</t>
  </si>
  <si>
    <t>Cookies - Cookie Of The Week, New Classic Hot Chocolate</t>
  </si>
  <si>
    <t>Middle-East Meetup, Spicy Chicken Tenders</t>
  </si>
  <si>
    <t>Dine In (KRISSH)</t>
  </si>
  <si>
    <t>Brownie With Ice Cream, Carbonated Water, Classic Hot Chocolate, Classic Lemon Ice Tea, Garlic Pepper Chicken Pizza, Grilled Meaty Maverick, Pinefire</t>
  </si>
  <si>
    <t>Part Payment</t>
  </si>
  <si>
    <t>Total : 2168.00</t>
  </si>
  <si>
    <t>Classic Margherita Pizza, Crimson Hex, Pinefire, Truffle And Parmesan Wrdges Warriors</t>
  </si>
  <si>
    <t>Brown Butter Latte, Middle-East Meetup, Rainbow Roll Pizza</t>
  </si>
  <si>
    <t>Cafe Latte, Cafe Mocha, Cappuccino</t>
  </si>
  <si>
    <t>Peri Peri Cottage Cheese Pizza</t>
  </si>
  <si>
    <t>Hot Americano</t>
  </si>
  <si>
    <t>Cappuccino, The Catalyst, Truffle Mushroom Arancini</t>
  </si>
  <si>
    <t>Dine In (14)</t>
  </si>
  <si>
    <t>The Full House Nachos (Veg)</t>
  </si>
  <si>
    <t>Dine In (VIKAS SIR)</t>
  </si>
  <si>
    <t>Banana Caramel Pancakes, Chicken Conqueror Burger, Classic Wrdges Warriors</t>
  </si>
  <si>
    <t>Dine In (abhinev)</t>
  </si>
  <si>
    <t>Chicken Sausages (nv) 2, Classic Hot Chocolate, Egg French Omelette</t>
  </si>
  <si>
    <t>Dine In (ABHINAV)</t>
  </si>
  <si>
    <t>Dine In (sedes)</t>
  </si>
  <si>
    <t>Dine In (gourav)</t>
  </si>
  <si>
    <t>Brown Butter Latte, Butter Garlic Prawns With Sourdough, Golden Tiramisu, Grilled Chicken</t>
  </si>
  <si>
    <t>Dine In (amit)</t>
  </si>
  <si>
    <t>Chicken &amp; Cheese On Toast, Classic Hot Chocolate, Iced Mocha</t>
  </si>
  <si>
    <t>Dine In (sakshi)</t>
  </si>
  <si>
    <t>Gaming Charge, Rainbow Roll Pizza, Salsa Rose, Water Bottle</t>
  </si>
  <si>
    <t>Dine In (SIDHART)</t>
  </si>
  <si>
    <t>Gaming Charge, Sour Cream And Onion Wrdges Warriors</t>
  </si>
  <si>
    <t>Cappuccino, Chicken Conqueror Burger, Egg French Omelette, Extra Vegetables, Golden Tiramisu</t>
  </si>
  <si>
    <t>Dine In (RADHIKA AAM)</t>
  </si>
  <si>
    <t>Classic Hot Chocolate, Espresso Tiramisu</t>
  </si>
  <si>
    <t>Dine In (STIVAN)</t>
  </si>
  <si>
    <t>Chicken Stroganoff Bunnychow, Spicy Chicken Tenders</t>
  </si>
  <si>
    <t>Dine In (ANKIT)</t>
  </si>
  <si>
    <t>Cream Of Chicken &amp; Leek, Spicy Chicken Tenders, Stained Sagrada, Truffle Mushroom Arancini</t>
  </si>
  <si>
    <t>Classic Garlic Gambit, Iced Mocha</t>
  </si>
  <si>
    <t>Gaming Charge</t>
  </si>
  <si>
    <t>Dine In (vinet)</t>
  </si>
  <si>
    <t>Jackfruit Jester Burger, Phoenix Berry, Ratatouille Bunny Chow, The Full House Nachos (Veg), Truffle Mushroom Arancini</t>
  </si>
  <si>
    <t>Dine In (priyanshi)</t>
  </si>
  <si>
    <t>Classic Hot Chocolate, Cream Of Chicken &amp; Leek, Thukpa Vegan</t>
  </si>
  <si>
    <t>Dine In (ARPITA)</t>
  </si>
  <si>
    <t>Classic Hot Chocolate, Hot Americano</t>
  </si>
  <si>
    <t>Dine In (RITIKA)</t>
  </si>
  <si>
    <t>Cafe Latte, Pesto Sandwich</t>
  </si>
  <si>
    <t>Dine In (jatin)</t>
  </si>
  <si>
    <t>Aglio Olio</t>
  </si>
  <si>
    <t>Dine In (yash)</t>
  </si>
  <si>
    <t>Lebanese Chicken Pizza</t>
  </si>
  <si>
    <t>Dine In (COFFE DROP SHOOT)</t>
  </si>
  <si>
    <t>drop shot</t>
  </si>
  <si>
    <t>Espresso</t>
  </si>
  <si>
    <t>Dine In (manthan)</t>
  </si>
  <si>
    <t>Classic Crispy Scouts</t>
  </si>
  <si>
    <t>Aglio Olio, Cappuccino, Peri Peri Wrdges Warriors, Rainbow Roll Pizza</t>
  </si>
  <si>
    <t>Cappuccino, Classic Vanilla Waffles, London Fog</t>
  </si>
  <si>
    <t>Dine In (SHAKSHI)</t>
  </si>
  <si>
    <t>Brown Butter Latte, Classic Hot Chocolate, Classic Margherita Pizza, Truffle And Parmesan Crispy Scouts</t>
  </si>
  <si>
    <t>Cappuccino, Secret Mocha, Vanilla And Cocoa Marble Teacakes</t>
  </si>
  <si>
    <t>Avocado Vanguard, Rainbow Roll Pizza</t>
  </si>
  <si>
    <t>Burnt Garlic &amp; Cauliflower, Classic Margherita Pizza, Classic Scrambled Eggs, Espresso Tiramisu, Mushroom Alfredo</t>
  </si>
  <si>
    <t>Classic Lemon Ice Tea, Crimson Hex, Rainbow Roll Pizza, The Bruschetta Bards</t>
  </si>
  <si>
    <t>Cream Of Chicken &amp; Leek, Wild Berry Waffles</t>
  </si>
  <si>
    <t>Phoenix Berry, Rainbow Roll Pizza</t>
  </si>
  <si>
    <t>Dine In (ARJUN)</t>
  </si>
  <si>
    <t>Brown Butter Latte, Secret Mocha</t>
  </si>
  <si>
    <t>Asian Bowl Hot Garlic Stir Fry Bean Curd, Claasic Cold Coffee, Tex-Mex Bowl With Cottage Cheese (V)</t>
  </si>
  <si>
    <t>London Fog</t>
  </si>
  <si>
    <t>Classic Bombay Maestro Sandwich, Peri Peri Crispy Scouts</t>
  </si>
  <si>
    <t>Espresso Tiramisu</t>
  </si>
  <si>
    <t>Brown Butter Latte, Iced Mocha, Pinefire, Pistachio Latte</t>
  </si>
  <si>
    <t>Iced Americano</t>
  </si>
  <si>
    <t>Avocado Vanguard, Classic Hot Chocolate, Ice Latte</t>
  </si>
  <si>
    <t>Dine In (vikas sir)</t>
  </si>
  <si>
    <t>Brownie With Ice Cream, Cappuccino</t>
  </si>
  <si>
    <t>Dine In (radhika maa)</t>
  </si>
  <si>
    <t>Classic Hot Chocolate, Classic Vanilla Stuffed French Toast, Grilled Meaty Maverick, Matcha Latte</t>
  </si>
  <si>
    <t>Asian Bowl Hot Garlic Stir Fry Chicken, Cappuccino, Egg French Omelette, Extra Sourdough Bread, Iced Americano</t>
  </si>
  <si>
    <t>Arrabbiata Ambush, Claasic Cold Coffee, Peri Peri Crispy Scouts, Pinefire</t>
  </si>
  <si>
    <t>Total : 1166.00</t>
  </si>
  <si>
    <t>Asian Bowl Hot Garlic Stir Fry Bean Curd, Brownie With Ice Cream, Rainbow Roll Pizza, The Full House Nachos (Veg), Water Bottle</t>
  </si>
  <si>
    <t>Burnt Garlic &amp; Cauliflower, Rainbow Roll Pizza</t>
  </si>
  <si>
    <t>Claasic Cold Coffee, Classic Crispy Scouts, Rainbow Roll Pizza, Thukpa Vegan</t>
  </si>
  <si>
    <t>Brown Butter Latte</t>
  </si>
  <si>
    <t>Middle-East Meetup, Rainbow Roll Pizza, Sour Cream And Onion Crispy Scouts, Spicy Chicken Tenders, The Melty Mischief</t>
  </si>
  <si>
    <t>Aurora Engine, Lebanese Chicken Pizza, Peri Peri Crispy Scouts, Spicy Chicken Tenders, Water Bottle</t>
  </si>
  <si>
    <t>Claasic Cold Coffee, Classic Bombay Maestro Sandwich, Rainbow Roll Pizza, Thukpa Vegan</t>
  </si>
  <si>
    <t>Claasic Cold Coffee, Classic Garlic Gambit, Classic Wrdges Warriors</t>
  </si>
  <si>
    <t>Cappuccino, Extra Garlic Bread, Flat White, Masala Egg Bhurji, Turn Over</t>
  </si>
  <si>
    <t>Cinnamon Hot Chocolate, The Catalyst</t>
  </si>
  <si>
    <t>Avocado Vanguard, Espresso</t>
  </si>
  <si>
    <t>Extra Dip, The Catalyst, The Full House Nachos (Veg), The Melty Mischief</t>
  </si>
  <si>
    <t>Cinnamon Hot Chocolate, Classic Hot Chocolate, Hot Americano, Iced Americano, Iced Mocha, Middle-East Meetup</t>
  </si>
  <si>
    <t>Cappuccino, Tex-Mex Bowl With Cottage Cheese (V)</t>
  </si>
  <si>
    <t>Chicken Conqueror Burger, Flat White, Grilled Chicken</t>
  </si>
  <si>
    <t>Avacado Dip, Classic Lemon Ice Tea, Extra Dip, Tex-Mex Bowl Grilled Chicken, Truffle Mushroom Arancini</t>
  </si>
  <si>
    <t>Asian Bowl Hot Garlic Stir Fry Chicken, Ginger Cookie, Spicy Chicken Tenders</t>
  </si>
  <si>
    <t>Cappuccino, Roasted Tomato &amp; Basil</t>
  </si>
  <si>
    <t>Roasted Tomato &amp; Basil</t>
  </si>
  <si>
    <t>Classic Lemon Ice Tea, Iced Americano, Truffle And Parmesan Crispy Scouts</t>
  </si>
  <si>
    <t>Avocado Vanguard, Banana Walnut Teacakes, Cappuccino, Extra Sourdough Bread, Masala Egg Bhurji</t>
  </si>
  <si>
    <t>Classic Bombay Maestro Sandwich, Grilled Chicken, Matcha Latte, Thukpa Chicken</t>
  </si>
  <si>
    <t>Espresso Tiramisu, New York Baked Cheese Cake</t>
  </si>
  <si>
    <t>Avocado Vanguard, Classical Chicken Stroganoff</t>
  </si>
  <si>
    <t>Brown Butter Latte, Chicken &amp; Cheese On Toast, Spicy Chicken Tenders, The Chlorophyll Mage</t>
  </si>
  <si>
    <t>Butter Garlic Prawns With Sourdough, Cappuccino, Egg French Omelette, Grilled Chicken</t>
  </si>
  <si>
    <t>Dine In (SANCHIT)</t>
  </si>
  <si>
    <t>Burnt Garlic &amp; Cauliflower, Cappuccino, Creamy Pesto</t>
  </si>
  <si>
    <t>Dine In (LAKSHIT)</t>
  </si>
  <si>
    <t>Creamy Pesto, Salsa Rose, Stained Sagrada</t>
  </si>
  <si>
    <t>Classic Bombay Maestro Sandwich, Gaming Charges (1_hr), Golden Tiramisu, Mana Mint, Mushroom Alfredo</t>
  </si>
  <si>
    <t>Middle-East Meetup</t>
  </si>
  <si>
    <t>The Bruschetta Bards</t>
  </si>
  <si>
    <t>Gaming Charges (1_hr)</t>
  </si>
  <si>
    <t>Dine In (pranab)</t>
  </si>
  <si>
    <t>pranab</t>
  </si>
  <si>
    <t>Gaming Charges (1_hr), Mushroom Alfredo</t>
  </si>
  <si>
    <t>Cappuccino, New York Baked Cheese Cake</t>
  </si>
  <si>
    <t>Dine In (JAY)</t>
  </si>
  <si>
    <t>Extra Garlic Bread, Secret Mocha, Turn Over</t>
  </si>
  <si>
    <t>Dine In (adit)</t>
  </si>
  <si>
    <t>adit</t>
  </si>
  <si>
    <t>Classic Wrdges Warriors, Gaming Charges (1_hr), Rainbow Roll Pizza, The Full House Nachos (Veg)</t>
  </si>
  <si>
    <t>Dine In (RANJEET)</t>
  </si>
  <si>
    <t>Cafe Latte, Grilled Chicken</t>
  </si>
  <si>
    <t>Dine In (TANIKSHA)</t>
  </si>
  <si>
    <t>Classic Margherita Pizza, London Fog, Peri Peri Crispy Scouts</t>
  </si>
  <si>
    <t>Burrata Baron Pizza, Cappuccino</t>
  </si>
  <si>
    <t>Avocado Vanguard, Classic Hot Chocolate, London Fog, Pesto Sandwich, Tiramisu Hot Chocolate, Water Bottle</t>
  </si>
  <si>
    <t>Avocado Vanguard, Thukpa Vegan</t>
  </si>
  <si>
    <t>Banana Walnut Teacakes, Cafe Latte, Iced Mocha</t>
  </si>
  <si>
    <t>Aglio Olio, Mushroom Marauders Bruschetta, Tex-Mex Bowl With Cottage Cheese (V)</t>
  </si>
  <si>
    <t>Cafe Latte, Classic Margherita Pizza, Classic Pancakes</t>
  </si>
  <si>
    <t>Cafe Latte, Mushroom Alfredo, Rainbow Roll Pizza</t>
  </si>
  <si>
    <t>Claasic Cold Coffee, Tex-Mex Bowl With Cottage Cheese (V)</t>
  </si>
  <si>
    <t>Brownie With Ice Cream, Crimson Hex, Grilled Chicken, Water Bottle</t>
  </si>
  <si>
    <t>Creamy Pesto, Middle-East Meetup, Pinefire, Truffle Mushroom Arancini</t>
  </si>
  <si>
    <t>Creamy Pesto, Mushroom Alfredo, Tex-Mex Bowl With Cottage Cheese (V), Truffle And Parmesan Crispy Scouts</t>
  </si>
  <si>
    <t>Golden Tiramisu, Mushroom Alfredo, Tokyo Godzilla Frappe, Truffle And Parmesan Crispy Scouts</t>
  </si>
  <si>
    <t>Egg French Omelette, Roasted Tomato &amp; Basil</t>
  </si>
  <si>
    <t>Cafe Latte, Cafe Mocha, Cappuccino, Grilled Fish</t>
  </si>
  <si>
    <t>Hot Americano, Iced Americano, Spicy Chicken Tenders</t>
  </si>
  <si>
    <t>Dine In (radhika mem)</t>
  </si>
  <si>
    <t>Cottage Cheese Steak</t>
  </si>
  <si>
    <t>Dine In (VISAKHA)</t>
  </si>
  <si>
    <t>VISAKHA</t>
  </si>
  <si>
    <t>Avocado Vanguard, Cinnamon Hot Chocolate, Rainbow Roll Pizza, Salsa Rose, Tex-Mex Bowl Grilled Chicken</t>
  </si>
  <si>
    <t>Dine In (FOOD BLOGGER)</t>
  </si>
  <si>
    <t>PHOTO SURT</t>
  </si>
  <si>
    <t>Honey Cinnamon Cold Brew, Ratatouille Bunny Chow</t>
  </si>
  <si>
    <t>Dine In (MR sidhart sir)</t>
  </si>
  <si>
    <t>MR sidhart sir</t>
  </si>
  <si>
    <t>Chicken &amp; Cheese On Toast, Chicken Stroganoff Bunnychow, Honey Cinnamon Cold Brew, Iced Americano, Salsa Rose, Stained Sagrada, The Full House Nachos (Veg)</t>
  </si>
  <si>
    <t>Aglio Olio, Avocado Vanguard, Classic Wrdges Warriors, Honey Cinnamon Cold Brew, New York Baked Cheese Cake, The Feta Scribe</t>
  </si>
  <si>
    <t>Dine In (arpit)</t>
  </si>
  <si>
    <t>Mana Mint</t>
  </si>
  <si>
    <t>Dine In (dhruv)</t>
  </si>
  <si>
    <t>Peri Peri Crispy Scouts</t>
  </si>
  <si>
    <t>Arrabbiata Ambush, Classical Chicken Stroganoff, Creamy Pesto, Crimson Hex, Pinefire</t>
  </si>
  <si>
    <t>Avocado Vanguard, Brown Butter Latte, Hot Americano, Water Bottle</t>
  </si>
  <si>
    <t>Dine In (rishab)</t>
  </si>
  <si>
    <t>Dine In (LAKSHAY)</t>
  </si>
  <si>
    <t>Creamy Pesto, Oink Oink  (pepperoni ) Pizza, Stained Sagrada</t>
  </si>
  <si>
    <t>Dine In (TRIPTI)</t>
  </si>
  <si>
    <t>Thukpa Chicken</t>
  </si>
  <si>
    <t>Dine In (megha)</t>
  </si>
  <si>
    <t>Dine In (jay)</t>
  </si>
  <si>
    <t>Cappuccino, Middle-East Meetup</t>
  </si>
  <si>
    <t>Dine In (rakesh)</t>
  </si>
  <si>
    <t>Chicken Stroganoff Bunnychow, Cream Of Chicken &amp; Leek</t>
  </si>
  <si>
    <t>Dine In (TARAN)</t>
  </si>
  <si>
    <t>Classic Lemon Ice Tea, Sour Cream And Onion Crispy Scouts</t>
  </si>
  <si>
    <t>Dine In (YES)</t>
  </si>
  <si>
    <t>Classic Margherita Pizza</t>
  </si>
  <si>
    <t>Dine In (KARAN)</t>
  </si>
  <si>
    <t>Arrabbiata Ambush</t>
  </si>
  <si>
    <t>Dine In (VIKASH)</t>
  </si>
  <si>
    <t>Claasic Cold Coffee, Classic Crispy Scouts, Mushroom Alfredo, Rainbow Roll Pizza</t>
  </si>
  <si>
    <t>Dine In (paaras)</t>
  </si>
  <si>
    <t>Biscoff Shake</t>
  </si>
  <si>
    <t>Dine In (krish)</t>
  </si>
  <si>
    <t>Cappuccino, Grilled Fish, Pesto Sandwich</t>
  </si>
  <si>
    <t>Dine In (sivangi)</t>
  </si>
  <si>
    <t>sivangi</t>
  </si>
  <si>
    <t>Classic Crispy Scouts, Classic Hot Chocolate, Mushroom Alfredo</t>
  </si>
  <si>
    <t>Jackfruit Jester Burger, Mushroom Alfredo, Tex-Mex Bowl With Cottage Cheese (V)</t>
  </si>
  <si>
    <t>Dine In (bahar ka order)</t>
  </si>
  <si>
    <t>Chicken &amp; Cheese On Toast, Claasic Cold Coffee, Classic Margherita Pizza</t>
  </si>
  <si>
    <t>Dine In (SHRUTI)</t>
  </si>
  <si>
    <t>Classic Bombay Maestro Sandwich, Classic Garlic Gambit, Classic Hot Chocolate, Middle-East Meetup, Secret Mocha</t>
  </si>
  <si>
    <t>Dine In (ranjeet)</t>
  </si>
  <si>
    <t>ranjeet</t>
  </si>
  <si>
    <t>Cafe Latte, Grilled Fish</t>
  </si>
  <si>
    <t>Dine In (aakash)</t>
  </si>
  <si>
    <t>Cappuccino, Mushroom Alfredo, Pesto Sandwich</t>
  </si>
  <si>
    <t>Dine In (NEHA)</t>
  </si>
  <si>
    <t>Cafe Latte</t>
  </si>
  <si>
    <t>Dine In (tapan)</t>
  </si>
  <si>
    <t>Espresso Tiramisu, New Classic Hot Chocolate, Thukpa Vegan, Vanilla And Cocoa Marble Teacakes</t>
  </si>
  <si>
    <t>Classic Bombay Maestro Sandwich, Peri Peri Cottage Cheese Pizza, Phoenix Berry, Salsa Rose, The Bruschetta Bards, Truffle Mushroom Arancini</t>
  </si>
  <si>
    <t>Dine In (akshay)</t>
  </si>
  <si>
    <t>Banana Caramel Waffles, Captain Fish Fingers, Crimson Hex, Hot Americano, Pistachio Latte, Sour Cream And Onion Wrdges Warriors, The Catalyst, Thukpa Chicken</t>
  </si>
  <si>
    <t>Aglio Olio, Sour Cream And Onion Crispy Scouts</t>
  </si>
  <si>
    <t>Buffalo Chicken Wings With Ranch Dip, Captain Fish Fingers, Classic Hot Chocolate, North Sea Storm, Peri Peri Crispy Scouts</t>
  </si>
  <si>
    <t>Aglio Olio, Claasic Cold Coffee</t>
  </si>
  <si>
    <t>Burnt Garlic &amp; Cauliflower, Truffle Mushroom Arancini</t>
  </si>
  <si>
    <t>Cafe Mocha, Mushroom Marauders Bruschetta</t>
  </si>
  <si>
    <t>Dine In (GEETIKA)</t>
  </si>
  <si>
    <t>Mushroom Alfredo, Semolina And Pistachio Teacakes, Sour Cream And Onion Crispy Scouts</t>
  </si>
  <si>
    <t>Biscoff Shake, Secret Mocha</t>
  </si>
  <si>
    <t>Classic Hot Chocolate, Peri Peri Crispy Scouts, Rainbow Roll Pizza, Roasted Tomato &amp; Basil</t>
  </si>
  <si>
    <t>Captain Fish Fingers, Classic Garlic Gambit, Classic Hot Chocolate, Egg French Omelette, Ice Latte, Iced Mocha</t>
  </si>
  <si>
    <t>Dine In (9)</t>
  </si>
  <si>
    <t>Cappuccino, Lebanese Chicken Pizza</t>
  </si>
  <si>
    <t>Cappuccino, Chicken &amp; Cheese On Toast, Cream Of Chicken &amp; Leek</t>
  </si>
  <si>
    <t>Cappuccino, Classic Garlic Gambit, Iced Coconut Oat Matcha Latte</t>
  </si>
  <si>
    <t>Dine In (garden)</t>
  </si>
  <si>
    <t>Hot Americano, Secret Mocha</t>
  </si>
  <si>
    <t>New Classic Hot Chocolate, Rainbow Roll Pizza, Tiramisu Hot Chocolate</t>
  </si>
  <si>
    <t>Dine In (sinilika)</t>
  </si>
  <si>
    <t>sinilika</t>
  </si>
  <si>
    <t>Cappuccino, Rainbow Roll Pizza, Tiramisu Hot Chocolate, Water Bottle</t>
  </si>
  <si>
    <t>Mushroom Alfredo</t>
  </si>
  <si>
    <t>Cappuccino, Grilled Meaty Maverick, Peri Peri Cottage Cheese Pizza</t>
  </si>
  <si>
    <t>Phoenix Berry, Salsa Rose</t>
  </si>
  <si>
    <t>Classic Hot Chocolate, Garlic Pepper Chicken Pizza, Spicy Chicken Tenders</t>
  </si>
  <si>
    <t>Creamy Pesto, Pesto Sandwich</t>
  </si>
  <si>
    <t>Dine In (unati)</t>
  </si>
  <si>
    <t>unati</t>
  </si>
  <si>
    <t>Roasted Tomato &amp; Basil, Salsa Rose, Veg Quesadilla</t>
  </si>
  <si>
    <t>Cafe Mocha, Crimson Hex, Peri Peri Crispy Scouts, Salsa Rose, The Bruschetta Bards</t>
  </si>
  <si>
    <t>Brown Butter Latte, Captain Fish Fingers, Egg French Omelette, Jackfruit Jester Burger, Mana Mint, Red Knight</t>
  </si>
  <si>
    <t>Dine In (umesh)</t>
  </si>
  <si>
    <t>umesh</t>
  </si>
  <si>
    <t>Cafe Mocha, Middle-East Meetup</t>
  </si>
  <si>
    <t>Aurora Engine, Buffalo Chicken Wings With Ranch Dip, Grilled Chicken, Iced Americano, Iced Mocha</t>
  </si>
  <si>
    <t>Aglio Olio, Brown Butter Latte, Classic Hot Chocolate, Classic Margherita Pizza, Lebanese Chicken Pizza, Pinefire</t>
  </si>
  <si>
    <t>Total : 5082.00</t>
  </si>
  <si>
    <t>Cappuccino, Classic Hot Chocolate, Extra Prawns, Grilled Chicken</t>
  </si>
  <si>
    <t>Classic Hot Chocolate, Mushroom Marauders Bruschetta</t>
  </si>
  <si>
    <t>Cappuccino, Classic Hot Chocolate, Cookies - Cookie Of The Week, Extra Prawns, Ginger Cookie, Grilled Chicken</t>
  </si>
  <si>
    <t>Brown Butter Latte, Grilled Meaty Maverick, Mushroom Alfredo</t>
  </si>
  <si>
    <t>Brownie With Ice Cream, Chicken Stroganoff Bunnychow, Grilled Chicken, Roasted Tomato &amp; Basil, Thukpa Chicken</t>
  </si>
  <si>
    <t>Dine In (PARTIK)</t>
  </si>
  <si>
    <t>New Classic Hot Chocolate</t>
  </si>
  <si>
    <t>Cappuccino, Peri Peri Crispy Scouts</t>
  </si>
  <si>
    <t>Dine In (NIKHIL)</t>
  </si>
  <si>
    <t>Secret Mocha</t>
  </si>
  <si>
    <t>Dine In (SNEHA)</t>
  </si>
  <si>
    <t>Cream Of Chicken &amp; Leek</t>
  </si>
  <si>
    <t>Aglio Olio, Burrata Baron Pizza, Classic Hot Chocolate, Middle-East Meetup</t>
  </si>
  <si>
    <t>Aglio Olio, Chicken Conqueror Burger, Roasted Tomato &amp; Basil</t>
  </si>
  <si>
    <t>Dine In (SHAKHINA)</t>
  </si>
  <si>
    <t>Mushroom Alfredo, Tex-Mex Bowl Grilled Chicken</t>
  </si>
  <si>
    <t>Classic Hot Chocolate, The Bruschetta Bards, Tiramisu Hot Chocolate, Veg Quesadilla</t>
  </si>
  <si>
    <t>Ginger Cookie, Pistachio Latte, The Full House Nachos (Veg)</t>
  </si>
  <si>
    <t>Classic Margherita Pizza, Ginger Cookie, New Classic Hot Chocolate</t>
  </si>
  <si>
    <t>Dine In (anurag)</t>
  </si>
  <si>
    <t>Classic, Classic Bombay Maestro Sandwich, Extra Sourdough Bread, Spicy Chicken Tenders</t>
  </si>
  <si>
    <t>mr ankit m3m</t>
  </si>
  <si>
    <t>Avocado Vanguard, Classic Crispy Scouts, Grilled Meaty Maverick</t>
  </si>
  <si>
    <t>Avocado Vanguard, Brown Butter Latte, The Catalyst</t>
  </si>
  <si>
    <t>Brown Butter Latte, Cappuccino, Classic Margherita Pizza, Truffle And Parmesan Crispy Scouts</t>
  </si>
  <si>
    <t>Dine In (35)</t>
  </si>
  <si>
    <t>Cappuccino, Extra Dip, Peri Peri Crispy Scouts, Pistachio Latte, The Full House Nachos (Veg)</t>
  </si>
  <si>
    <t>Grilled Meaty Maverick, Pistachio Latte</t>
  </si>
  <si>
    <t>Phoenix Berry</t>
  </si>
  <si>
    <t>Brownie With Ice Cream, Coconut Noir, New York Baked Cheese Cake, Tex-Mex Bowl Grilled Chicken</t>
  </si>
  <si>
    <t>Creamy Pesto, Grilled Meaty Maverick</t>
  </si>
  <si>
    <t>Dine In (SIDHANT SIR)</t>
  </si>
  <si>
    <t>Chicken &amp; Cheese On Toast, Extra Prawns, Grilled Chicken, Wild Berry Stuffed French Toast</t>
  </si>
  <si>
    <t>Dine In (dev chef)</t>
  </si>
  <si>
    <t>Extra Chicken, Ginger Cookie, Semolina And Pistachio Teacakes, Super Green Risotto</t>
  </si>
  <si>
    <t>Classic Hot Chocolate, New York Baked Cheese Cake</t>
  </si>
  <si>
    <t>Dine In (avind)</t>
  </si>
  <si>
    <t>Chicken Stroganoff Bunnychow, Crimson Hex, Tex-Mex Bowl With Cottage Cheese (V)</t>
  </si>
  <si>
    <t>Dine In (anmol)</t>
  </si>
  <si>
    <t>Brown Butter Latte, Gaming Charges (1_hr)</t>
  </si>
  <si>
    <t>Cappuccino, Chicken &amp; Cheese On Toast, Chicken Stroganoff Bunnychow, Cinnamon Hot Chocolate, Peri Peri Crispy Scouts</t>
  </si>
  <si>
    <t>Extra Dip, Extra Vegetables, Jackfruit Jester Burger, Peri Peri Crispy Scouts, Salsa Rose, Veg Quesadilla</t>
  </si>
  <si>
    <t>Total : 1850.00</t>
  </si>
  <si>
    <t>Espresso Tiramisu, Thukpa Vegan</t>
  </si>
  <si>
    <t>Dine In (20)</t>
  </si>
  <si>
    <t>Chicken &amp; Cheese On Toast, Classic Hot Chocolate, Peri Peri Crispy Scouts</t>
  </si>
  <si>
    <t>Cafe Mocha, Grilled Chicken, Mushroom Alfredo, Rainbow Roll Pizza, Truffle Mushroom Arancini</t>
  </si>
  <si>
    <t>Dine In (8)</t>
  </si>
  <si>
    <t>Captain Fish Fingers, Lebanese Chicken Pizza</t>
  </si>
  <si>
    <t>Burnt Garlic &amp; Cauliflower</t>
  </si>
  <si>
    <t>Semolina And Pistachio Teacakes, Sour Cream And Onion Crispy Scouts, Tex-Mex Bowl With Cottage Cheese (V), Thukpa Vegan</t>
  </si>
  <si>
    <t>Cafe Mocha, Espresso, Ice Latte, Mushroom Alfredo, Rainbow Roll Pizza</t>
  </si>
  <si>
    <t>Classic Lemon Ice Tea, Oink Oink  (pepperoni ) Pizza</t>
  </si>
  <si>
    <t>Banana Caramel Stuffed French Toast, Cappuccino, Extra Chicken, Extra Vegetables, Ginger Cookie, Grilled Chicken</t>
  </si>
  <si>
    <t>Cinnamon Hot Chocolate, New Classic Hot Chocolate, Peri Peri Crispy Scouts</t>
  </si>
  <si>
    <t>Aurora Engine, Brown Butter Latte, Claasic Cold Coffee, Grilled Chicken, Water Bottle</t>
  </si>
  <si>
    <t>Classic Hot Chocolate, Classic Vanilla Stuffed French Toast, Grilled Chicken, Pistachio Latte</t>
  </si>
  <si>
    <t>Pinefire, Stained Sagrada, Truffle Mushroom Arancini</t>
  </si>
  <si>
    <t>Classic Margherita Pizza, Extra Burrata, Tex-Mex Bowl With Cottage Cheese (V)</t>
  </si>
  <si>
    <t>Brown Butter Latte, Classic Bombay Maestro Sandwich, Golden Tiramisu, Iced Americano, Roasted Tomato &amp; Basil</t>
  </si>
  <si>
    <t>Avocado Vanguard, Roasted Tomato &amp; Basil, Salsa Rose, The Full House Nachos (Veg)</t>
  </si>
  <si>
    <t>Cafe Latte, Hot Americano</t>
  </si>
  <si>
    <t>Cafe Latte, Flat White, Pesto Sandwich</t>
  </si>
  <si>
    <t>Flat White, The Bruschetta Bards</t>
  </si>
  <si>
    <t>Aurora Engine, Brown Butter Latte, Chicken &amp; Cheese On Toast</t>
  </si>
  <si>
    <t>Buffalo Chicken Wings With Ranch Dip, Classic Lemon Ice Tea, Golden Tiramisu, Mushroom Alfredo</t>
  </si>
  <si>
    <t>Dine In (SIDHANT)</t>
  </si>
  <si>
    <t>Cappuccino, Sour Cream And Onion Crispy Scouts</t>
  </si>
  <si>
    <t>Buffalo Chicken Wings With Ranch Dip</t>
  </si>
  <si>
    <t>Classic Hot Chocolate, Classic Vanilla Stuffed French Toast, Extra Chicken, Pesto Sandwich</t>
  </si>
  <si>
    <t>Dine In (2KRISSH)</t>
  </si>
  <si>
    <t>Classic Hot Chocolate, Classical Chicken Stroganoff, Peri Peri Crispy Scouts, Tex-Mex Bowl With Cottage Cheese (V)</t>
  </si>
  <si>
    <t>Classic Lemon Ice Tea, Egg French Omelette</t>
  </si>
  <si>
    <t>Dine In (AAYUSH)</t>
  </si>
  <si>
    <t>Thukpa Vegan</t>
  </si>
  <si>
    <t>VIPUL</t>
  </si>
  <si>
    <t>Dine In (HARSIT)</t>
  </si>
  <si>
    <t>Dine In (apurva)</t>
  </si>
  <si>
    <t>Cafe Latte, Roasted Tomato &amp; Basil</t>
  </si>
  <si>
    <t>Dine In (3arshita)</t>
  </si>
  <si>
    <t>Dine In (gagan)</t>
  </si>
  <si>
    <t>Cappuccino, The Full House Nachos (Veg)</t>
  </si>
  <si>
    <t>Dine In (AKANSHA)</t>
  </si>
  <si>
    <t>Brown Butter Latte, Pesto Sandwich</t>
  </si>
  <si>
    <t>Dine In (sakashi)</t>
  </si>
  <si>
    <t>Dine In (pertham)</t>
  </si>
  <si>
    <t>Peri Peri Crispy Scouts, Sour Cream And Onion Wrdges Warriors</t>
  </si>
  <si>
    <t>Dine In (mayur)</t>
  </si>
  <si>
    <t>Burnt Garlic &amp; Cauliflower, Mushroom Alfredo, Roasted Tomato &amp; Basil</t>
  </si>
  <si>
    <t>Dine In (Soham)</t>
  </si>
  <si>
    <t>soham</t>
  </si>
  <si>
    <t>Wild Berry Stuffed French Toast</t>
  </si>
  <si>
    <t>Brownie With Ice Cream, Cafe Mocha</t>
  </si>
  <si>
    <t>The Catalyst</t>
  </si>
  <si>
    <t>Dine In (sruthi)</t>
  </si>
  <si>
    <t>sruthi</t>
  </si>
  <si>
    <t>Grilled Vegetables, Peri Peri Wrdges Warriors, Secret Mocha, Tokyo Godzilla Frappe</t>
  </si>
  <si>
    <t>Dine In (SONALI)</t>
  </si>
  <si>
    <t>Cafe Mocha, Sour Cream And Onion Crispy Scouts</t>
  </si>
  <si>
    <t>Dine In (rajen)</t>
  </si>
  <si>
    <t>rajen</t>
  </si>
  <si>
    <t>Banana Walnut Teacakes, Cappuccino, Classic Lemon Ice Tea, Secret Mocha</t>
  </si>
  <si>
    <t>Dine In (abhijeet)</t>
  </si>
  <si>
    <t>Brown Butter Latte, Cappuccino, Classic Lemon Ice Tea</t>
  </si>
  <si>
    <t>Cafe Mocha, Peri Peri Wrdges Warriors</t>
  </si>
  <si>
    <t>Dine In (richa)</t>
  </si>
  <si>
    <t>Banana Caramel Waffles, Burnt Garlic &amp; Cauliflower, Middle-East Meetup</t>
  </si>
  <si>
    <t>Brown Butter Latte, The Bruschetta Bards, The Full House Nachos (Veg)</t>
  </si>
  <si>
    <t>Claasic Cold Coffee</t>
  </si>
  <si>
    <t>Dine In (POOJA)</t>
  </si>
  <si>
    <t>POOJA</t>
  </si>
  <si>
    <t>Banana Walnut Teacakes, Brown Butter Latte, Secret Mocha</t>
  </si>
  <si>
    <t>Dine In (VIVEK)</t>
  </si>
  <si>
    <t>VIVEK</t>
  </si>
  <si>
    <t>Cappuccino, Egg French Omelette</t>
  </si>
  <si>
    <t>Cappuccino, Classic Crispy Scouts, Classic Garlic Gambit, Tiramisu Hot Chocolate</t>
  </si>
  <si>
    <t>Dine In (AISHAN)</t>
  </si>
  <si>
    <t>AISHAN</t>
  </si>
  <si>
    <t>Brown Butter Latte, Buffalo Chicken Wings With Ranch Dip, Chicken Conqueror Burger, Classic Lemon Ice Tea</t>
  </si>
  <si>
    <t>Avocado Vanguard, Secret Mocha, The Catalyst</t>
  </si>
  <si>
    <t>Dine In (SONAL)</t>
  </si>
  <si>
    <t>Dine In (ANUBHAV)</t>
  </si>
  <si>
    <t>Dine In (BIRTHDAY PARTY)</t>
  </si>
  <si>
    <t>Birthday Game Charge, Biscoff Shake, Cappuccino, Jackfruit Jester Burger, Middle-East Meetup, Party Menu 65, Water Bottle</t>
  </si>
  <si>
    <t>Cappuccino, Chicken Quesadilla, Mushroom Alfredo, Peri Peri Cottage Cheese Pizza, Thukpa Chicken, Tiramisu Hot Chocolate</t>
  </si>
  <si>
    <t>Hot Americano, Roasted Tomato &amp; Basil</t>
  </si>
  <si>
    <t>Brown Butter Latte, Egg French Omelette, Extra Oat Milk</t>
  </si>
  <si>
    <t>Banana Walnut Teacakes, Classic Hot Chocolate, Espresso Tiramisu, Masala Egg Bhurji</t>
  </si>
  <si>
    <t>Banana Caramel Waffles, Hot Americano</t>
  </si>
  <si>
    <t>Avocado Vanguard, Brownie With Ice Cream</t>
  </si>
  <si>
    <t>Classic Lemon Ice Tea, Grilled Meaty Maverick</t>
  </si>
  <si>
    <t>Classic Hot Chocolate, Garlic Pepper Chicken Pizza, Iced Coconut Oat Matcha Latte, Red Knight</t>
  </si>
  <si>
    <t>Butter Garlic Prawns With Sourdough, Cafe Latte, Cafe Mocha, Cappuccino, Chicken &amp; Cheese On Toast, Classic Hot Chocolate</t>
  </si>
  <si>
    <t>Cream Of Chicken &amp; Leek, Peri Peri Wrdges Warriors, Roasted Tomato &amp; Basil</t>
  </si>
  <si>
    <t>Dine In (ARPIT)</t>
  </si>
  <si>
    <t>Burnt Garlic &amp; Cauliflower, Ginger Cookie, Middle-East Meetup, Peri Peri Crispy Scouts</t>
  </si>
  <si>
    <t>Dine In (DAV)</t>
  </si>
  <si>
    <t>DAV</t>
  </si>
  <si>
    <t>Ginger Cookie, Tex-Mex Bowl Grilled Chicken</t>
  </si>
  <si>
    <t>Dine In (ANIRUDH)</t>
  </si>
  <si>
    <t>Peri Peri Wrdges Warriors</t>
  </si>
  <si>
    <t>Dine In (SOHAM)</t>
  </si>
  <si>
    <t>Classical Chicken Stroganoff</t>
  </si>
  <si>
    <t>Dine In (ANMOL)</t>
  </si>
  <si>
    <t>Chicken Conqueror Burger</t>
  </si>
  <si>
    <t>JATIN</t>
  </si>
  <si>
    <t>Chicken Conqueror Burger, Chicken Stroganoff Bunnychow</t>
  </si>
  <si>
    <t>Dine In (ABHAS)</t>
  </si>
  <si>
    <t>ABHAS</t>
  </si>
  <si>
    <t>Caesar Commander</t>
  </si>
  <si>
    <t>YES</t>
  </si>
  <si>
    <t>Dine In (nikhil)</t>
  </si>
  <si>
    <t>nikhil</t>
  </si>
  <si>
    <t>Chicken Stroganoff Bunnychow</t>
  </si>
  <si>
    <t>Dine In (RONAK)</t>
  </si>
  <si>
    <t>Brown Butter Latte, Mushroom Marauders Bruschetta, Peri Peri Crispy Scouts, Thukpa Vegan</t>
  </si>
  <si>
    <t>ARPIT</t>
  </si>
  <si>
    <t>Brown Butter Latte, Peri Peri Crispy Scouts, Rainbow Roll Pizza</t>
  </si>
  <si>
    <t>Dine In (KIRTNA)</t>
  </si>
  <si>
    <t>Dine In (reva)</t>
  </si>
  <si>
    <t>Aglio Olio, Burnt Garlic &amp; Cauliflower, Sour Cream And Onion Crispy Scouts</t>
  </si>
  <si>
    <t>Dine In (venit)</t>
  </si>
  <si>
    <t>Classic Bombay Maestro Sandwich, Mushroom Alfredo, Thukpa Vegan</t>
  </si>
  <si>
    <t>Burnt Garlic &amp; Cauliflower, Creamy Pesto, Rainbow Roll Pizza</t>
  </si>
  <si>
    <t>Lebanese Chicken Pizza, Spicy Chicken Tenders, Truffle And Parmesan Crispy Scouts</t>
  </si>
  <si>
    <t>Total : 1087.00</t>
  </si>
  <si>
    <t>Dine In (SHANIYA)</t>
  </si>
  <si>
    <t>Rainbow Roll Pizza, Truffle Mushroom Arancini</t>
  </si>
  <si>
    <t>Dine In (PARTH)</t>
  </si>
  <si>
    <t>Egg French Omelette</t>
  </si>
  <si>
    <t>Dine In (RAHUL)</t>
  </si>
  <si>
    <t>RAHUL</t>
  </si>
  <si>
    <t>Brown Butter Latte, Pinefire</t>
  </si>
  <si>
    <t>Dine In (AAKASH)</t>
  </si>
  <si>
    <t>Ratatouille Bunny Chow, Thukpa Vegan, Truffle Mushroom Arancini</t>
  </si>
  <si>
    <t>Tex-Mex Bowl Grilled Chicken, The Full House Nachos (Veg)</t>
  </si>
  <si>
    <t>KRISSH</t>
  </si>
  <si>
    <t>Butter Garlic Prawns With Sourdough, Cappuccino, Grilled Chicken</t>
  </si>
  <si>
    <t>Dine In (SUTHI)</t>
  </si>
  <si>
    <t>SUTHI</t>
  </si>
  <si>
    <t>Cafe Mocha, Chicken &amp; Cheese On Toast</t>
  </si>
  <si>
    <t>Dine In (GOUTUM)</t>
  </si>
  <si>
    <t>GOUTUM</t>
  </si>
  <si>
    <t>sruti</t>
  </si>
  <si>
    <t>Dine In (dheeraj)</t>
  </si>
  <si>
    <t>Aglio Olio, Carbonated Water, Classic Margherita Pizza, Grilled Meaty Maverick</t>
  </si>
  <si>
    <t>Dine In (GAURAV)</t>
  </si>
  <si>
    <t>GAURAV</t>
  </si>
  <si>
    <t>Avocado Vanguard, Chicken &amp; Cheese On Toast, Cream Of Chicken &amp; Leek, Garlic Pepper Chicken Pizza, Roasted Tomato &amp; Basil</t>
  </si>
  <si>
    <t>Dine In (KUSH)</t>
  </si>
  <si>
    <t>KUSH</t>
  </si>
  <si>
    <t>Brown Butter Latte, Buffalo Chicken Wings With Ranch Dip, Chicken Quesadilla, New Classic Hot Chocolate, Peri Peri Crispy Scouts</t>
  </si>
  <si>
    <t>Dine In (RAJ)</t>
  </si>
  <si>
    <t>Classic Lemon Ice Tea, Classic Margherita Pizza, Mushroom Marauders Bruschetta, Thukpa Chicken</t>
  </si>
  <si>
    <t>Cappuccino, Classic Garlic Gambit, Classic Hot Chocolate</t>
  </si>
  <si>
    <t>Dine In (PRIYANSHI)</t>
  </si>
  <si>
    <t>PRITANSHI</t>
  </si>
  <si>
    <t>Rainbow Roll Pizza, Water Bottle</t>
  </si>
  <si>
    <t>Dine In (SWATI)</t>
  </si>
  <si>
    <t>SWATI</t>
  </si>
  <si>
    <t>Chicken Conqueror Burger, Chicken Quesadilla, Phoenix Berry, Pinefire, Rainbow Roll Pizza</t>
  </si>
  <si>
    <t>Classic Crispy Scouts, Classic Hot Chocolate, Lebanese Chicken Pizza</t>
  </si>
  <si>
    <t>Classic, Extra Sourdough Bread, Thukpa Vegan</t>
  </si>
  <si>
    <t>Dine In (dipali)</t>
  </si>
  <si>
    <t>dipali</t>
  </si>
  <si>
    <t>Buffalo Chicken Wings With Ranch Dip, Cafe Latte, Thukpa Chicken</t>
  </si>
  <si>
    <t>Avocado Vanguard, Brown Butter Latte, Cappuccino, Classic Hot Chocolate, Grilled Meaty Maverick, Water Bottle</t>
  </si>
  <si>
    <t>Flat White, Pesto Sandwich, Ratatouille Bunny Chow, Sunny Side Up</t>
  </si>
  <si>
    <t>Chicken Sausages (Nv) 2, Classic Hot Chocolate, Creamy Pesto, Egg French Omelette, Espresso Tiramisu, Extra Garlic Bread, Grilled Meaty Maverick, Ice Latte</t>
  </si>
  <si>
    <t>Salsa Rose</t>
  </si>
  <si>
    <t>Espresso Tiramisu, Vanilla And Cocoa Marble Teacakes</t>
  </si>
  <si>
    <t>Total : 562.00</t>
  </si>
  <si>
    <t>Pesto Sandwich, Thukpa Chicken</t>
  </si>
  <si>
    <t>Iced Coconut Oat Matcha Latte</t>
  </si>
  <si>
    <t>Butter Garlic Prawns With Sourdough, Red Knight, Salsa Rose, Truffle And Parmesan Crispy Scouts</t>
  </si>
  <si>
    <t>Mushroom Alfredo, Pesto Sandwich, Thukpa Vegan, Water Bottle</t>
  </si>
  <si>
    <t>Biscoff Shake, Cafe Mocha, Classical Chicken Stroganoff, Rainbow Roll Pizza</t>
  </si>
  <si>
    <t>Avacado Dip, Cappuccino, Classic Hot Chocolate, London Fog, Pesto Sandwich, The Full House Nachos (Veg)</t>
  </si>
  <si>
    <t>Burnt Garlic &amp; Cauliflower, Roasted Tomato &amp; Basil</t>
  </si>
  <si>
    <t>Avocado Vanguard, Brown Butter Latte, Cafe Latte, Ice Latte, Masala Egg Bhurji, Red Dust Frappe, Secret Mocha, The Bruschetta Bards, The Catalyst</t>
  </si>
  <si>
    <t>Dine In (bunny)</t>
  </si>
  <si>
    <t>Classic Lemon Ice Tea, Flat White, The Full House Nachos (Veg), Water Bottle</t>
  </si>
  <si>
    <t>Classic Bombay Maestro Sandwich, Classic Hot Chocolate, Masala Egg Bhurji</t>
  </si>
  <si>
    <t>Brownie With Ice Cream, Carbonara</t>
  </si>
  <si>
    <t>Dine In (sunny)</t>
  </si>
  <si>
    <t>sunny</t>
  </si>
  <si>
    <t>Secret Mocha, The Bruschetta Bards</t>
  </si>
  <si>
    <t>Dine In (alokit)</t>
  </si>
  <si>
    <t>Garlic Pepper Chicken Pizza</t>
  </si>
  <si>
    <t>Banana Walnut Teacakes</t>
  </si>
  <si>
    <t>Dine In (jogi)</t>
  </si>
  <si>
    <t>Cappuccino, Classic Hot Chocolate, Creamy Pesto, Extra Oat Milk, Oink Oink  (pepperoni ) Pizza, Stained Sagrada</t>
  </si>
  <si>
    <t>Dine In (sulab)</t>
  </si>
  <si>
    <t>Stained Sagrada</t>
  </si>
  <si>
    <t>Dine In (kartik)</t>
  </si>
  <si>
    <t>Classic Lemon Ice Tea, Espresso Tiramisu, Stained Sagrada</t>
  </si>
  <si>
    <t>Dine In (taniya)</t>
  </si>
  <si>
    <t>Classic, Extra Oat Milk, Grilled Vegetables, London Fog</t>
  </si>
  <si>
    <t>Cafe Latte, Cafe Mocha, Peri Peri Wrdges Warriors</t>
  </si>
  <si>
    <t>Cinnamon Hot Chocolate</t>
  </si>
  <si>
    <t>Dine In (DAXITA)</t>
  </si>
  <si>
    <t>DAXITA</t>
  </si>
  <si>
    <t>Classic Hot Chocolate, Peri Peri Wrdges Warriors, Truffle And Parmesan Crispy Scouts, Truffle Mushroom Arancini</t>
  </si>
  <si>
    <t>Arrabbiata Ambush, Asian Bowl Hot Garlic Stir Fry Bean Curd, Extra Vegetables</t>
  </si>
  <si>
    <t>Captain Fish Fingers, Lebanese Chicken Pizza, Pinefire, Red Knight, Spicy Chicken Tenders, Stained Sagrada</t>
  </si>
  <si>
    <t>Avocado Vanguard, Classic Hot Chocolate, Flat White</t>
  </si>
  <si>
    <t>Butter Garlic Prawns With Sourdough, Cappuccino, Extra Dip, New Classic Hot Chocolate, Spicy Chicken Tenders, Truffle And Parmesan Crispy Scouts</t>
  </si>
  <si>
    <t>Brown Butter Latte, Cappuccino, The Full House Nachos (Veg), Truffle Mushroom Arancini</t>
  </si>
  <si>
    <t>Iced Coconut Oat Matcha Latte, North Sea Storm, Water Bottle</t>
  </si>
  <si>
    <t>Tex-Mex Bowl Grilled Chicken</t>
  </si>
  <si>
    <t>Chicken &amp; Cheese On Toast, Ginger Cookies, Grilled Meaty Maverick, Honey Cinnamon Cold Brew</t>
  </si>
  <si>
    <t>Dine In (soham)</t>
  </si>
  <si>
    <t>Cookies - Cookie Of The Week, The Full House Nachos (Veg)</t>
  </si>
  <si>
    <t>Dine In (radhika)</t>
  </si>
  <si>
    <t>radhika</t>
  </si>
  <si>
    <t>Chicken Conqueror Burger, Classic Hot Chocolate, Iced Coconut Oat Matcha Latte</t>
  </si>
  <si>
    <t>Dine In (Girisha)</t>
  </si>
  <si>
    <t>girisha</t>
  </si>
  <si>
    <t>Creamy Pesto, Espresso Tiramisu, Ice Latte, Stained Sagrada, The Full House Nachos (Chicken)</t>
  </si>
  <si>
    <t>Grilled Meaty Maverick</t>
  </si>
  <si>
    <t>Jackfruit Jester Burger, Thukpa Vegan</t>
  </si>
  <si>
    <t>Dine In (dharna)</t>
  </si>
  <si>
    <t>Avocado Vanguard, Classic Crispy Scouts, Rainbow Roll Pizza, Salsa Rose, The Bruschetta Bards, The Full House Nachos (Veg)</t>
  </si>
  <si>
    <t>Dine In (avinash)</t>
  </si>
  <si>
    <t>avinash</t>
  </si>
  <si>
    <t>Banana Walnut Teacakes, Rainbow Roll Pizza</t>
  </si>
  <si>
    <t>Dine In (khushal)</t>
  </si>
  <si>
    <t>khushal</t>
  </si>
  <si>
    <t>Sour Cream And Onion Wrdges Warriors</t>
  </si>
  <si>
    <t>Dine In (RISHAB)</t>
  </si>
  <si>
    <t>Cappuccino, Classic Lemon Ice Tea</t>
  </si>
  <si>
    <t>Dine In (sanjana)</t>
  </si>
  <si>
    <t>sanjana</t>
  </si>
  <si>
    <t>Extra Chicken, Grilled Meaty Maverick, Tex-Mex Bowl Grilled Chicken</t>
  </si>
  <si>
    <t>Chicken Sausages (Nv) 2, Classic, Extra Sourdough Bread</t>
  </si>
  <si>
    <t>Total : 574.00</t>
  </si>
  <si>
    <t>Dine In (nikita)</t>
  </si>
  <si>
    <t>nikita</t>
  </si>
  <si>
    <t>Brown Butter Latte, Salsa Rose, Secret Mocha, Truffle Mushroom Arancini</t>
  </si>
  <si>
    <t>Dine In (23)</t>
  </si>
  <si>
    <t>Banana Caramel Stuffed French Toast, Cappuccino, Espresso Tiramisu, Extra Oat Milk</t>
  </si>
  <si>
    <t>Burnt Garlic &amp; Cauliflower, Rainbow Roll Pizza, Sour Cream And Onion Wrdges Warriors</t>
  </si>
  <si>
    <t>Cappuccino, Ginger Cookies, Grilled Fish, Iced Americano</t>
  </si>
  <si>
    <t>Captain Fish Fingers, Peri Peri Crispy Scouts</t>
  </si>
  <si>
    <t>Buffalo Chicken Wings With Ranch Dip, Chicken Stroganoff Bunnychow</t>
  </si>
  <si>
    <t>Carbonara, Extra Bacon, Spicy Chicken Tenders</t>
  </si>
  <si>
    <t>Dine In (radikha)</t>
  </si>
  <si>
    <t>Classic, Classic Hot Chocolate, Espresso Tiramisu, Grilled Meaty Maverick, Iced Coconut Oat Matcha Latte, Matcha Latte</t>
  </si>
  <si>
    <t>Dine In (divanshu)</t>
  </si>
  <si>
    <t>Chicken Stroganoff Bunnychow, Secret Mocha</t>
  </si>
  <si>
    <t>Chicken Stroganoff Bunnychow, Hot Americano, Iced Americano, Pesto Sandwich</t>
  </si>
  <si>
    <t>Dine In (photo shoot)</t>
  </si>
  <si>
    <t>photo shoot</t>
  </si>
  <si>
    <t>Cinnamon Hot Chocolate, Classic Garlic Gambit</t>
  </si>
  <si>
    <t>Matcha Latte</t>
  </si>
  <si>
    <t>Cafe Latte, Cafe Mocha, Cream Of Chicken &amp; Leek, Creamy Pesto, Espresso Tiramisu, Secret Mocha, Tex-Mex Bowl With Cottage Cheese (V), Veg Quesadilla</t>
  </si>
  <si>
    <t>Classic Garlic Gambit, Espresso, Iced Coconut Oat Matcha Latte</t>
  </si>
  <si>
    <t>Classic Hot Chocolate, Ice Latte, Veg Quesadilla</t>
  </si>
  <si>
    <t>Dine In (disha)</t>
  </si>
  <si>
    <t>Classic Lemon Ice Tea, Pinefire, Stained Sagrada</t>
  </si>
  <si>
    <t>anandya</t>
  </si>
  <si>
    <t>neha</t>
  </si>
  <si>
    <t>sidhant sir</t>
  </si>
  <si>
    <t>Chicken &amp; Cheese On Toast, Ginger Cookies, Iced Americano</t>
  </si>
  <si>
    <t>Arrabbiata Ambush, Creamy Pesto, Tex-Mex Bowl Grilled Chicken</t>
  </si>
  <si>
    <t>Espresso Tiramisu, Matcha Latte, Pistachio Latte</t>
  </si>
  <si>
    <t>Avocado Vanguard, Espresso Tiramisu, Mana Mint</t>
  </si>
  <si>
    <t>Dine In (aman)</t>
  </si>
  <si>
    <t>aman</t>
  </si>
  <si>
    <t>Banana Walnut Teacakes, Classic Crispy Scouts, Classic Vanilla Waffles, Pistachio Latte, Sunny Side Up</t>
  </si>
  <si>
    <t>Dine In (smriti)</t>
  </si>
  <si>
    <t>smriti</t>
  </si>
  <si>
    <t>Aglio Olio, Cafe Latte, Chicken Stroganoff Bunnychow, Phoenix Berry</t>
  </si>
  <si>
    <t>Dine In (sanjna)</t>
  </si>
  <si>
    <t>sanjna</t>
  </si>
  <si>
    <t>Classic Lemon Ice Tea, Roasted Tomato &amp; Basil, Truffle And Parmesan Wrdges Warriors</t>
  </si>
  <si>
    <t>Mushroom Marauders Bruschetta, Rainbow Roll Pizza</t>
  </si>
  <si>
    <t>Dine In (uttkars)</t>
  </si>
  <si>
    <t>UTKARS</t>
  </si>
  <si>
    <t>Cappuccino, Flat White</t>
  </si>
  <si>
    <t>Banana Walnut Teacakes, Cappuccino, Claasic Cold Coffee</t>
  </si>
  <si>
    <t>Dine In (shubhi)</t>
  </si>
  <si>
    <t>shubi</t>
  </si>
  <si>
    <t>Cafe Latte, Claasic Cold Coffee, Flat White, Peri Peri Crispy Scouts, Rainbow Roll Pizza, Truffle Mushroom Arancini</t>
  </si>
  <si>
    <t>Dine In (virendra)</t>
  </si>
  <si>
    <t>virendra</t>
  </si>
  <si>
    <t>Egg French Omelette, Flat White, Tex-Mex Bowl Grilled Chicken</t>
  </si>
  <si>
    <t>Dine In (ankita)</t>
  </si>
  <si>
    <t>ankita</t>
  </si>
  <si>
    <t>Chicken Conqueror Burger, Peri Peri Crispy Scouts, Tex-Mex Bowl With Cottage Cheese (V), Thukpa Vegan, Veg Quesadilla</t>
  </si>
  <si>
    <t>Dine In (Lady Radhika)</t>
  </si>
  <si>
    <t>Lady Radhika</t>
  </si>
  <si>
    <t>Iced Coconut Oat Matcha Latte, Mushroom Marauders Bruschetta, Rainbow Roll Pizza</t>
  </si>
  <si>
    <t>Chicken Stroganoff Bunnychow, Classic Lemon Ice Tea, Masala Egg Bhurji, New Classic Hot Chocolate, Pesto Sandwich</t>
  </si>
  <si>
    <t>Cafe Latte, Classic Margherita Pizza, Jackfruit Jester Burger, Rainbow Roll Pizza, Salsa Rose, Spicy Chicken Tenders, Truffle Mushroom Arancini</t>
  </si>
  <si>
    <t>Grilled Meaty Maverick, Iced Mocha, Peri Peri Crispy Scouts</t>
  </si>
  <si>
    <t>Asian Bowl Hot Garlic Stir Fry Bean Curd, Chicken &amp; Cheese On Toast, Claasic Cold Coffee</t>
  </si>
  <si>
    <t>Dine In (ANURAG)</t>
  </si>
  <si>
    <t>Classic Bombay Maestro Sandwich, Ratatouille Bunny Chow</t>
  </si>
  <si>
    <t>Dine In (RIDHIKA)</t>
  </si>
  <si>
    <t>Cafe Latte, Peri Peri Crispy Scouts</t>
  </si>
  <si>
    <t>Dine In (BRATIKA)</t>
  </si>
  <si>
    <t>Brown Butter Latte, Classic Hot Chocolate, Classic Vanilla Stuffed French Toast</t>
  </si>
  <si>
    <t>Coconut Noir, Jackfruit Jester Burger, Secret Mocha</t>
  </si>
  <si>
    <t>Cream Of Chicken &amp; Leek, Iced Americano, Spicy Chicken Tenders</t>
  </si>
  <si>
    <t>Dine In (SONAM)</t>
  </si>
  <si>
    <t>SONAM</t>
  </si>
  <si>
    <t>Dine In (KHUSHOO)</t>
  </si>
  <si>
    <t>KHUSHBOO</t>
  </si>
  <si>
    <t>Asian Bowl Hot Garlic Stir Fry Bean Curd, Classic Lemon Ice Tea, Lebanese Chicken Pizza, Secret Mocha, Stained Sagrada, The Melty Mischief</t>
  </si>
  <si>
    <t>Cafe Mocha, Cappuccino, Mushroom Marauders Bruschetta</t>
  </si>
  <si>
    <t>Dine In (SANJANA)</t>
  </si>
  <si>
    <t>Cafe Mocha, Peri Peri Crispy Scouts, Truffle Mushroom Arancini</t>
  </si>
  <si>
    <t>Cappuccino, Mushroom Marauders Bruschetta</t>
  </si>
  <si>
    <t>Classic Wrdges Warriors, Iced Americano</t>
  </si>
  <si>
    <t>Vanilla And Cocoa Marble Teacakes</t>
  </si>
  <si>
    <t>Dine In (RISHITA)</t>
  </si>
  <si>
    <t>Cappuccino, Classic Lemon Ice Tea, Creamy Pesto, Mushroom Marauders Bruschetta</t>
  </si>
  <si>
    <t>Dine In (MARK)</t>
  </si>
  <si>
    <t>Bacon Strips, Butter Garlic Prawns With Sourdough, Classic Hot Chocolate, Grilled Meaty Maverick, Spicy Chicken Tenders, Tokyo Godzilla Frappe</t>
  </si>
  <si>
    <t>Dine In (IQRA)</t>
  </si>
  <si>
    <t>Asian Bowl Hot Garlic Stir Fry Chicken, Banana Caramel Stuffed French Toast, Classic Crispy Scouts</t>
  </si>
  <si>
    <t>Dine In (ANAM)</t>
  </si>
  <si>
    <t>ANAM</t>
  </si>
  <si>
    <t>Arrabbiata Ambush, Thukpa Chicken</t>
  </si>
  <si>
    <t>Dine In (KRISH)</t>
  </si>
  <si>
    <t>Avocado Vanguard, Classic Crispy Scouts, Golden Tiramisu, Thukpa Vegan</t>
  </si>
  <si>
    <t>Dine In (richi)</t>
  </si>
  <si>
    <t>Dine In (JYOSHNA)</t>
  </si>
  <si>
    <t>JYOSHNA</t>
  </si>
  <si>
    <t>Gaming Charge, Gaming Charges (1_hr)</t>
  </si>
  <si>
    <t>Dine In (MR sidhart sira)</t>
  </si>
  <si>
    <t>Avocado Vanguard, Buffalo Chicken Wings With Ranch Dip, Cappuccino, Cinnamon Hot Chocolate, Grilled Fish, Iced Americano</t>
  </si>
  <si>
    <t>Dine In (SRIKHLA)</t>
  </si>
  <si>
    <t>Brown Butter Latte, Classic Lemon Ice Tea, Mushroom Marauders Bruschetta</t>
  </si>
  <si>
    <t>Dine In (RASHMI)</t>
  </si>
  <si>
    <t>Extra Dip, Peri Peri Crispy Scouts, Secret Mocha</t>
  </si>
  <si>
    <t>Dine In (SURENDAR)</t>
  </si>
  <si>
    <t>SURENDAR</t>
  </si>
  <si>
    <t>Extra Dip, Tex-Mex Bowl With Cottage Cheese (V)</t>
  </si>
  <si>
    <t>Captain Fish Fingers, Classic Lemon Ice Tea, Masala Egg Bhurji, Tex-Mex Bowl With Cottage Cheese (V)</t>
  </si>
  <si>
    <t>Dine In (ANJALI)</t>
  </si>
  <si>
    <t>Banana Walnut Teacakes, Classic Lemon Ice Tea, North Sea Storm, Peri Peri Crispy Scouts</t>
  </si>
  <si>
    <t>Dine In (bhavya)</t>
  </si>
  <si>
    <t>bhavya</t>
  </si>
  <si>
    <t>Sunny Side Up, The Full House Nachos (Veg), Vanilla And Cocoa Marble Teacakes</t>
  </si>
  <si>
    <t>Dine In (rajat)</t>
  </si>
  <si>
    <t>rajat</t>
  </si>
  <si>
    <t>Classic Bombay Maestro Sandwich, Classic Margherita Pizza, Grilled Meaty Maverick</t>
  </si>
  <si>
    <t>kartik</t>
  </si>
  <si>
    <t>Dine In (33)</t>
  </si>
  <si>
    <t>Dine In (34)</t>
  </si>
  <si>
    <t>ANMOL</t>
  </si>
  <si>
    <t>Rainbow Roll Pizza</t>
  </si>
  <si>
    <t>Grilled Fish, Secret Mocha</t>
  </si>
  <si>
    <t>Dine In (ridhika ma.am)</t>
  </si>
  <si>
    <t>ridhika ma.am</t>
  </si>
  <si>
    <t>Classic Hot Chocolate, Grilled Chicken, Tex-Mex Bowl Grilled Chicken</t>
  </si>
  <si>
    <t>Pinefire</t>
  </si>
  <si>
    <t>Dine In (amol)</t>
  </si>
  <si>
    <t>amol</t>
  </si>
  <si>
    <t>Dine In (pujita)</t>
  </si>
  <si>
    <t>pujita</t>
  </si>
  <si>
    <t>Classic Hot Chocolate, Truffle And Parmesan Crispy Scouts</t>
  </si>
  <si>
    <t>Dine In (vishaka maam)</t>
  </si>
  <si>
    <t>vishaka maam</t>
  </si>
  <si>
    <t>Cappuccino, Classic Bombay Maestro Sandwich, Tex-Mex Bowl With Cottage Cheese (V)</t>
  </si>
  <si>
    <t>Dine In (sidhart)</t>
  </si>
  <si>
    <t>sidhart</t>
  </si>
  <si>
    <t>Espresso Tiramisu, Peri Peri Wrdges Warriors</t>
  </si>
  <si>
    <t>Dine In (mehak)</t>
  </si>
  <si>
    <t>Classic Hot Chocolate, Veg Quesadilla</t>
  </si>
  <si>
    <t>Dine In (annu)</t>
  </si>
  <si>
    <t>annu</t>
  </si>
  <si>
    <t>Dine In (CHARMYE)</t>
  </si>
  <si>
    <t>Dine In (pankaj)</t>
  </si>
  <si>
    <t>Avocado Vanguard, Egg French Omelette, Grilled Vegetables, Ice Latte, Matcha Latte</t>
  </si>
  <si>
    <t>Dine In (jyotsaina)</t>
  </si>
  <si>
    <t>jyotsaina</t>
  </si>
  <si>
    <t>Classic Garlic Gambit, Peri Peri Cottage Cheese Pizza</t>
  </si>
  <si>
    <t>akshay</t>
  </si>
  <si>
    <t>Aglio Olio, Classic Hot Chocolate, Cottage Cheese Steak</t>
  </si>
  <si>
    <t>Dine In (nikhita)</t>
  </si>
  <si>
    <t>nikhita</t>
  </si>
  <si>
    <t>Cappuccino, Classic Hot Chocolate, Peri Peri Crispy Scouts, Rainbow Roll Pizza</t>
  </si>
  <si>
    <t>amit</t>
  </si>
  <si>
    <t>Banana Walnut Teacakes, Cafe Mocha, Cappuccino, Creamy Pesto, Tex-Mex Bowl With Cottage Cheese (V)</t>
  </si>
  <si>
    <t>Captain Fish Fingers, Chicken &amp; Cheese On Toast, Phoenix Berry, Spicy Chicken Tenders</t>
  </si>
  <si>
    <t>Dine In (PRIYA)</t>
  </si>
  <si>
    <t>PRIYA</t>
  </si>
  <si>
    <t>Spicy Chicken Tenders, Tex-Mex Bowl Grilled Chicken</t>
  </si>
  <si>
    <t>Dine In (SUPRIYA)</t>
  </si>
  <si>
    <t>SUPRIYA</t>
  </si>
  <si>
    <t>Claasic Cold Coffee, Extra Vegetables, Mushroom Alfredo, Rainbow Roll Pizza</t>
  </si>
  <si>
    <t>Dine In (shruti)</t>
  </si>
  <si>
    <t>shruti</t>
  </si>
  <si>
    <t>Dine In (gautam)</t>
  </si>
  <si>
    <t>gautam</t>
  </si>
  <si>
    <t>New York Baked Cheese Cake</t>
  </si>
  <si>
    <t>Dine In (priyanka)</t>
  </si>
  <si>
    <t>priyanka</t>
  </si>
  <si>
    <t>Peri Peri Wrdges Warriors, Secret Mocha</t>
  </si>
  <si>
    <t>Dine In (Bhaghavi)</t>
  </si>
  <si>
    <t>Bhaghavi</t>
  </si>
  <si>
    <t>Dine In (chirag)</t>
  </si>
  <si>
    <t>chirag</t>
  </si>
  <si>
    <t>Carbonara, The Melty Mischief</t>
  </si>
  <si>
    <t>Dine In (vidhant)</t>
  </si>
  <si>
    <t>vidhant</t>
  </si>
  <si>
    <t>Golden Tiramisu, Thukpa Vegan</t>
  </si>
  <si>
    <t>Dine In (dr gulati)</t>
  </si>
  <si>
    <t>dr gulati</t>
  </si>
  <si>
    <t>Cappuccino, Secret Mocha, Truffle And Parmesan Crispy Scouts</t>
  </si>
  <si>
    <t>Dine In (vabhav)</t>
  </si>
  <si>
    <t>vabhav</t>
  </si>
  <si>
    <t>Americano, Brown Butter Latte, Honey Cinnamon Cold Brew, Veg Quesadilla</t>
  </si>
  <si>
    <t>Dine In (daliya)</t>
  </si>
  <si>
    <t>daliya</t>
  </si>
  <si>
    <t>Avocado Vanguard, Cream Of Chicken &amp; Leek, Grilled Meaty Maverick, Ice Latte, Truffle And Parmesan Crispy Scouts</t>
  </si>
  <si>
    <t>Dine In (neetu)</t>
  </si>
  <si>
    <t>Cappuccino, Classic Garlic Gambit, Classic Hot Chocolate, Classic Margherita Pizza, Ice Latte</t>
  </si>
  <si>
    <t>Peri Peri Crispy Scouts, Rainbow Roll Pizza</t>
  </si>
  <si>
    <t>Dine In (shradha)</t>
  </si>
  <si>
    <t>sharadha</t>
  </si>
  <si>
    <t>Chicken Quesadilla, Claasic Cold Coffee, Classic Lemon Ice Tea, Creamy Pesto, Ice Latte, Rainbow Roll Pizza, The Full House Nachos (Veg)</t>
  </si>
  <si>
    <t>Americano, Cappuccino, The Bruschetta Bards</t>
  </si>
  <si>
    <t>Dine In (simona)</t>
  </si>
  <si>
    <t>simona</t>
  </si>
  <si>
    <t>Peri Peri Crispy Scouts, Tex-Mex Bowl With Cottage Cheese (V)</t>
  </si>
  <si>
    <t>Ice Latte, Iced Coconut Oat Matcha Latte, Tex-Mex Bowl With Cottage Cheese (V)</t>
  </si>
  <si>
    <t>Dine In (astosh)</t>
  </si>
  <si>
    <t>astosh</t>
  </si>
  <si>
    <t>Cafe Latte, Cafe Mocha, Classic Hot Chocolate, The Bruschetta Bards, The Full House Nachos (Veg)</t>
  </si>
  <si>
    <t>Brown Butter Latte, Iced Mocha, Vanilla And Cocoa Marble Teacakes</t>
  </si>
  <si>
    <t>Buffalo Chicken Wings With Ranch Dip, Classic Lemon Ice Tea</t>
  </si>
  <si>
    <t>upi</t>
  </si>
  <si>
    <t>Dine In (sahil)</t>
  </si>
  <si>
    <t>Grilled Chicken, Mushroom Alfredo, Red Knight</t>
  </si>
  <si>
    <t>Dine In (vishaka mam)</t>
  </si>
  <si>
    <t>vishaka</t>
  </si>
  <si>
    <t>Masala Egg Bhurji, Salsa Rose, The Full House Nachos (Veg)</t>
  </si>
  <si>
    <t>Dine In (radhika ma am)</t>
  </si>
  <si>
    <t>radhika ma am</t>
  </si>
  <si>
    <t>Classic</t>
  </si>
  <si>
    <t>SIDHANT</t>
  </si>
  <si>
    <t>Cappuccino, Grilled Meaty Maverick</t>
  </si>
  <si>
    <t>rahul</t>
  </si>
  <si>
    <t>Tex-Mex Bowl With Cottage Cheese (V), Thukpa Vegan</t>
  </si>
  <si>
    <t>Pistachio Latte</t>
  </si>
  <si>
    <t>Dine In (dibisis)</t>
  </si>
  <si>
    <t>dibaisis</t>
  </si>
  <si>
    <t>Avocado Vanguard, Banana Walnut Teacakes</t>
  </si>
  <si>
    <t>Dine In (anirudh)</t>
  </si>
  <si>
    <t>anirudh</t>
  </si>
  <si>
    <t>Truffle And Parmesan Crispy Scouts</t>
  </si>
  <si>
    <t>Dine In (shubam)</t>
  </si>
  <si>
    <t>shubam</t>
  </si>
  <si>
    <t>Egg French Omelette, Flat White, Peri Peri Cottage Cheese Pizza, Wild Berry Waffles</t>
  </si>
  <si>
    <t>Dine In (ashish)</t>
  </si>
  <si>
    <t>ashish</t>
  </si>
  <si>
    <t>Cappuccino, Vanilla And Cocoa Marble Teacakes</t>
  </si>
  <si>
    <t>Dine In (gourab)</t>
  </si>
  <si>
    <t>gourab</t>
  </si>
  <si>
    <t>Classic Garlic Gambit, Espresso Tiramisu, Golden Tiramisu, Rainbow Roll Pizza, Stained Sagrada</t>
  </si>
  <si>
    <t>ANKIT</t>
  </si>
  <si>
    <t>Cappuccino, Extra Vegetables, Garlic Pepper Chicken Pizza, Thukpa Chicken</t>
  </si>
  <si>
    <t>Claasic Cold Coffee, The Melty Mischief, Thukpa Vegan</t>
  </si>
  <si>
    <t>Dine In (MAYANK)</t>
  </si>
  <si>
    <t>MAYANK</t>
  </si>
  <si>
    <t>Avocado Vanguard, The Catalyst</t>
  </si>
  <si>
    <t>Captain Fish Fingers, Lebanese Chicken Pizza, Mushroom Alfredo, Pinefire, Red Knight, Salsa Rose</t>
  </si>
  <si>
    <t>Claasic Cold Coffee, Egg French Omelette</t>
  </si>
  <si>
    <t>Burrata Baron Pizza, Thukpa Vegan</t>
  </si>
  <si>
    <t>vikash sir</t>
  </si>
  <si>
    <t>Classic Bombay Maestro Sandwich, Classic Margherita Pizza, Roasted Tomato &amp; Basil, The Full House Nachos (Veg), Thukpa Vegan</t>
  </si>
  <si>
    <t>Dine In (vishaka)</t>
  </si>
  <si>
    <t>Cappuccino, Classic Hot Chocolate, Cottage Cheese Steak, Espresso Tiramisu, The Full House Nachos (Veg)</t>
  </si>
  <si>
    <t>Dine In (radika)</t>
  </si>
  <si>
    <t>Radhika</t>
  </si>
  <si>
    <t>Dine In (JYOTSHI)</t>
  </si>
  <si>
    <t>JYOTSHI</t>
  </si>
  <si>
    <t>yash</t>
  </si>
  <si>
    <t>Aglio Olio, Classic Margherita Pizza, Phoenix Berry</t>
  </si>
  <si>
    <t>Cafe Mocha</t>
  </si>
  <si>
    <t>Brown Butter Latte, Cappuccino, Pistachio Latte, Secret Mocha</t>
  </si>
  <si>
    <t>Dine In (RAKSHET)</t>
  </si>
  <si>
    <t>RAKSHET</t>
  </si>
  <si>
    <t>Aurora Engine, The Full House Nachos (Veg)</t>
  </si>
  <si>
    <t>Dine In (parvinder)</t>
  </si>
  <si>
    <t>parvinder</t>
  </si>
  <si>
    <t>Coconut Noir, Mushroom Alfredo, Secret Mocha, Veg Quesadilla</t>
  </si>
  <si>
    <t>Dine In (kriti)</t>
  </si>
  <si>
    <t>kriti</t>
  </si>
  <si>
    <t>Chicken &amp; Cheese On Toast, Claasic Cold Coffee, Grilled Chicken</t>
  </si>
  <si>
    <t>Dine In (sidhant)</t>
  </si>
  <si>
    <t>sidhant</t>
  </si>
  <si>
    <t>Cafe Mocha, Grilled Chicken</t>
  </si>
  <si>
    <t>Dine In (khushi)</t>
  </si>
  <si>
    <t>khushi</t>
  </si>
  <si>
    <t>Caesar Commander, Golden Tiramisu, Iced Coconut Oat Matcha Latte, The Full House Nachos (Chicken)</t>
  </si>
  <si>
    <t>Egg French Omelette, Iced Mocha, The Catalyst</t>
  </si>
  <si>
    <t>Banana Walnut Teacakes, Truffle And Parmesan Crispy Scouts</t>
  </si>
  <si>
    <t>Classic Wrdges Warriors, Middle-East Meetup, Secret Mocha</t>
  </si>
  <si>
    <t>Dine In (VISHAKA MAAM)</t>
  </si>
  <si>
    <t>VISHAKA MAAM</t>
  </si>
  <si>
    <t>Mushroom Marauders Bruschetta, Super Green Risotto, Tex-Mex Bowl With Cottage Cheese (V)</t>
  </si>
  <si>
    <t>Avocado Vanguard, Chicken &amp; Cheese On Toast</t>
  </si>
  <si>
    <t>Dine In (mukhrji)</t>
  </si>
  <si>
    <t>mukhrji</t>
  </si>
  <si>
    <t>Avocado Vanguard, Buffalo Chicken Wings With Ranch Dip, Peri Peri Crispy Scouts</t>
  </si>
  <si>
    <t>Dine In (priyansh)</t>
  </si>
  <si>
    <t>priyansh</t>
  </si>
  <si>
    <t>Classic Bombay Maestro Sandwich</t>
  </si>
  <si>
    <t>Dine In (dharmender)</t>
  </si>
  <si>
    <t>dharmender</t>
  </si>
  <si>
    <t>Coke Can</t>
  </si>
  <si>
    <t>Dine In (ankur)</t>
  </si>
  <si>
    <t>ankur</t>
  </si>
  <si>
    <t>Gaming Charges (1_hr), Phoenix Berry, Sour Cream And Onion Wrdges Warriors</t>
  </si>
  <si>
    <t>Dine In (asmit)</t>
  </si>
  <si>
    <t>asmit</t>
  </si>
  <si>
    <t>Dine In (aashish)</t>
  </si>
  <si>
    <t>Add Paneer, Cappuccino, Rainbow Roll Pizza</t>
  </si>
  <si>
    <t>Dine In (BIRTHDAY  PARTY)</t>
  </si>
  <si>
    <t>BIRTHDAY  PARTY</t>
  </si>
  <si>
    <t>Burnt Garlic &amp; Cauliflower, Classic Bombay Maestro Sandwich, Espresso Tiramisu, Mushroom Alfredo, Ratatouille Bunny Chow</t>
  </si>
  <si>
    <t>Dine In (NITIN)</t>
  </si>
  <si>
    <t>NITIN</t>
  </si>
  <si>
    <t>Matcha Latte, Semolina And Pistachio Teacakes</t>
  </si>
  <si>
    <t>Dine In (visakha)</t>
  </si>
  <si>
    <t>visakha</t>
  </si>
  <si>
    <t>Buffalo Chicken Wings With Ranch Dip, Classic Hot Chocolate, Classic Vanilla Stuffed French Toast, Ratatouille Bunny Chow</t>
  </si>
  <si>
    <t>Classic Bombay Maestro Sandwich, Tokyo Godzilla Frappe</t>
  </si>
  <si>
    <t>Banana Caramel Waffles, Cottage Cheese Steak</t>
  </si>
  <si>
    <t>Dine In (steven)</t>
  </si>
  <si>
    <t>steven</t>
  </si>
  <si>
    <t>Cafe Latte, Classic Bombay Maestro Sandwich, The Full House Nachos (Chicken)</t>
  </si>
  <si>
    <t>Dine In (simran)</t>
  </si>
  <si>
    <t>simran</t>
  </si>
  <si>
    <t>Avocado Vanguard</t>
  </si>
  <si>
    <t>Dine In (sali)</t>
  </si>
  <si>
    <t>sali</t>
  </si>
  <si>
    <t>Dine In (jotseyana)</t>
  </si>
  <si>
    <t>jotseyana</t>
  </si>
  <si>
    <t>Gaming Charges (1_hr), The Catalyst, The Chlorophyll Mage</t>
  </si>
  <si>
    <t>Dine In (mrigank)</t>
  </si>
  <si>
    <t>mrigank</t>
  </si>
  <si>
    <t>Iced Americano, Sour Cream And Onion Crispy Scouts</t>
  </si>
  <si>
    <t>Dine In (Rohit)</t>
  </si>
  <si>
    <t>Rohit</t>
  </si>
  <si>
    <t>Dine In (tra)</t>
  </si>
  <si>
    <t>tra</t>
  </si>
  <si>
    <t>Cappuccino, Matcha Latte, Super Green Risotto</t>
  </si>
  <si>
    <t>Grilled Chicken, Spicy Chicken Tenders, Thukpa Chicken</t>
  </si>
  <si>
    <t>Honey Cinnamon Cold Brew, Rainbow Roll Pizza, The Full House Nachos (Veg)</t>
  </si>
  <si>
    <t>Dine In (vishakha)</t>
  </si>
  <si>
    <t>vishakha</t>
  </si>
  <si>
    <t>Avocado Vanguard, Brown Butter Latte, Peri Peri Crispy Scouts</t>
  </si>
  <si>
    <t>Chicken Stroganoff Bunnychow, Classic Hot Chocolate, Espresso Tiramisu</t>
  </si>
  <si>
    <t>Buffalo Chicken Wings With Ranch Dip, Butter Garlic Prawns With Sourdough, Cafe Mocha</t>
  </si>
  <si>
    <t>Cappuccino, Classic Hot Chocolate, Extra Nachos, The Full House Nachos (Veg)</t>
  </si>
  <si>
    <t>Dine In (hridya)</t>
  </si>
  <si>
    <t>hridya</t>
  </si>
  <si>
    <t>Dine In (sikha)</t>
  </si>
  <si>
    <t>sikha</t>
  </si>
  <si>
    <t>Classic Garlic Gambit, Classic Hot Chocolate, Rainbow Roll Pizza</t>
  </si>
  <si>
    <t>Dine In (sapna)</t>
  </si>
  <si>
    <t>sapna</t>
  </si>
  <si>
    <t>Asian Bowl Hot Garlic Stir Fry Bean Curd, Creamy Pesto</t>
  </si>
  <si>
    <t>Dine In (abhichak)</t>
  </si>
  <si>
    <t>abhichak</t>
  </si>
  <si>
    <t>Matcha Latte, Secret Mocha</t>
  </si>
  <si>
    <t>Claasic Cold Coffee, Ice Latte, Semolina And Pistachio Teacakes</t>
  </si>
  <si>
    <t>Dine In (vikash)</t>
  </si>
  <si>
    <t>mr vikash sir</t>
  </si>
  <si>
    <t>Arrabbiata Ambush, Tex-Mex Bowl Grilled Chicken</t>
  </si>
  <si>
    <t>Gaming Charges (1_hr), The Full House Nachos (Chicken), Truffle Mushroom Arancini</t>
  </si>
  <si>
    <t>subham</t>
  </si>
  <si>
    <t>Golden Tiramisu, Mushroom Alfredo, New York Baked Cheese Cake, Stained Sagrada</t>
  </si>
  <si>
    <t>Dine In (subhanker)</t>
  </si>
  <si>
    <t>subhanker</t>
  </si>
  <si>
    <t>Biscoff Shake, Classic Bombay Maestro Sandwich</t>
  </si>
  <si>
    <t>Dine In (tanmay)</t>
  </si>
  <si>
    <t>tanmay</t>
  </si>
  <si>
    <t>Asian Bowl Hot Garlic Stir Fry Bean Curd, Grilled Chicken, Semolina And Pistachio Teacakes</t>
  </si>
  <si>
    <t>Dine In (adiya)</t>
  </si>
  <si>
    <t>adiya</t>
  </si>
  <si>
    <t>Sour Cream And Onion Wrdges Warriors, Stained Sagrada</t>
  </si>
  <si>
    <t>Dine In (subham)</t>
  </si>
  <si>
    <t>Mushroom Alfredo, Stained Sagrada</t>
  </si>
  <si>
    <t>manthan</t>
  </si>
  <si>
    <t>Claasic Cold Coffee, Classic Crispy Scouts</t>
  </si>
  <si>
    <t>Arrabbiata Ambush, New York Baked Cheese Cake, Roasted Tomato &amp; Basil</t>
  </si>
  <si>
    <t>Dine In (archna)</t>
  </si>
  <si>
    <t>archna</t>
  </si>
  <si>
    <t>Espresso Tiramisu, Secret Mocha, Spicy Chicken Tenders, Tex-Mex Bowl With Cottage Cheese (V), Thukpa Chicken</t>
  </si>
  <si>
    <t>Dine In (naman)</t>
  </si>
  <si>
    <t>naman</t>
  </si>
  <si>
    <t>Cappuccino, Classic Hot Chocolate, Semolina And Pistachio Teacakes, Truffle Mushroom Arancini</t>
  </si>
  <si>
    <t>Garlic Pepper Chicken Pizza, Honey Cinnamon Cold Brew</t>
  </si>
  <si>
    <t>Total : 809.00</t>
  </si>
  <si>
    <t>Dine In (nidhi)</t>
  </si>
  <si>
    <t>nidhi</t>
  </si>
  <si>
    <t>Garlic Pepper Chicken Pizza, Golden Tiramisu</t>
  </si>
  <si>
    <t>Dine In (gurprit)</t>
  </si>
  <si>
    <t>gurprit</t>
  </si>
  <si>
    <t>Chicken Conqueror Burger, Flat White, Grilled Fish</t>
  </si>
  <si>
    <t>Classic Lemon Ice Tea, Masala Egg Bhurji, Pistachio Latte, Wild Berry Waffles</t>
  </si>
  <si>
    <t>Dine In (hunny)</t>
  </si>
  <si>
    <t>hunny</t>
  </si>
  <si>
    <t>Claasic Cold Coffee, Peri Peri Crispy Scouts, Pistachio Latte, Truffle Mushroom Arancini</t>
  </si>
  <si>
    <t>Dine In (namit)</t>
  </si>
  <si>
    <t>namit</t>
  </si>
  <si>
    <t>Classic Hot Chocolate, Semolina And Pistachio Teacakes, Tex-Mex Bowl With Cottage Cheese (V)</t>
  </si>
  <si>
    <t>Dine In (shakshi)</t>
  </si>
  <si>
    <t>shakshi</t>
  </si>
  <si>
    <t>Brown Butter Latte, Claasic Cold Coffee, Iced Americano</t>
  </si>
  <si>
    <t>Dine In (anuj)</t>
  </si>
  <si>
    <t>anuj</t>
  </si>
  <si>
    <t>Dine In (sweeta)</t>
  </si>
  <si>
    <t>sweeta</t>
  </si>
  <si>
    <t>Americano, Cappuccino, Classic Garlic Gambit</t>
  </si>
  <si>
    <t>Classic Lemon Ice Tea, Peri Peri Cottage Cheese Pizza, Stained Sagrada</t>
  </si>
  <si>
    <t>Dine In (mayank)</t>
  </si>
  <si>
    <t>mayank</t>
  </si>
  <si>
    <t>Asian Bowl Hot Garlic Stir Fry Bean Curd, Crimson Hex, Mushroom Alfredo, Tex-Mex Bowl With Cottage Cheese (V), The Feta Scribe</t>
  </si>
  <si>
    <t>Dine In (gaurav)</t>
  </si>
  <si>
    <t>gaurav</t>
  </si>
  <si>
    <t>Dine In (harshal)</t>
  </si>
  <si>
    <t>harshal</t>
  </si>
  <si>
    <t>Cappuccino, Espresso</t>
  </si>
  <si>
    <t>Dine In (rubasna)</t>
  </si>
  <si>
    <t>rubasna</t>
  </si>
  <si>
    <t>Dine In (rohit)</t>
  </si>
  <si>
    <t>rohit</t>
  </si>
  <si>
    <t>Aurora Engine, Classical Chicken Stroganoff, Creamy Pesto, Extra Vegetables, Pistachio Latte</t>
  </si>
  <si>
    <t>Dine In (stiven)</t>
  </si>
  <si>
    <t>stiven</t>
  </si>
  <si>
    <t>Crimson Hex</t>
  </si>
  <si>
    <t>Classic Hot Chocolate, Peri Peri Cottage Cheese Pizza</t>
  </si>
  <si>
    <t>vikas sir</t>
  </si>
  <si>
    <t>Espresso, Grilled Chicken</t>
  </si>
  <si>
    <t>Dine In (stivan)</t>
  </si>
  <si>
    <t>stivan</t>
  </si>
  <si>
    <t>Claasic Cold Coffee, Classic Lemon Ice Tea, The Full House Nachos (Veg)</t>
  </si>
  <si>
    <t>Dine In (samyea)</t>
  </si>
  <si>
    <t>samyea</t>
  </si>
  <si>
    <t>Dine In (yougesh)</t>
  </si>
  <si>
    <t>yougesh</t>
  </si>
  <si>
    <t>Avocado Vanguard, Cafe Mocha, Pistachio Latte</t>
  </si>
  <si>
    <t>Dine In (21)</t>
  </si>
  <si>
    <t>Golden Tiramisu</t>
  </si>
  <si>
    <t>Dine In (manish)</t>
  </si>
  <si>
    <t>manish</t>
  </si>
  <si>
    <t>Golden Tiramisu, New York Baked Cheese Cake</t>
  </si>
  <si>
    <t>Cafe Latte, Cappuccino</t>
  </si>
  <si>
    <t>Dine In (pranaf)</t>
  </si>
  <si>
    <t>prnaf</t>
  </si>
  <si>
    <t>Arrabbiata Ambush, Captain Fish Fingers</t>
  </si>
  <si>
    <t>Mushroom Alfredo, Roasted Tomato &amp; Basil</t>
  </si>
  <si>
    <t>Dine In (isita)</t>
  </si>
  <si>
    <t>isita</t>
  </si>
  <si>
    <t>Dine In (nukur)</t>
  </si>
  <si>
    <t>nukur</t>
  </si>
  <si>
    <t>Classic Margherita Pizza, Roasted Tomato &amp; Basil</t>
  </si>
  <si>
    <t>Dine In (daxita)</t>
  </si>
  <si>
    <t>daxita</t>
  </si>
  <si>
    <t>Claasic Cold Coffee, Classic Hot Chocolate, Peri Peri Crispy Scouts</t>
  </si>
  <si>
    <t>Dine In (manya)</t>
  </si>
  <si>
    <t>manya</t>
  </si>
  <si>
    <t>Dine In (himanhi)</t>
  </si>
  <si>
    <t>himanshi</t>
  </si>
  <si>
    <t>Avocado Vanguard, Chicken Stroganoff Bunnychow, Extra Chicken, Masala Egg Bhurji, Roasted Tomato &amp; Basil, Thukpa Chicken</t>
  </si>
  <si>
    <t>Dine In (samarth)</t>
  </si>
  <si>
    <t>samarth</t>
  </si>
  <si>
    <t>Chicken Quesadilla, Chicken Sausages (Nv) 2, Classic Bombay Maestro Sandwich, Extra Vegetables, Grilled Fish</t>
  </si>
  <si>
    <t>Dine In (kunicka)</t>
  </si>
  <si>
    <t>kunika</t>
  </si>
  <si>
    <t>Classic Crispy Scouts, Honey Cinnamon Cold Brew, Red Knight, Tex-Mex Bowl With Cottage Cheese (V)</t>
  </si>
  <si>
    <t>Aglio Olio, Americano, Claasic Cold Coffee, Classic Hot Chocolate, Peri Peri Crispy Scouts, Salsa Rose</t>
  </si>
  <si>
    <t>Dine In (shikha)</t>
  </si>
  <si>
    <t>shikha</t>
  </si>
  <si>
    <t>Classic Hot Chocolate, Peri Peri Crispy Scouts</t>
  </si>
  <si>
    <t>Tokyo Godzilla Frappe</t>
  </si>
  <si>
    <t>Dine In (VISHAKA)</t>
  </si>
  <si>
    <t>VISHAKA</t>
  </si>
  <si>
    <t>Classic Hot Chocolate, Cottage Cheese Steak, Mushroom Marauders Bruschetta, Pistachio Latte</t>
  </si>
  <si>
    <t>RADHIKA MAAM</t>
  </si>
  <si>
    <t>Middle-East Meetup, Pinefire</t>
  </si>
  <si>
    <t>Dine In (MANISH)</t>
  </si>
  <si>
    <t>MANISH</t>
  </si>
  <si>
    <t>Arrabbiata Ambush, Thukpa Vegan</t>
  </si>
  <si>
    <t>Dine In (AMRITA)</t>
  </si>
  <si>
    <t>AMRITA</t>
  </si>
  <si>
    <t>Dine In (DEKSHITA)</t>
  </si>
  <si>
    <t>DEKSHITA</t>
  </si>
  <si>
    <t>The Full House Nachos (Veg), Truffle Mushroom Arancini</t>
  </si>
  <si>
    <t>Americano, The Full House Nachos (Veg)</t>
  </si>
  <si>
    <t>Dine In (DIMPY)</t>
  </si>
  <si>
    <t>DIMPY</t>
  </si>
  <si>
    <t>Cafe Latte, Claasic Cold Coffee, Spicy Chicken Tenders, Thukpa Vegan</t>
  </si>
  <si>
    <t>SIDHANT SIR</t>
  </si>
  <si>
    <t>Chocolate Chip Pancakes, Middle-East Meetup</t>
  </si>
  <si>
    <t>Cappuccino, Classic Hot Chocolate, Tex-Mex Bowl With Cottage Cheese (V)</t>
  </si>
  <si>
    <t>radha</t>
  </si>
  <si>
    <t>Mushroom Marauders Bruschetta, Tex-Mex Bowl With Cottage Cheese (V)</t>
  </si>
  <si>
    <t>Dine In (RADHIKA MAM)</t>
  </si>
  <si>
    <t>Cappuccino, Classic Vanilla Stuffed French Toast, Matcha Latte, Mushroom Marauders Bruschetta, Secret Mocha</t>
  </si>
  <si>
    <t>Dine In (PRIYANSH)</t>
  </si>
  <si>
    <t>PRIYANSH</t>
  </si>
  <si>
    <t>Burnt Garlic &amp; Cauliflower, Secret Mocha</t>
  </si>
  <si>
    <t>Dine In (VABHIV)</t>
  </si>
  <si>
    <t>VABHIV</t>
  </si>
  <si>
    <t>Burnt Garlic &amp; Cauliflower, Flat White, Lebanese Chicken Pizza</t>
  </si>
  <si>
    <t>Dine In (STIVEN)</t>
  </si>
  <si>
    <t>STIVEN</t>
  </si>
  <si>
    <t>Dine In (GUNJAN)</t>
  </si>
  <si>
    <t>GUNJAN</t>
  </si>
  <si>
    <t>Roasted Tomato &amp; Basil, Salsa Rose</t>
  </si>
  <si>
    <t>Dine In (AGUSTA)</t>
  </si>
  <si>
    <t>AGUSTA</t>
  </si>
  <si>
    <t>VIKASH SIR</t>
  </si>
  <si>
    <t>Cappuccino, Classic Hot Chocolate, Jackfruit Jester Burger, Salsa Rose</t>
  </si>
  <si>
    <t>radhika maam</t>
  </si>
  <si>
    <t>Espresso Tiramisu, Garlic Pepper Chicken Pizza, Golden Tiramisu</t>
  </si>
  <si>
    <t>Cafe Mocha, Cappuccino, Classic Hot Chocolate, Grilled Meaty Maverick</t>
  </si>
  <si>
    <t>Dine In (shubankar)</t>
  </si>
  <si>
    <t>shubankar</t>
  </si>
  <si>
    <t>Brown Butter Latte, Creamy Pesto</t>
  </si>
  <si>
    <t>richi</t>
  </si>
  <si>
    <t>Classic Hot Chocolate, Creamy Pesto</t>
  </si>
  <si>
    <t>Classic Hot Chocolate, Salsa Rose</t>
  </si>
  <si>
    <t>Cappuccino, Mushroom Alfredo, Thukpa Vegan</t>
  </si>
  <si>
    <t>Dine In (harivansh)</t>
  </si>
  <si>
    <t>harivansh</t>
  </si>
  <si>
    <t>Mushroom Alfredo, Pinefire, Red Knight, Wild Berry Pancakes</t>
  </si>
  <si>
    <t>Americano, Captain Fish Fingers, The Chlorophyll Mage</t>
  </si>
  <si>
    <t>Dine In (ritu)</t>
  </si>
  <si>
    <t>ritu</t>
  </si>
  <si>
    <t>Dine In (rista)</t>
  </si>
  <si>
    <t>rista</t>
  </si>
  <si>
    <t>Aglio Olio, Avocado Vanguard</t>
  </si>
  <si>
    <t>Aglio Olio, Classic Wrdges Warriors, Garlic Pepper Chicken Pizza, Iced Mocha</t>
  </si>
  <si>
    <t>Caesar Commander, Cappuccino, Creamy Pesto, Crimson Hex, Grilled Fish, Semolina And Pistachio Teacakes, Tokyo Godzilla Frappe</t>
  </si>
  <si>
    <t>Dine In (Radhika mam)</t>
  </si>
  <si>
    <t>Radhika mam</t>
  </si>
  <si>
    <t>Espresso Tiramisu, Matcha Latte, Ratatouille Bunny Chow</t>
  </si>
  <si>
    <t>Dine In (ANUSHIKA)</t>
  </si>
  <si>
    <t>ANUSHIKA</t>
  </si>
  <si>
    <t>Ratatouille Bunny Chow</t>
  </si>
  <si>
    <t>Dine In (CHETAN)</t>
  </si>
  <si>
    <t>CHETAN</t>
  </si>
  <si>
    <t>Cappuccino, Rainbow Roll Pizza</t>
  </si>
  <si>
    <t>RISHAB</t>
  </si>
  <si>
    <t>Dine In (SIDH)</t>
  </si>
  <si>
    <t>SIDH</t>
  </si>
  <si>
    <t>Classic Lemon Ice Tea, Extra Chicken, Tex-Mex Bowl Grilled Chicken</t>
  </si>
  <si>
    <t>Dine In (RANA)</t>
  </si>
  <si>
    <t>RANA</t>
  </si>
  <si>
    <t>Americano</t>
  </si>
  <si>
    <t>ANIRUDH</t>
  </si>
  <si>
    <t>Classic Lemon Ice Tea, Classic Margherita Pizza, Salsa Rose</t>
  </si>
  <si>
    <t>Dine In (TIMPY)</t>
  </si>
  <si>
    <t>TIMPY</t>
  </si>
  <si>
    <t>Avocado Vanguard, Burnt Garlic &amp; Cauliflower, Espresso Tiramisu, Mushroom Marauders Bruschetta, Thukpa Vegan</t>
  </si>
  <si>
    <t>Brown Butter Latte, Classic Crispy Scouts</t>
  </si>
  <si>
    <t>KRISH</t>
  </si>
  <si>
    <t>Chicken Conqueror Burger, Extra Chicken, Tex-Mex Bowl Grilled Chicken</t>
  </si>
  <si>
    <t>Brown Butter Latte, Secret Mocha, Vanilla And Cocoa Marble Teacakes</t>
  </si>
  <si>
    <t>Dine In (kashish)</t>
  </si>
  <si>
    <t>kashish</t>
  </si>
  <si>
    <t>Dine In (VABHAV)</t>
  </si>
  <si>
    <t>VABHAV</t>
  </si>
  <si>
    <t>Classic Hot Chocolate, Egg French Omelette</t>
  </si>
  <si>
    <t>Dine In (radhika mam)</t>
  </si>
  <si>
    <t>radhika mam</t>
  </si>
  <si>
    <t>Cappuccino, Mushroom Alfredo</t>
  </si>
  <si>
    <t>Dine In (16)</t>
  </si>
  <si>
    <t>Dine In (Ravi)</t>
  </si>
  <si>
    <t>Ravi</t>
  </si>
  <si>
    <t>Arrabbiata Ambush, Cappuccino</t>
  </si>
  <si>
    <t>Dine In (RIDHIMA)</t>
  </si>
  <si>
    <t>RIDHIMA</t>
  </si>
  <si>
    <t>Avocado Vanguard, Iced Coconut Oat Matcha Latte</t>
  </si>
  <si>
    <t>Dine In (VASHNAV)</t>
  </si>
  <si>
    <t>VASHNAV</t>
  </si>
  <si>
    <t>Mushroom Marauders Bruschetta</t>
  </si>
  <si>
    <t>PARTH</t>
  </si>
  <si>
    <t>Chicken &amp; Cheese On Toast, Classic Hot Chocolate</t>
  </si>
  <si>
    <t>Americano, Cappuccino</t>
  </si>
  <si>
    <t>Cappuccino, Chicken &amp; Cheese On Toast, Masala Egg Bhurji</t>
  </si>
  <si>
    <t>Dine In (puran)</t>
  </si>
  <si>
    <t>puran</t>
  </si>
  <si>
    <t>Americano, Classic Hot Chocolate</t>
  </si>
  <si>
    <t>Dine In (sudeep)</t>
  </si>
  <si>
    <t>sudeep</t>
  </si>
  <si>
    <t>Asian Bowl Hot Garlic Stir Fry Bean Curd, Avocado Vanguard, Extra Vegetables, Grilled Fish, Grilled Vegetables, Pistachio Latte, Rainbow Roll Pizza</t>
  </si>
  <si>
    <t>Cinnamon Hot Chocolate, Classic Bombay Maestro Sandwich, Golden Tiramisu, Peri Peri Crispy Scouts, Pinefire, Rainbow Roll Pizza, Salsa Rose, Truffle Mushroom Arancini, Veg Quesadilla</t>
  </si>
  <si>
    <t>Brown Butter Latte, Cinnamon Hot Chocolate, Classic Bombay Maestro Sandwich, New Classic Hot Chocolate, Peri Peri Crispy Scouts, Rainbow Roll Pizza, The Full House Nachos (Veg), Tokyo Godzilla Frappe</t>
  </si>
  <si>
    <t>Chicken Conqueror Burger, Claasic Cold Coffee, London Fog, Pinefire, Roasted Tomato &amp; Basil, The Full House Nachos (Veg), Tiramisu Hot Chocolate, Water Bottle, Wild Berry Pancakes</t>
  </si>
  <si>
    <t>Biscoff Shake, Cappuccino, Classic Lemon Ice Tea, New Classic Hot Chocolate, Peri Peri Crispy Scouts, Salsa Rose, Spicy Chicken Tenders, The Full House Nachos (Veg), Truffle Mushroom Arancini</t>
  </si>
  <si>
    <t>Buffalo Chicken Wings With Ranch Dip, Cafe Mocha, Classic Hot Chocolate, Cream Of Chicken &amp; Leek, Mushroom Marauders Bruschetta, Peri Peri Cottage Cheese Pizza, Roasted Tomato &amp; Basil, Secret Mocha, Spicy Chicken Tenders, The Full House Nachos (Veg), Tiramisu Hot Chocolate, Veg Quesadilla</t>
  </si>
  <si>
    <t>Chicken Sausages (nv) 2, Classic Bombay Maestro Sandwich, Classic Hot Chocolate, Pistachio Latte, Roasted Tomato &amp; Basil, Secret Mocha, Spicy Chicken Tenders</t>
  </si>
  <si>
    <t>Brownie With Ice Cream, Burnt Garlic &amp; Cauliflower, Mushroom Alfredo, Peri Peri Cottage Cheese Pizza, Peri Peri Crispy Scouts, The Melty Mischief, Veg Quesadilla</t>
  </si>
  <si>
    <t>Brown Butter Latte, Claasic Cold Coffee, Classic Hot Chocolate, Jackfruit Jester Burger, New York Baked Cheese Cake, Peri Peri Crispy Scouts, Pinefire, Salsa Rose, Secret Mocha, Tex-Mex Bowl With Cottage Cheese (V), Veg Quesadilla</t>
  </si>
  <si>
    <t>Asian Bowl Hot Garlic Stir Fry Chicken, Brownie With Ice Cream, Caesar Commander, Cafe Mocha, Carbonara, Classic Garlic Gambit, Classic Lemon Ice Tea, Cream Of Chicken &amp; Leek, Garlic Pepper Chicken Pizza, Grilled Meaty Maverick, Peri Peri Crispy Scouts, The Full House Nachos (Chicken), Thukpa Chicken</t>
  </si>
  <si>
    <t>Cinnamon Hot Chocolate, Classic Margherita Pizza, Mushroom Alfredo, New Classic Hot Chocolate, Peri Peri Crispy Scouts, Pinefire, Rainbow Roll Pizza, Tiramisu Hot Chocolate, Veg Quesadilla, Water Bottle</t>
  </si>
  <si>
    <t>Brown Butter Latte, Classic Crispy Scouts, Extra Oat Milk, Middle-East Meetup, New York Baked Cheese Cake, Sunny Side Up, The Full House Nachos (Veg), Water Bottle</t>
  </si>
  <si>
    <t>Cappuccino, Chocolate Chip Pancakes, Claasic Cold Coffee, Classic Bombay Maestro Sandwich, Classic Scrambled Eggs, Cream Of Chicken &amp; Leek, Ratatouille Bunny Chow, Salsa Rose</t>
  </si>
  <si>
    <t>Chicken &amp; Cheese On Toast, Chicken Stroganoff Bunnychow, Grilled Chicken, Grilled Meaty Maverick, Hot Americano, New Classic Hot Chocolate, The Catalyst, Tokyo Godzilla Frappe</t>
  </si>
  <si>
    <t>Caesar Commander, Cafe Latte, Cafe Mocha, Chicken Conqueror Burger, Extra Dip, Rainbow Roll Pizza, Tex-Mex Bowl With Cottage Cheese (V), Vanilla And Cocoa Marble Teacakes, Water Bottle</t>
  </si>
  <si>
    <t>Birthday Game Charge, Cafe Mocha, Cappuccino, Claasic Cold Coffee, Classic Bombay Maestro Sandwich, Hot Americano, Non -veg-899, Peri Peri Cottage Cheese Pizza, Roasted Tomato &amp; Basil, The Full House Nachos (Veg), Veg- 799</t>
  </si>
  <si>
    <t>Avocado Vanguard, Chicken Conqueror Burger, Classic Crispy Scouts, Classic Lemon Ice Tea, Cookies - Cookie Of The Week, Semolina And Pistachio Teacakes, Tex-Mex Bowl With Cottage Cheese (V)</t>
  </si>
  <si>
    <t>Asian Bowl Hot Garlic Stir Fry Bean Curd, Brown Butter Latte, Claasic Cold Coffee, Classic Garlic Gambit, Creamy Pesto, Extra Cheese, Extra Dip, Iced Americano, Middle-East Meetup, Salsa Rose, Secret Mocha, The Bruschetta Bards, Veg Quesadilla</t>
  </si>
  <si>
    <t>Brown Butter Latte, Chicken &amp; Cheese On Toast, Classic Lemon Ice Tea, Masala Egg Bhurji, Rainbow Roll Pizza, Secret Mocha, The Full House Nachos (Veg), Water Bottle</t>
  </si>
  <si>
    <t>Cappuccino, Claasic Cold Coffee, Classic Lemon Ice Tea, Gaming Charge, Jackfruit Jester Burger, Peri Peri Cottage Cheese Pizza, Pinefire, Salsa Rose, The Bruschetta Bards</t>
  </si>
  <si>
    <t>Biscoff Shake, Chicken &amp; Cheese On Toast, Chicken Quesadilla, Hot Americano, Pistachio Latte, Rainbow Roll Pizza, Roasted Tomato &amp; Basil, Secret Mocha, Truffle And Parmesan Crispy Scouts</t>
  </si>
  <si>
    <t>Aglio Olio, Buffalo Chicken Wings With Ranch Dip, Creamy Pesto, Mushroom Alfredo, Peri Peri Cottage Cheese Pizza, Peri Peri Crispy Scouts, Rainbow Roll Pizza, The Full House Nachos (Veg)</t>
  </si>
  <si>
    <t>Buffalo Chicken Wings With Ranch Dip, Cappuccino, Chicken Conqueror Burger, Chicken Stroganoff Bunnychow, Espresso Tiramisu, Golden Tiramisu, Grilled Chicken, Mana Mint, New York Baked Cheese Cake, Rainbow Roll Pizza, Sour Cream And Onion Wrdges Warriors, Thukpa Chicken</t>
  </si>
  <si>
    <t>Chicken Quesadilla, Claasic Cold Coffee, Grilled Vegetables, Jackfruit Jester Burger, Middle-East Meetup, Peri Peri Crispy Scouts, Roasted Tomato &amp; Basil, Spicy Chicken Tenders, The Full House Nachos (Veg), Tokyo Godzilla Frappe</t>
  </si>
  <si>
    <t>Americano, Birthday Games, Cappuccino, Captain Fish Fingers, Classic Margherita Pizza, Grilled Meaty Maverick, Lebanese Chicken Pizza, Middle-East Meetup, Party Menu 65, Pinefire, Spicy Chicken Tenders, Stained Sagrada, Tex-Mex Bowl Grilled Chicken, Truffle Mushroom Arancini</t>
  </si>
  <si>
    <t>Captain Fish Fingers, Cream Of Chicken &amp; Leek, Garlic Pepper Chicken Pizza, Lebanese Chicken Pizza, Pistachio Latte, Secret Mocha, Sour Cream And Onion Crispy Scouts</t>
  </si>
  <si>
    <t>Aurora Engine, Butter Garlic Prawns With Sourdough, Claasic Cold Coffee, Golden Tiramisu, Honey Cinnamon Cold Brew, Lebanese Chicken Pizza, London Fog, Middle-East Meetup, Phoenix Berry, Spicy Chicken Tenders, Thukpa Chicken, Truffle And Parmesan Crispy Scouts, Water Bottle</t>
  </si>
  <si>
    <t>Asian Bowl Hot Garlic Stir Fry Shrimp, Biscoff Shake, Burnt Garlic &amp; Cauliflower, Classic Hot Chocolate, London Fog, Spicy Chicken Tenders, The Melty Mischief, Truffle &amp; Parmesan</t>
  </si>
  <si>
    <t>Arrabbiata Ambush, Mushroom Alfredo, Peri Peri Cottage Cheese Pizza, Pistachio Latte, Rainbow Roll Pizza, Sour Cream And Onion Crispy Scouts, The Full House Nachos (Veg)</t>
  </si>
  <si>
    <t>Cottage Cheese Steak, Middle-East Meetup, Semolina And Pistachio Teacakes, Super Green Risotto, The Bruschetta Bards, The Chlorophyll Mage, Tokyo Godzilla Frappe</t>
  </si>
  <si>
    <t>Cafe Mocha, Classic Hot Chocolate, Golden Tiramisu, Grilled Meaty Maverick, Lebanese Chicken Pizza, Mana Mint, Phoenix Berry, Rainbow Roll Pizza, Salsa Rose, Spicy Chicken Tenders, The Catalyst, Truffle And Parmesan Crispy Scouts, Truffle Mushroom Arancini</t>
  </si>
  <si>
    <t>Cafe Mocha, Classic Bombay Maestro Sandwich, Classic Hot Chocolate, Grilled Meaty Maverick, Matcha Latte, Truffle Mushroom Arancini, Vanilla And Cocoa Marble Teacakes</t>
  </si>
  <si>
    <t>Avocado Vanguard, Bacon (Nv) 2 Pieces, Captain Fish Fingers, Chocolate Chip Pancakes, Claasic Cold Coffee, Classic Hot Chocolate, Classic Lemon Ice Tea, Classic Wrdges Warriors, Coconut Noir, Egg French Omelette, Mana Mint, Mushroom Alfredo, Peri Peri Crispy Scouts, Pinefire, Pistachio Latte, Rainbow Roll Pizza, Salsa Rose, Stained Sagrada, Tex-Mex Bowl With Cottage Cheese (V), The Full House Nachos (Veg), The Melty Mischief</t>
  </si>
  <si>
    <t>Sum of Total Tax (₹)</t>
  </si>
  <si>
    <t>Row Labels</t>
  </si>
  <si>
    <t>Grand Total</t>
  </si>
  <si>
    <t>Column Labels</t>
  </si>
  <si>
    <t>Total Sum of Total Tax (₹)</t>
  </si>
  <si>
    <t>taxable</t>
  </si>
  <si>
    <t>Sum of taxable</t>
  </si>
  <si>
    <t>Total Sum of taxable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</si>
</sst>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0"/>
      <name val="Calibri"/>
      <family val="2"/>
    </font>
    <font>
      <b/>
      <sz val="10"/>
      <name val="Calibri"/>
      <family val="2"/>
    </font>
    <font>
      <sz val="10"/>
      <name val="Calibri"/>
      <family val="2"/>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11">
    <xf numFmtId="0" fontId="0" fillId="0" borderId="0" xfId="0"/>
    <xf numFmtId="0" fontId="1" fillId="0" borderId="0" xfId="0" applyFont="1"/>
    <xf numFmtId="2" fontId="0" fillId="0" borderId="0" xfId="0" applyNumberFormat="1"/>
    <xf numFmtId="43" fontId="0" fillId="0" borderId="0" xfId="1" applyFont="1"/>
    <xf numFmtId="43" fontId="1" fillId="0" borderId="0" xfId="1" applyFont="1"/>
    <xf numFmtId="0" fontId="0" fillId="0" borderId="0" xfId="0" pivotButton="1"/>
    <xf numFmtId="0" fontId="0" fillId="0" borderId="0" xfId="0" applyAlignment="1">
      <alignment horizontal="left"/>
    </xf>
    <xf numFmtId="21" fontId="0" fillId="0" borderId="0" xfId="0" applyNumberFormat="1"/>
    <xf numFmtId="15" fontId="0" fillId="0" borderId="0" xfId="0" applyNumberFormat="1"/>
    <xf numFmtId="14" fontId="0" fillId="0" borderId="0" xfId="0" applyNumberFormat="1"/>
    <xf numFmtId="0"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2.694343750001" createdVersion="8" refreshedVersion="8" minRefreshableVersion="3" recordCount="798" xr:uid="{9F50B500-B130-4F12-B818-9F2182210726}">
  <cacheSource type="worksheet">
    <worksheetSource ref="A5:U803" sheet="Sheet1"/>
  </cacheSource>
  <cacheFields count="24">
    <cacheField name="Order No." numFmtId="0">
      <sharedItems containsSemiMixedTypes="0" containsString="0" containsNumber="1" containsInteger="1" minValue="331" maxValue="1112"/>
    </cacheField>
    <cacheField name="Order Type" numFmtId="0">
      <sharedItems containsBlank="1"/>
    </cacheField>
    <cacheField name="Sub Order Type" numFmtId="0">
      <sharedItems containsBlank="1"/>
    </cacheField>
    <cacheField name="Customer Name" numFmtId="0">
      <sharedItems containsBlank="1"/>
    </cacheField>
    <cacheField name="Customer Phone" numFmtId="0">
      <sharedItems containsString="0" containsBlank="1" containsNumber="1" containsInteger="1" minValue="8799798731" maxValue="9990699415"/>
    </cacheField>
    <cacheField name="GSTIN" numFmtId="0">
      <sharedItems containsNonDate="0" containsString="0" containsBlank="1"/>
    </cacheField>
    <cacheField name="Customer Address" numFmtId="0">
      <sharedItems containsNonDate="0" containsString="0" containsBlank="1"/>
    </cacheField>
    <cacheField name="Delivery Boy" numFmtId="0">
      <sharedItems containsNonDate="0" containsString="0" containsBlank="1"/>
    </cacheField>
    <cacheField name="Delivery Boy Number" numFmtId="0">
      <sharedItems containsNonDate="0" containsString="0" containsBlank="1"/>
    </cacheField>
    <cacheField name="Items" numFmtId="0">
      <sharedItems containsBlank="1" longText="1"/>
    </cacheField>
    <cacheField name="My Amount (₹)" numFmtId="43">
      <sharedItems containsString="0" containsBlank="1" containsNumber="1" containsInteger="1" minValue="0" maxValue="15438"/>
    </cacheField>
    <cacheField name="Total Discount (₹)" numFmtId="0">
      <sharedItems containsString="0" containsBlank="1" containsNumber="1" minValue="0" maxValue="2315.6999999999998"/>
    </cacheField>
    <cacheField name="taxable" numFmtId="2">
      <sharedItems containsSemiMixedTypes="0" containsString="0" containsNumber="1" minValue="0" maxValue="13122.3"/>
    </cacheField>
    <cacheField name="Total Tax (₹)" numFmtId="0">
      <sharedItems containsSemiMixedTypes="0" containsString="0" containsNumber="1" minValue="0" maxValue="921.32"/>
    </cacheField>
    <cacheField name="Round Off (₹)" numFmtId="0">
      <sharedItems containsString="0" containsBlank="1" containsNumber="1" minValue="-0.48" maxValue="0.5"/>
    </cacheField>
    <cacheField name="Grand Total (₹)" numFmtId="0">
      <sharedItems containsSemiMixedTypes="0" containsString="0" containsNumber="1" containsInteger="1" minValue="0" maxValue="14044"/>
    </cacheField>
    <cacheField name="Payment Type" numFmtId="0">
      <sharedItems count="5">
        <s v="Card"/>
        <s v="Cash"/>
        <s v="Other [UPI]"/>
        <s v="Part Payment"/>
        <s v="Other [DINE OUT]"/>
      </sharedItems>
    </cacheField>
    <cacheField name="Payment Description" numFmtId="0">
      <sharedItems containsBlank="1"/>
    </cacheField>
    <cacheField name="Status" numFmtId="0">
      <sharedItems containsBlank="1"/>
    </cacheField>
    <cacheField name="Created" numFmtId="15">
      <sharedItems containsSemiMixedTypes="0" containsNonDate="0" containsDate="1" containsString="0" minDate="2025-12-01T00:00:00" maxDate="2026-01-01T00:00:00" count="31">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Sequence Name" numFmtId="0">
      <sharedItems containsNonDate="0" containsDate="1" containsString="0" containsBlank="1" minDate="1899-12-30T12:05:18" maxDate="1899-12-30T23:55:39" count="764">
        <d v="1899-12-30T14:19:57"/>
        <d v="1899-12-30T14:49:07"/>
        <d v="1899-12-30T15:27:56"/>
        <d v="1899-12-30T16:50:11"/>
        <d v="1899-12-30T18:47:30"/>
        <d v="1899-12-30T20:17:07"/>
        <d v="1899-12-30T21:30:39"/>
        <d v="1899-12-30T21:31:19"/>
        <d v="1899-12-30T21:36:53"/>
        <d v="1899-12-30T21:43:54"/>
        <d v="1899-12-30T21:54:12"/>
        <d v="1899-12-30T23:02:25"/>
        <d v="1899-12-30T23:02:53"/>
        <d v="1899-12-30T23:03:52"/>
        <d v="1899-12-30T23:09:25"/>
        <d v="1899-12-30T14:23:33"/>
        <d v="1899-12-30T17:47:28"/>
        <d v="1899-12-30T17:56:28"/>
        <d v="1899-12-30T18:08:29"/>
        <d v="1899-12-30T18:40:13"/>
        <d v="1899-12-30T19:00:33"/>
        <d v="1899-12-30T19:17:29"/>
        <d v="1899-12-30T19:58:10"/>
        <d v="1899-12-30T19:58:36"/>
        <d v="1899-12-30T21:18:13"/>
        <d v="1899-12-30T21:24:10"/>
        <d v="1899-12-30T22:53:11"/>
        <d v="1899-12-30T22:53:30"/>
        <d v="1899-12-30T14:04:44"/>
        <d v="1899-12-30T15:52:41"/>
        <d v="1899-12-30T20:04:50"/>
        <d v="1899-12-30T21:20:57"/>
        <d v="1899-12-30T21:58:35"/>
        <d v="1899-12-30T22:53:22"/>
        <d v="1899-12-30T23:02:27"/>
        <d v="1899-12-30T23:07:27"/>
        <d v="1899-12-30T23:07:48"/>
        <d v="1899-12-30T23:10:44"/>
        <d v="1899-12-30T23:14:01"/>
        <d v="1899-12-30T23:17:00"/>
        <d v="1899-12-30T23:17:46"/>
        <d v="1899-12-30T18:34:01"/>
        <d v="1899-12-30T19:43:10"/>
        <d v="1899-12-30T22:29:10"/>
        <d v="1899-12-30T23:05:50"/>
        <d v="1899-12-30T23:07:59"/>
        <d v="1899-12-30T23:09:40"/>
        <d v="1899-12-30T23:10:17"/>
        <d v="1899-12-30T23:12:27"/>
        <d v="1899-12-30T23:13:33"/>
        <d v="1899-12-30T23:13:50"/>
        <d v="1899-12-30T15:53:49"/>
        <d v="1899-12-30T17:06:26"/>
        <d v="1899-12-30T18:26:24"/>
        <d v="1899-12-30T18:57:51"/>
        <d v="1899-12-30T19:42:52"/>
        <d v="1899-12-30T20:19:26"/>
        <d v="1899-12-30T20:51:45"/>
        <d v="1899-12-30T21:11:58"/>
        <d v="1899-12-30T22:50:34"/>
        <d v="1899-12-30T22:58:34"/>
        <d v="1899-12-30T12:12:23"/>
        <d v="1899-12-30T13:59:31"/>
        <d v="1899-12-30T16:57:14"/>
        <d v="1899-12-30T17:25:28"/>
        <d v="1899-12-30T18:27:56"/>
        <d v="1899-12-30T18:36:08"/>
        <d v="1899-12-30T18:55:46"/>
        <d v="1899-12-30T19:34:21"/>
        <d v="1899-12-30T21:13:41"/>
        <d v="1899-12-30T21:17:28"/>
        <d v="1899-12-30T21:48:06"/>
        <d v="1899-12-30T22:03:07"/>
        <d v="1899-12-30T22:10:40"/>
        <d v="1899-12-30T22:13:07"/>
        <d v="1899-12-30T22:21:55"/>
        <d v="1899-12-30T22:26:12"/>
        <d v="1899-12-30T22:30:25"/>
        <d v="1899-12-30T22:43:17"/>
        <d v="1899-12-30T23:05:47"/>
        <d v="1899-12-30T23:09:32"/>
        <d v="1899-12-30T23:11:23"/>
        <d v="1899-12-30T23:20:00"/>
        <d v="1899-12-30T23:22:45"/>
        <d v="1899-12-30T23:27:48"/>
        <d v="1899-12-30T23:28:59"/>
        <d v="1899-12-30T15:13:13"/>
        <d v="1899-12-30T15:34:05"/>
        <d v="1899-12-30T15:38:29"/>
        <d v="1899-12-30T15:55:03"/>
        <d v="1899-12-30T16:23:51"/>
        <d v="1899-12-30T16:30:37"/>
        <d v="1899-12-30T16:51:55"/>
        <d v="1899-12-30T16:53:57"/>
        <d v="1899-12-30T16:59:30"/>
        <d v="1899-12-30T18:24:20"/>
        <d v="1899-12-30T18:51:35"/>
        <d v="1899-12-30T19:03:27"/>
        <d v="1899-12-30T19:05:06"/>
        <d v="1899-12-30T19:20:35"/>
        <d v="1899-12-30T20:03:39"/>
        <d v="1899-12-30T20:16:16"/>
        <d v="1899-12-30T20:18:58"/>
        <d v="1899-12-30T20:20:04"/>
        <d v="1899-12-30T20:50:54"/>
        <d v="1899-12-30T21:09:29"/>
        <d v="1899-12-30T21:13:17"/>
        <d v="1899-12-30T21:14:59"/>
        <d v="1899-12-30T21:23:24"/>
        <d v="1899-12-30T21:26:49"/>
        <d v="1899-12-30T21:50:07"/>
        <d v="1899-12-30T21:50:59"/>
        <d v="1899-12-30T21:58:14"/>
        <d v="1899-12-30T22:35:55"/>
        <d v="1899-12-30T22:59:20"/>
        <d v="1899-12-30T23:05:44"/>
        <d v="1899-12-30T23:15:05"/>
        <d v="1899-12-30T16:13:16"/>
        <d v="1899-12-30T19:13:10"/>
        <d v="1899-12-30T19:42:33"/>
        <d v="1899-12-30T20:07:09"/>
        <d v="1899-12-30T20:07:25"/>
        <d v="1899-12-30T20:41:51"/>
        <d v="1899-12-30T22:04:46"/>
        <d v="1899-12-30T23:26:59"/>
        <d v="1899-12-30T23:30:27"/>
        <d v="1899-12-30T13:52:33"/>
        <d v="1899-12-30T15:12:59"/>
        <d v="1899-12-30T15:32:13"/>
        <d v="1899-12-30T16:40:46"/>
        <d v="1899-12-30T17:21:26"/>
        <d v="1899-12-30T17:47:49"/>
        <d v="1899-12-30T22:33:28"/>
        <d v="1899-12-30T22:52:54"/>
        <d v="1899-12-30T22:53:46"/>
        <d v="1899-12-30T22:54:40"/>
        <d v="1899-12-30T22:56:36"/>
        <d v="1899-12-30T23:35:00"/>
        <d v="1899-12-30T23:43:27"/>
        <d v="1899-12-30T23:54:50"/>
        <d v="1899-12-30T23:55:39"/>
        <d v="1899-12-30T18:19:18"/>
        <d v="1899-12-30T19:49:58"/>
        <d v="1899-12-30T20:40:06"/>
        <d v="1899-12-30T20:45:48"/>
        <d v="1899-12-30T22:57:25"/>
        <d v="1899-12-30T23:03:59"/>
        <d v="1899-12-30T23:09:02"/>
        <d v="1899-12-30T23:12:34"/>
        <d v="1899-12-30T23:15:02"/>
        <d v="1899-12-30T23:16:26"/>
        <d v="1899-12-30T23:17:10"/>
        <d v="1899-12-30T23:18:55"/>
        <d v="1899-12-30T23:19:04"/>
        <d v="1899-12-30T23:21:25"/>
        <d v="1899-12-30T23:29:05"/>
        <d v="1899-12-30T23:29:12"/>
        <d v="1899-12-30T23:29:19"/>
        <d v="1899-12-30T12:05:18"/>
        <d v="1899-12-30T13:55:51"/>
        <d v="1899-12-30T15:10:31"/>
        <d v="1899-12-30T15:28:48"/>
        <d v="1899-12-30T15:31:52"/>
        <d v="1899-12-30T16:07:20"/>
        <d v="1899-12-30T18:05:25"/>
        <d v="1899-12-30T18:30:35"/>
        <d v="1899-12-30T18:40:15"/>
        <d v="1899-12-30T20:43:48"/>
        <d v="1899-12-30T20:47:16"/>
        <d v="1899-12-30T21:16:04"/>
        <d v="1899-12-30T21:25:20"/>
        <d v="1899-12-30T22:53:44"/>
        <d v="1899-12-30T22:56:28"/>
        <d v="1899-12-30T23:12:48"/>
        <d v="1899-12-30T23:15:22"/>
        <d v="1899-12-30T14:02:31"/>
        <d v="1899-12-30T14:52:21"/>
        <d v="1899-12-30T15:16:57"/>
        <d v="1899-12-30T15:49:06"/>
        <d v="1899-12-30T16:20:46"/>
        <d v="1899-12-30T16:24:36"/>
        <d v="1899-12-30T21:38:59"/>
        <d v="1899-12-30T21:57:59"/>
        <d v="1899-12-30T22:00:25"/>
        <d v="1899-12-30T22:10:51"/>
        <d v="1899-12-30T22:39:52"/>
        <d v="1899-12-30T23:01:55"/>
        <d v="1899-12-30T23:02:32"/>
        <d v="1899-12-30T23:04:48"/>
        <d v="1899-12-30T23:14:15"/>
        <d v="1899-12-30T23:14:48"/>
        <d v="1899-12-30T23:38:00"/>
        <d v="1899-12-30T23:38:18"/>
        <d v="1899-12-30T23:39:21"/>
        <d v="1899-12-30T23:43:32"/>
        <d v="1899-12-30T23:45:04"/>
        <d v="1899-12-30T12:20:02"/>
        <d v="1899-12-30T12:58:04"/>
        <d v="1899-12-30T13:08:15"/>
        <d v="1899-12-30T13:34:38"/>
        <d v="1899-12-30T13:55:22"/>
        <d v="1899-12-30T14:08:10"/>
        <d v="1899-12-30T14:28:47"/>
        <d v="1899-12-30T14:30:33"/>
        <d v="1899-12-30T14:38:17"/>
        <d v="1899-12-30T15:22:54"/>
        <d v="1899-12-30T15:48:38"/>
        <d v="1899-12-30T16:17:51"/>
        <d v="1899-12-30T17:26:03"/>
        <d v="1899-12-30T17:41:21"/>
        <d v="1899-12-30T18:01:01"/>
        <d v="1899-12-30T18:17:25"/>
        <d v="1899-12-30T18:36:09"/>
        <d v="1899-12-30T18:46:36"/>
        <d v="1899-12-30T18:52:50"/>
        <d v="1899-12-30T19:03:50"/>
        <d v="1899-12-30T19:04:12"/>
        <d v="1899-12-30T19:08:02"/>
        <d v="1899-12-30T19:12:57"/>
        <d v="1899-12-30T20:12:57"/>
        <d v="1899-12-30T20:25:06"/>
        <d v="1899-12-30T20:59:27"/>
        <d v="1899-12-30T22:01:22"/>
        <d v="1899-12-30T22:09:07"/>
        <d v="1899-12-30T22:19:38"/>
        <d v="1899-12-30T22:28:49"/>
        <d v="1899-12-30T22:39:36"/>
        <d v="1899-12-30T22:56:08"/>
        <d v="1899-12-30T23:04:29"/>
        <d v="1899-12-30T23:06:15"/>
        <d v="1899-12-30T23:06:44"/>
        <d v="1899-12-30T23:07:20"/>
        <d v="1899-12-30T23:10:03"/>
        <d v="1899-12-30T23:10:25"/>
        <d v="1899-12-30T23:10:56"/>
        <d v="1899-12-30T23:11:17"/>
        <d v="1899-12-30T23:11:26"/>
        <d v="1899-12-30T23:11:29"/>
        <d v="1899-12-30T23:34:34"/>
        <d v="1899-12-30T23:34:46"/>
        <d v="1899-12-30T23:34:56"/>
        <d v="1899-12-30T13:11:23"/>
        <d v="1899-12-30T13:27:34"/>
        <d v="1899-12-30T14:17:03"/>
        <d v="1899-12-30T14:54:59"/>
        <d v="1899-12-30T15:20:14"/>
        <d v="1899-12-30T16:02:22"/>
        <d v="1899-12-30T17:22:14"/>
        <d v="1899-12-30T17:28:04"/>
        <d v="1899-12-30T17:35:18"/>
        <d v="1899-12-30T17:41:39"/>
        <d v="1899-12-30T17:44:15"/>
        <d v="1899-12-30T17:48:38"/>
        <d v="1899-12-30T17:49:38"/>
        <d v="1899-12-30T17:53:55"/>
        <d v="1899-12-30T17:56:16"/>
        <d v="1899-12-30T17:57:05"/>
        <d v="1899-12-30T18:04:49"/>
        <d v="1899-12-30T18:37:13"/>
        <d v="1899-12-30T19:24:15"/>
        <d v="1899-12-30T19:31:09"/>
        <d v="1899-12-30T19:37:38"/>
        <d v="1899-12-30T19:45:39"/>
        <d v="1899-12-30T19:51:14"/>
        <d v="1899-12-30T19:56:34"/>
        <d v="1899-12-30T20:33:34"/>
        <d v="1899-12-30T20:38:12"/>
        <d v="1899-12-30T20:41:29"/>
        <d v="1899-12-30T21:05:33"/>
        <d v="1899-12-30T21:37:18"/>
        <d v="1899-12-30T21:40:12"/>
        <d v="1899-12-30T21:52:26"/>
        <d v="1899-12-30T22:16:48"/>
        <d v="1899-12-30T22:51:05"/>
        <d v="1899-12-30T23:08:12"/>
        <d v="1899-12-30T23:09:15"/>
        <d v="1899-12-30T23:24:38"/>
        <d v="1899-12-30T23:26:20"/>
        <d v="1899-12-30T13:04:22"/>
        <d v="1899-12-30T13:26:58"/>
        <d v="1899-12-30T15:07:54"/>
        <d v="1899-12-30T15:23:59"/>
        <d v="1899-12-30T16:01:32"/>
        <d v="1899-12-30T17:45:58"/>
        <d v="1899-12-30T17:58:25"/>
        <d v="1899-12-30T18:58:43"/>
        <d v="1899-12-30T19:09:10"/>
        <d v="1899-12-30T19:37:14"/>
        <d v="1899-12-30T22:23:58"/>
        <d v="1899-12-30T23:05:01"/>
        <d v="1899-12-30T23:05:27"/>
        <d v="1899-12-30T23:13:56"/>
        <d v="1899-12-30T13:19:09"/>
        <d v="1899-12-30T15:03:21"/>
        <d v="1899-12-30T18:19:31"/>
        <d v="1899-12-30T18:53:09"/>
        <d v="1899-12-30T19:01:45"/>
        <d v="1899-12-30T19:54:27"/>
        <d v="1899-12-30T20:33:03"/>
        <d v="1899-12-30T20:36:33"/>
        <d v="1899-12-30T21:10:21"/>
        <d v="1899-12-30T22:19:44"/>
        <d v="1899-12-30T22:25:04"/>
        <d v="1899-12-30T22:43:39"/>
        <d v="1899-12-30T22:54:33"/>
        <d v="1899-12-30T22:54:39"/>
        <d v="1899-12-30T22:54:45"/>
        <d v="1899-12-30T23:03:24"/>
        <d v="1899-12-30T16:22:33"/>
        <d v="1899-12-30T17:03:19"/>
        <d v="1899-12-30T17:10:22"/>
        <d v="1899-12-30T17:51:50"/>
        <d v="1899-12-30T18:18:52"/>
        <d v="1899-12-30T18:45:11"/>
        <d v="1899-12-30T21:19:05"/>
        <d v="1899-12-30T21:20:27"/>
        <d v="1899-12-30T21:52:16"/>
        <d v="1899-12-30T22:26:53"/>
        <d v="1899-12-30T22:26:56"/>
        <d v="1899-12-30T22:56:11"/>
        <d v="1899-12-30T23:09:43"/>
        <d v="1899-12-30T23:10:48"/>
        <d v="1899-12-30T23:12:26"/>
        <d v="1899-12-30T23:13:03"/>
        <d v="1899-12-30T13:53:48"/>
        <d v="1899-12-30T15:25:51"/>
        <d v="1899-12-30T16:03:25"/>
        <d v="1899-12-30T18:53:31"/>
        <d v="1899-12-30T18:54:44"/>
        <d v="1899-12-30T19:01:37"/>
        <d v="1899-12-30T19:26:26"/>
        <d v="1899-12-30T19:52:13"/>
        <d v="1899-12-30T20:00:30"/>
        <d v="1899-12-30T20:22:13"/>
        <d v="1899-12-30T20:43:28"/>
        <d v="1899-12-30T20:46:32"/>
        <d v="1899-12-30T21:26:23"/>
        <d v="1899-12-30T22:20:17"/>
        <d v="1899-12-30T22:28:12"/>
        <d v="1899-12-30T22:32:05"/>
        <d v="1899-12-30T23:04:04"/>
        <d v="1899-12-30T23:06:11"/>
        <d v="1899-12-30T23:06:40"/>
        <d v="1899-12-30T23:12:46"/>
        <d v="1899-12-30T23:13:30"/>
        <d v="1899-12-30T23:21:59"/>
        <d v="1899-12-30T13:54:42"/>
        <d v="1899-12-30T14:34:13"/>
        <d v="1899-12-30T14:52:29"/>
        <d v="1899-12-30T15:26:41"/>
        <d v="1899-12-30T17:16:00"/>
        <d v="1899-12-30T17:29:24"/>
        <d v="1899-12-30T17:36:10"/>
        <d v="1899-12-30T18:02:11"/>
        <d v="1899-12-30T18:27:19"/>
        <d v="1899-12-30T19:16:05"/>
        <d v="1899-12-30T20:04:11"/>
        <d v="1899-12-30T21:01:55"/>
        <d v="1899-12-30T21:53:38"/>
        <d v="1899-12-30T22:08:35"/>
        <d v="1899-12-30T22:09:04"/>
        <d v="1899-12-30T22:36:03"/>
        <d v="1899-12-30T23:12:23"/>
        <d v="1899-12-30T23:13:41"/>
        <d v="1899-12-30T14:46:23"/>
        <d v="1899-12-30T14:47:44"/>
        <d v="1899-12-30T14:50:51"/>
        <d v="1899-12-30T15:10:13"/>
        <d v="1899-12-30T15:18:54"/>
        <d v="1899-12-30T16:27:50"/>
        <d v="1899-12-30T16:34:14"/>
        <d v="1899-12-30T16:35:02"/>
        <d v="1899-12-30T16:42:00"/>
        <d v="1899-12-30T16:45:22"/>
        <d v="1899-12-30T17:21:00"/>
        <d v="1899-12-30T17:27:00"/>
        <d v="1899-12-30T17:37:25"/>
        <d v="1899-12-30T17:51:11"/>
        <d v="1899-12-30T18:10:42"/>
        <d v="1899-12-30T18:15:10"/>
        <d v="1899-12-30T18:15:52"/>
        <d v="1899-12-30T18:18:17"/>
        <d v="1899-12-30T18:42:03"/>
        <d v="1899-12-30T18:58:50"/>
        <d v="1899-12-30T19:17:06"/>
        <d v="1899-12-30T20:24:38"/>
        <d v="1899-12-30T20:36:48"/>
        <d v="1899-12-30T20:41:12"/>
        <d v="1899-12-30T21:04:02"/>
        <d v="1899-12-30T21:21:49"/>
        <d v="1899-12-30T21:29:05"/>
        <d v="1899-12-30T21:36:26"/>
        <d v="1899-12-30T22:03:17"/>
        <d v="1899-12-30T22:09:55"/>
        <d v="1899-12-30T22:32:41"/>
        <d v="1899-12-30T22:45:42"/>
        <d v="1899-12-30T22:51:16"/>
        <d v="1899-12-30T22:51:21"/>
        <d v="1899-12-30T22:58:22"/>
        <d v="1899-12-30T23:00:02"/>
        <d v="1899-12-30T23:01:51"/>
        <d v="1899-12-30T23:09:39"/>
        <d v="1899-12-30T23:13:12"/>
        <d v="1899-12-30T23:14:45"/>
        <d v="1899-12-30T23:16:09"/>
        <d v="1899-12-30T23:19:11"/>
        <d v="1899-12-30T23:21:10"/>
        <d v="1899-12-30T23:31:33"/>
        <d v="1899-12-30T23:33:14"/>
        <d v="1899-12-30T23:34:17"/>
        <d v="1899-12-30T23:37:56"/>
        <d v="1899-12-30T23:38:58"/>
        <d v="1899-12-30T23:40:30"/>
        <d v="1899-12-30T13:02:42"/>
        <d v="1899-12-30T13:15:38"/>
        <d v="1899-12-30T14:01:12"/>
        <d v="1899-12-30T15:21:04"/>
        <d v="1899-12-30T16:07:12"/>
        <d v="1899-12-30T16:15:24"/>
        <d v="1899-12-30T16:40:38"/>
        <d v="1899-12-30T16:41:35"/>
        <d v="1899-12-30T16:43:36"/>
        <d v="1899-12-30T17:04:14"/>
        <d v="1899-12-30T17:25:13"/>
        <d v="1899-12-30T17:28:33"/>
        <d v="1899-12-30T18:14:14"/>
        <d v="1899-12-30T18:15:55"/>
        <d v="1899-12-30T18:35:00"/>
        <d v="1899-12-30T18:57:13"/>
        <d v="1899-12-30T18:57:42"/>
        <d v="1899-12-30T19:07:59"/>
        <d v="1899-12-30T19:14:35"/>
        <d v="1899-12-30T19:34:25"/>
        <d v="1899-12-30T19:52:36"/>
        <d v="1899-12-30T20:08:48"/>
        <d v="1899-12-30T20:52:04"/>
        <d v="1899-12-30T21:05:17"/>
        <d v="1899-12-30T21:07:24"/>
        <d v="1899-12-30T21:17:44"/>
        <d v="1899-12-30T21:57:07"/>
        <d v="1899-12-30T22:08:59"/>
        <d v="1899-12-30T22:35:31"/>
        <d v="1899-12-30T22:49:49"/>
        <d v="1899-12-30T22:51:38"/>
        <d v="1899-12-30T22:54:22"/>
        <d v="1899-12-30T22:56:53"/>
        <d v="1899-12-30T22:58:35"/>
        <d v="1899-12-30T22:58:41"/>
        <d v="1899-12-30T23:01:25"/>
        <d v="1899-12-30T23:02:05"/>
        <d v="1899-12-30T23:04:51"/>
        <d v="1899-12-30T16:38:32"/>
        <d v="1899-12-30T17:50:39"/>
        <d v="1899-12-30T18:01:14"/>
        <d v="1899-12-30T18:23:49"/>
        <d v="1899-12-30T18:28:51"/>
        <d v="1899-12-30T19:53:08"/>
        <d v="1899-12-30T19:55:58"/>
        <d v="1899-12-30T20:09:02"/>
        <d v="1899-12-30T21:33:30"/>
        <d v="1899-12-30T21:58:03"/>
        <d v="1899-12-30T23:01:09"/>
        <d v="1899-12-30T23:01:50"/>
        <d v="1899-12-30T23:02:19"/>
        <d v="1899-12-30T23:03:47"/>
        <d v="1899-12-30T14:07:25"/>
        <d v="1899-12-30T15:09:07"/>
        <d v="1899-12-30T17:51:59"/>
        <d v="1899-12-30T18:34:27"/>
        <d v="1899-12-30T19:08:52"/>
        <d v="1899-12-30T19:38:02"/>
        <d v="1899-12-30T20:30:46"/>
        <d v="1899-12-30T21:13:36"/>
        <d v="1899-12-30T21:55:00"/>
        <d v="1899-12-30T21:57:22"/>
        <d v="1899-12-30T22:33:45"/>
        <d v="1899-12-30T22:34:07"/>
        <d v="1899-12-30T22:34:31"/>
        <d v="1899-12-30T22:35:12"/>
        <d v="1899-12-30T22:36:51"/>
        <d v="1899-12-30T22:51:59"/>
        <d v="1899-12-30T23:06:30"/>
        <d v="1899-12-30T23:07:28"/>
        <d v="1899-12-30T23:07:54"/>
        <d v="1899-12-30T12:25:00"/>
        <d v="1899-12-30T14:25:06"/>
        <d v="1899-12-30T16:29:25"/>
        <d v="1899-12-30T19:34:43"/>
        <d v="1899-12-30T19:51:40"/>
        <d v="1899-12-30T20:24:34"/>
        <d v="1899-12-30T20:30:58"/>
        <d v="1899-12-30T20:50:03"/>
        <d v="1899-12-30T21:33:19"/>
        <d v="1899-12-30T21:42:15"/>
        <d v="1899-12-30T22:17:16"/>
        <d v="1899-12-30T22:21:05"/>
        <d v="1899-12-30T22:25:40"/>
        <d v="1899-12-30T22:44:18"/>
        <d v="1899-12-30T22:57:47"/>
        <d v="1899-12-30T22:57:59"/>
        <d v="1899-12-30T23:03:45"/>
        <d v="1899-12-30T23:07:24"/>
        <d v="1899-12-30T23:08:08"/>
        <d v="1899-12-30T23:13:57"/>
        <d v="1899-12-30T23:14:27"/>
        <d v="1899-12-30T23:25:33"/>
        <d v="1899-12-30T23:31:24"/>
        <d v="1899-12-30T23:32:20"/>
        <d v="1899-12-30T14:03:38"/>
        <d v="1899-12-30T14:10:41"/>
        <d v="1899-12-30T14:19:05"/>
        <d v="1899-12-30T14:29:43"/>
        <d v="1899-12-30T14:38:56"/>
        <d v="1899-12-30T14:57:40"/>
        <d v="1899-12-30T15:20:23"/>
        <d v="1899-12-30T15:31:50"/>
        <d v="1899-12-30T16:02:45"/>
        <d v="1899-12-30T16:07:09"/>
        <d v="1899-12-30T16:12:31"/>
        <d v="1899-12-30T16:14:50"/>
        <d v="1899-12-30T16:21:06"/>
        <d v="1899-12-30T16:26:46"/>
        <d v="1899-12-30T16:27:34"/>
        <d v="1899-12-30T16:36:43"/>
        <d v="1899-12-30T17:03:20"/>
        <d v="1899-12-30T17:42:27"/>
        <d v="1899-12-30T17:46:45"/>
        <d v="1899-12-30T17:49:56"/>
        <d v="1899-12-30T17:52:27"/>
        <d v="1899-12-30T17:58:11"/>
        <d v="1899-12-30T18:37:05"/>
        <d v="1899-12-30T19:05:41"/>
        <d v="1899-12-30T19:13:28"/>
        <d v="1899-12-30T19:14:02"/>
        <d v="1899-12-30T19:24:05"/>
        <d v="1899-12-30T19:46:34"/>
        <d v="1899-12-30T19:46:46"/>
        <d v="1899-12-30T19:50:02"/>
        <d v="1899-12-30T20:03:47"/>
        <d v="1899-12-30T20:23:48"/>
        <d v="1899-12-30T20:28:14"/>
        <d v="1899-12-30T20:30:17"/>
        <d v="1899-12-30T20:43:44"/>
        <d v="1899-12-30T20:45:23"/>
        <d v="1899-12-30T20:50:41"/>
        <d v="1899-12-30T20:59:56"/>
        <d v="1899-12-30T21:08:49"/>
        <d v="1899-12-30T21:21:04"/>
        <d v="1899-12-30T21:38:54"/>
        <d v="1899-12-30T21:40:32"/>
        <d v="1899-12-30T21:49:20"/>
        <d v="1899-12-30T22:01:05"/>
        <d v="1899-12-30T22:06:14"/>
        <d v="1899-12-30T22:16:08"/>
        <d v="1899-12-30T22:25:44"/>
        <d v="1899-12-30T22:30:16"/>
        <d v="1899-12-30T22:32:13"/>
        <d v="1899-12-30T22:34:10"/>
        <d v="1899-12-30T22:36:58"/>
        <d v="1899-12-30T22:38:58"/>
        <d v="1899-12-30T22:41:30"/>
        <d v="1899-12-30T22:53:36"/>
        <d v="1899-12-30T23:02:09"/>
        <d v="1899-12-30T23:09:51"/>
        <d v="1899-12-30T23:09:54"/>
        <d v="1899-12-30T23:13:45"/>
        <d v="1899-12-30T23:15:47"/>
        <d v="1899-12-30T23:17:15"/>
        <d v="1899-12-30T23:17:25"/>
        <d v="1899-12-30T23:18:56"/>
        <d v="1899-12-30T23:19:09"/>
        <d v="1899-12-30T23:24:14"/>
        <d v="1899-12-30T14:39:36"/>
        <d v="1899-12-30T14:56:40"/>
        <d v="1899-12-30T15:46:11"/>
        <d v="1899-12-30T15:48:37"/>
        <d v="1899-12-30T15:56:50"/>
        <d v="1899-12-30T16:04:02"/>
        <d v="1899-12-30T16:27:54"/>
        <d v="1899-12-30T16:57:02"/>
        <d v="1899-12-30T17:17:43"/>
        <d v="1899-12-30T17:27:41"/>
        <d v="1899-12-30T18:08:42"/>
        <d v="1899-12-30T18:29:42"/>
        <d v="1899-12-30T18:30:21"/>
        <d v="1899-12-30T18:34:34"/>
        <d v="1899-12-30T18:39:16"/>
        <d v="1899-12-30T18:40:47"/>
        <d v="1899-12-30T18:56:42"/>
        <d v="1899-12-30T21:27:47"/>
        <d v="1899-12-30T22:01:45"/>
        <d v="1899-12-30T22:21:12"/>
        <d v="1899-12-30T22:21:14"/>
        <d v="1899-12-30T22:24:10"/>
        <d v="1899-12-30T22:24:24"/>
        <d v="1899-12-30T22:26:03"/>
        <d v="1899-12-30T22:29:37"/>
        <d v="1899-12-30T22:37:05"/>
        <d v="1899-12-30T22:40:08"/>
        <d v="1899-12-30T22:43:57"/>
        <d v="1899-12-30T22:44:37"/>
        <d v="1899-12-30T22:45:48"/>
        <d v="1899-12-30T22:48:54"/>
        <d v="1899-12-30T22:49:29"/>
        <d v="1899-12-30T22:57:33"/>
        <d v="1899-12-30T22:59:12"/>
        <d v="1899-12-30T23:07:16"/>
        <d v="1899-12-30T23:09:08"/>
        <d v="1899-12-30T23:11:41"/>
        <d v="1899-12-30T13:26:40"/>
        <d v="1899-12-30T14:14:49"/>
        <d v="1899-12-30T15:03:07"/>
        <d v="1899-12-30T15:42:26"/>
        <d v="1899-12-30T16:13:56"/>
        <d v="1899-12-30T16:46:38"/>
        <d v="1899-12-30T17:14:23"/>
        <d v="1899-12-30T17:23:58"/>
        <d v="1899-12-30T17:40:16"/>
        <d v="1899-12-30T17:45:10"/>
        <d v="1899-12-30T17:55:09"/>
        <d v="1899-12-30T18:42:29"/>
        <d v="1899-12-30T18:52:36"/>
        <d v="1899-12-30T18:59:30"/>
        <d v="1899-12-30T19:22:27"/>
        <d v="1899-12-30T19:51:45"/>
        <d v="1899-12-30T19:52:47"/>
        <d v="1899-12-30T20:06:03"/>
        <d v="1899-12-30T20:23:21"/>
        <d v="1899-12-30T20:34:14"/>
        <d v="1899-12-30T20:42:15"/>
        <d v="1899-12-30T21:19:20"/>
        <d v="1899-12-30T21:57:10"/>
        <d v="1899-12-30T22:51:19"/>
        <d v="1899-12-30T22:51:52"/>
        <d v="1899-12-30T22:52:24"/>
        <d v="1899-12-30T22:53:32"/>
        <d v="1899-12-30T22:53:35"/>
        <d v="1899-12-30T22:57:55"/>
        <d v="1899-12-30T23:03:42"/>
        <d v="1899-12-30T23:07:45"/>
        <d v="1899-12-30T23:10:20"/>
        <d v="1899-12-30T15:11:49"/>
        <d v="1899-12-30T16:22:20"/>
        <d v="1899-12-30T16:26:08"/>
        <d v="1899-12-30T16:26:10"/>
        <d v="1899-12-30T16:43:31"/>
        <d v="1899-12-30T17:03:48"/>
        <d v="1899-12-30T17:09:05"/>
        <d v="1899-12-30T17:10:34"/>
        <d v="1899-12-30T17:24:25"/>
        <d v="1899-12-30T17:27:24"/>
        <d v="1899-12-30T17:31:41"/>
        <d v="1899-12-30T19:46:45"/>
        <d v="1899-12-30T20:08:19"/>
        <d v="1899-12-30T20:40:21"/>
        <d v="1899-12-30T21:13:04"/>
        <d v="1899-12-30T21:14:11"/>
        <d v="1899-12-30T21:32:59"/>
        <d v="1899-12-30T21:51:28"/>
        <d v="1899-12-30T21:57:27"/>
        <d v="1899-12-30T21:58:31"/>
        <d v="1899-12-30T21:58:59"/>
        <d v="1899-12-30T22:02:56"/>
        <d v="1899-12-30T22:18:34"/>
        <d v="1899-12-30T22:24:43"/>
        <d v="1899-12-30T22:29:25"/>
        <d v="1899-12-30T22:31:54"/>
        <d v="1899-12-30T22:32:48"/>
        <d v="1899-12-30T22:37:46"/>
        <d v="1899-12-30T22:39:05"/>
        <d v="1899-12-30T22:45:07"/>
        <d v="1899-12-30T22:51:00"/>
        <d v="1899-12-30T22:52:05"/>
        <d v="1899-12-30T22:52:55"/>
        <d v="1899-12-30T22:53:16"/>
        <d v="1899-12-30T22:55:52"/>
        <d v="1899-12-30T22:56:41"/>
        <d v="1899-12-30T22:58:04"/>
        <d v="1899-12-30T23:07:23"/>
        <d v="1899-12-30T23:07:39"/>
        <d v="1899-12-30T23:11:00"/>
        <d v="1899-12-30T23:11:34"/>
        <d v="1899-12-30T23:16:54"/>
        <d v="1899-12-30T14:47:46"/>
        <d v="1899-12-30T15:58:22"/>
        <d v="1899-12-30T16:09:38"/>
        <d v="1899-12-30T16:27:33"/>
        <d v="1899-12-30T18:08:16"/>
        <d v="1899-12-30T18:32:19"/>
        <d v="1899-12-30T19:46:15"/>
        <d v="1899-12-30T20:18:47"/>
        <d v="1899-12-30T20:23:19"/>
        <d v="1899-12-30T20:42:48"/>
        <d v="1899-12-30T20:59:20"/>
        <d v="1899-12-30T21:39:07"/>
        <d v="1899-12-30T22:15:29"/>
        <d v="1899-12-30T23:00:07"/>
        <d v="1899-12-30T23:00:53"/>
        <d v="1899-12-30T23:00:59"/>
        <d v="1899-12-30T15:09:10"/>
        <d v="1899-12-30T16:34:18"/>
        <d v="1899-12-30T17:01:52"/>
        <d v="1899-12-30T17:06:18"/>
        <d v="1899-12-30T17:13:05"/>
        <d v="1899-12-30T17:28:40"/>
        <d v="1899-12-30T17:40:33"/>
        <d v="1899-12-30T17:54:04"/>
        <d v="1899-12-30T18:42:35"/>
        <d v="1899-12-30T19:07:58"/>
        <d v="1899-12-30T20:46:36"/>
        <d v="1899-12-30T21:10:34"/>
        <d v="1899-12-30T21:17:53"/>
        <d v="1899-12-30T21:20:05"/>
        <d v="1899-12-30T21:24:38"/>
        <d v="1899-12-30T21:54:21"/>
        <d v="1899-12-30T22:06:26"/>
        <d v="1899-12-30T22:18:26"/>
        <d v="1899-12-30T22:20:32"/>
        <d v="1899-12-30T22:48:45"/>
        <d v="1899-12-30T22:49:00"/>
        <d v="1899-12-30T22:50:48"/>
        <d v="1899-12-30T22:54:28"/>
        <d v="1899-12-30T22:59:14"/>
        <d v="1899-12-30T22:59:30"/>
        <d v="1899-12-30T23:00:26"/>
        <d v="1899-12-30T23:01:36"/>
        <d v="1899-12-30T23:05:05"/>
        <d v="1899-12-30T23:05:46"/>
        <d v="1899-12-30T23:06:52"/>
        <d v="1899-12-30T23:07:10"/>
        <d v="1899-12-30T23:11:48"/>
        <d v="1899-12-30T23:16:43"/>
        <d v="1899-12-30T14:25:53"/>
        <d v="1899-12-30T15:18:15"/>
        <d v="1899-12-30T15:20:17"/>
        <d v="1899-12-30T15:22:36"/>
        <d v="1899-12-30T15:25:21"/>
        <d v="1899-12-30T16:11:47"/>
        <d v="1899-12-30T16:45:06"/>
        <d v="1899-12-30T17:46:20"/>
        <d v="1899-12-30T18:06:45"/>
        <d v="1899-12-30T18:08:34"/>
        <d v="1899-12-30T18:23:26"/>
        <d v="1899-12-30T19:05:56"/>
        <d v="1899-12-30T19:23:49"/>
        <d v="1899-12-30T20:47:40"/>
        <d v="1899-12-30T21:40:15"/>
        <d v="1899-12-30T21:45:22"/>
        <d v="1899-12-30T22:11:12"/>
        <d v="1899-12-30T22:31:16"/>
        <d v="1899-12-30T22:33:53"/>
        <d v="1899-12-30T22:35:47"/>
        <d v="1899-12-30T22:38:31"/>
        <d v="1899-12-30T22:41:45"/>
        <d v="1899-12-30T22:47:51"/>
        <d v="1899-12-30T23:17:51"/>
        <d v="1899-12-30T23:18:04"/>
        <d v="1899-12-30T23:23:52"/>
        <d v="1899-12-30T23:25:20"/>
        <d v="1899-12-30T23:25:47"/>
        <d v="1899-12-30T23:36:05"/>
        <d v="1899-12-30T23:42:51"/>
        <d v="1899-12-30T23:47:47"/>
        <m/>
      </sharedItems>
      <fieldGroup par="23"/>
    </cacheField>
    <cacheField name="Seconds (Sequence Name)" numFmtId="0" databaseField="0">
      <fieldGroup base="20">
        <rangePr groupBy="seconds" startDate="1899-12-30T12:05:18" endDate="1899-12-30T23:55:3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Sequence Name)" numFmtId="0" databaseField="0">
      <fieldGroup base="20">
        <rangePr groupBy="minutes" startDate="1899-12-30T12:05:18" endDate="1899-12-30T23:55:3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Sequence Name)" numFmtId="0" databaseField="0">
      <fieldGroup base="20">
        <rangePr groupBy="hours" startDate="1899-12-30T12:05:18" endDate="1899-12-30T23:55:39"/>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8">
  <r>
    <n v="331"/>
    <s v="Dine In (1)"/>
    <s v="Dine In"/>
    <m/>
    <m/>
    <m/>
    <m/>
    <m/>
    <m/>
    <s v="Avocado Vanguard, Bacon (Nv) 2 Pieces, Captain Fish Fingers, Chocolate Chip Pancakes, Claasic Cold Coffee, Classic Hot Chocolate, Classic Lemon Ice Tea, Classic Wrdges Warriors, Coconut Noir, Egg French Omelette, Mana Mint, Mushroom Alfredo, Peri Peri Crispy Scouts, Pinefire, Pistachio Latte, Rainbow Roll Pizza, Salsa Rose, Stained Sagrada, Tex-Mex Bowl With Cottage Cheese (V), The Full House Nachos (Veg), The Melty Mischief"/>
    <n v="7340"/>
    <n v="1101"/>
    <n v="6239"/>
    <n v="311.95999999999998"/>
    <n v="0.04"/>
    <n v="6551"/>
    <x v="0"/>
    <m/>
    <s v="Printed"/>
    <x v="0"/>
    <x v="0"/>
  </r>
  <r>
    <n v="332"/>
    <s v="Dine In (sudeep)"/>
    <s v="Dine In"/>
    <s v="sudeep"/>
    <m/>
    <m/>
    <m/>
    <m/>
    <m/>
    <s v="Asian Bowl Hot Garlic Stir Fry Bean Curd, Avocado Vanguard, Extra Vegetables, Grilled Fish, Grilled Vegetables, Pistachio Latte, Rainbow Roll Pizza"/>
    <n v="3080"/>
    <n v="0"/>
    <n v="3080"/>
    <n v="148"/>
    <n v="0"/>
    <n v="3228"/>
    <x v="0"/>
    <m/>
    <s v="Printed"/>
    <x v="0"/>
    <x v="1"/>
  </r>
  <r>
    <n v="333"/>
    <s v="Dine In (puran)"/>
    <s v="Dine In"/>
    <s v="puran"/>
    <m/>
    <m/>
    <m/>
    <m/>
    <m/>
    <s v="Americano, Classic Hot Chocolate"/>
    <n v="545"/>
    <n v="0"/>
    <n v="545"/>
    <n v="27.26"/>
    <n v="-0.26"/>
    <n v="572"/>
    <x v="1"/>
    <m/>
    <s v="Printed"/>
    <x v="0"/>
    <x v="2"/>
  </r>
  <r>
    <n v="334"/>
    <s v="Dine In (rohit)"/>
    <s v="Dine In"/>
    <s v="rohit"/>
    <m/>
    <m/>
    <m/>
    <m/>
    <m/>
    <s v="Cappuccino, Chicken &amp; Cheese On Toast, Masala Egg Bhurji"/>
    <n v="920"/>
    <n v="0"/>
    <n v="920"/>
    <n v="46"/>
    <n v="0"/>
    <n v="966"/>
    <x v="0"/>
    <m/>
    <s v="Printed"/>
    <x v="0"/>
    <x v="3"/>
  </r>
  <r>
    <n v="335"/>
    <s v="Dine In (daliya)"/>
    <s v="Dine In"/>
    <s v="daliya"/>
    <m/>
    <m/>
    <m/>
    <m/>
    <m/>
    <s v="Americano, Cappuccino"/>
    <n v="470"/>
    <n v="0"/>
    <n v="470"/>
    <n v="23.5"/>
    <n v="0.5"/>
    <n v="494"/>
    <x v="2"/>
    <m/>
    <s v="Printed"/>
    <x v="0"/>
    <x v="4"/>
  </r>
  <r>
    <n v="336"/>
    <s v="Dine In (PARTH)"/>
    <s v="Dine In"/>
    <s v="PARTH"/>
    <m/>
    <m/>
    <m/>
    <m/>
    <m/>
    <s v="Chicken &amp; Cheese On Toast, Classic Hot Chocolate"/>
    <n v="705"/>
    <n v="0"/>
    <n v="705"/>
    <n v="35.26"/>
    <n v="-0.26"/>
    <n v="740"/>
    <x v="2"/>
    <m/>
    <s v="Printed"/>
    <x v="0"/>
    <x v="5"/>
  </r>
  <r>
    <n v="337"/>
    <s v="Dine In (VASHNAV)"/>
    <s v="Dine In"/>
    <s v="VASHNAV"/>
    <m/>
    <m/>
    <m/>
    <m/>
    <m/>
    <s v="Mushroom Marauders Bruschetta"/>
    <n v="320"/>
    <n v="0"/>
    <n v="320"/>
    <n v="16"/>
    <n v="0"/>
    <n v="336"/>
    <x v="2"/>
    <m/>
    <s v="Printed"/>
    <x v="0"/>
    <x v="6"/>
  </r>
  <r>
    <n v="338"/>
    <s v="Dine In (RIDHIMA)"/>
    <s v="Dine In"/>
    <s v="RIDHIMA"/>
    <m/>
    <m/>
    <m/>
    <m/>
    <m/>
    <s v="Avocado Vanguard, Iced Coconut Oat Matcha Latte"/>
    <n v="695"/>
    <n v="0"/>
    <n v="695"/>
    <n v="34.76"/>
    <n v="0.24"/>
    <n v="730"/>
    <x v="2"/>
    <m/>
    <s v="Printed"/>
    <x v="0"/>
    <x v="7"/>
  </r>
  <r>
    <n v="339"/>
    <s v="Dine In (Ravi)"/>
    <s v="Dine In"/>
    <s v="Ravi"/>
    <m/>
    <m/>
    <m/>
    <m/>
    <m/>
    <s v="Arrabbiata Ambush, Cappuccino"/>
    <n v="675"/>
    <n v="0"/>
    <n v="675"/>
    <n v="33.76"/>
    <n v="0.24"/>
    <n v="709"/>
    <x v="0"/>
    <m/>
    <s v="Printed"/>
    <x v="0"/>
    <x v="8"/>
  </r>
  <r>
    <n v="340"/>
    <s v="Dine In (16)"/>
    <s v="Dine In"/>
    <m/>
    <m/>
    <m/>
    <m/>
    <m/>
    <m/>
    <s v="Espresso Tiramisu"/>
    <n v="345"/>
    <n v="0"/>
    <n v="345"/>
    <n v="17.260000000000002"/>
    <n v="-0.26"/>
    <n v="362"/>
    <x v="1"/>
    <m/>
    <s v="Printed"/>
    <x v="0"/>
    <x v="9"/>
  </r>
  <r>
    <n v="341"/>
    <s v="Dine In (5)"/>
    <s v="Dine In"/>
    <m/>
    <m/>
    <m/>
    <m/>
    <m/>
    <m/>
    <s v="Cappuccino, Mushroom Alfredo"/>
    <n v="925"/>
    <n v="0"/>
    <n v="925"/>
    <n v="46.26"/>
    <n v="-0.26"/>
    <n v="971"/>
    <x v="0"/>
    <m/>
    <s v="Printed"/>
    <x v="0"/>
    <x v="10"/>
  </r>
  <r>
    <n v="342"/>
    <s v="Dine In (radhika mam)"/>
    <s v="Dine In"/>
    <s v="radhika mam"/>
    <m/>
    <m/>
    <m/>
    <m/>
    <m/>
    <s v="Cafe Mocha, Classic Bombay Maestro Sandwich, Classic Hot Chocolate, Grilled Meaty Maverick, Matcha Latte, Truffle Mushroom Arancini, Vanilla And Cocoa Marble Teacakes"/>
    <n v="0"/>
    <n v="0"/>
    <n v="0"/>
    <n v="0"/>
    <n v="0"/>
    <n v="0"/>
    <x v="1"/>
    <m/>
    <s v="Printed"/>
    <x v="0"/>
    <x v="11"/>
  </r>
  <r>
    <n v="343"/>
    <s v="Dine In (VIKASH SIR)"/>
    <s v="Dine In"/>
    <s v="VIKASH SIR"/>
    <m/>
    <m/>
    <m/>
    <m/>
    <m/>
    <s v="Classic Hot Chocolate, Egg French Omelette"/>
    <n v="0"/>
    <n v="0"/>
    <n v="0"/>
    <n v="0"/>
    <n v="0"/>
    <n v="0"/>
    <x v="1"/>
    <m/>
    <s v="Printed"/>
    <x v="0"/>
    <x v="12"/>
  </r>
  <r>
    <n v="344"/>
    <s v="Dine In (4)"/>
    <s v="Dine In"/>
    <m/>
    <m/>
    <m/>
    <m/>
    <m/>
    <m/>
    <s v="Classic Hot Chocolate"/>
    <n v="325"/>
    <n v="0"/>
    <n v="325"/>
    <n v="16.260000000000002"/>
    <n v="-0.26"/>
    <n v="341"/>
    <x v="1"/>
    <m/>
    <s v="Printed"/>
    <x v="0"/>
    <x v="13"/>
  </r>
  <r>
    <n v="345"/>
    <s v="Dine In (VABHAV)"/>
    <s v="Dine In"/>
    <s v="VABHAV"/>
    <m/>
    <m/>
    <m/>
    <m/>
    <m/>
    <s v="Gaming Charges (1_hr)"/>
    <n v="122"/>
    <n v="0"/>
    <n v="122"/>
    <n v="21.96"/>
    <n v="0.04"/>
    <n v="144"/>
    <x v="2"/>
    <m/>
    <s v="Printed"/>
    <x v="0"/>
    <x v="14"/>
  </r>
  <r>
    <n v="346"/>
    <s v="Dine In (kashish)"/>
    <s v="Dine In"/>
    <s v="kashish"/>
    <m/>
    <m/>
    <m/>
    <m/>
    <m/>
    <s v="Chicken &amp; Cheese On Toast"/>
    <n v="380"/>
    <n v="0"/>
    <n v="380"/>
    <n v="19"/>
    <n v="0"/>
    <n v="399"/>
    <x v="2"/>
    <m/>
    <s v="Printed"/>
    <x v="1"/>
    <x v="15"/>
  </r>
  <r>
    <n v="347"/>
    <s v="Dine In (5)"/>
    <s v="Dine In"/>
    <m/>
    <m/>
    <m/>
    <m/>
    <m/>
    <m/>
    <s v="Brown Butter Latte, Secret Mocha, Vanilla And Cocoa Marble Teacakes"/>
    <n v="765"/>
    <n v="0"/>
    <n v="765"/>
    <n v="38.26"/>
    <n v="-0.26"/>
    <n v="803"/>
    <x v="0"/>
    <m/>
    <s v="Printed"/>
    <x v="1"/>
    <x v="16"/>
  </r>
  <r>
    <n v="348"/>
    <s v="Dine In (KRISH)"/>
    <s v="Dine In"/>
    <s v="KRISH"/>
    <m/>
    <m/>
    <m/>
    <m/>
    <m/>
    <s v="Chicken Conqueror Burger, Extra Chicken, Tex-Mex Bowl Grilled Chicken"/>
    <n v="1095"/>
    <n v="0"/>
    <n v="1095"/>
    <n v="47.26"/>
    <n v="-0.26"/>
    <n v="1142"/>
    <x v="0"/>
    <m/>
    <s v="Printed"/>
    <x v="1"/>
    <x v="17"/>
  </r>
  <r>
    <n v="349"/>
    <s v="Dine In (SHAKSHI)"/>
    <s v="Dine In"/>
    <s v="shakshi"/>
    <n v="9916565965"/>
    <m/>
    <m/>
    <m/>
    <m/>
    <s v="Brown Butter Latte, Classic Crispy Scouts"/>
    <n v="780"/>
    <n v="117"/>
    <n v="663"/>
    <n v="33.159999999999997"/>
    <n v="-0.16"/>
    <n v="696"/>
    <x v="2"/>
    <m/>
    <s v="Printed"/>
    <x v="1"/>
    <x v="18"/>
  </r>
  <r>
    <n v="350"/>
    <s v="Dine In (TIMPY)"/>
    <s v="Dine In"/>
    <s v="TIMPY"/>
    <m/>
    <m/>
    <m/>
    <m/>
    <m/>
    <s v="Avocado Vanguard, Burnt Garlic &amp; Cauliflower, Espresso Tiramisu, Mushroom Marauders Bruschetta, Thukpa Vegan"/>
    <n v="1585"/>
    <n v="0"/>
    <n v="1585"/>
    <n v="79.260000000000005"/>
    <n v="-0.26"/>
    <n v="1664"/>
    <x v="2"/>
    <m/>
    <s v="Printed"/>
    <x v="1"/>
    <x v="19"/>
  </r>
  <r>
    <n v="351"/>
    <s v="Dine In (ANIRUDH)"/>
    <s v="Dine In"/>
    <s v="ANIRUDH"/>
    <m/>
    <m/>
    <m/>
    <m/>
    <m/>
    <s v="Classic Lemon Ice Tea, Classic Margherita Pizza, Salsa Rose"/>
    <n v="1015"/>
    <n v="0"/>
    <n v="1015"/>
    <n v="50.76"/>
    <n v="0.24"/>
    <n v="1066"/>
    <x v="1"/>
    <m/>
    <s v="Printed"/>
    <x v="1"/>
    <x v="20"/>
  </r>
  <r>
    <n v="352"/>
    <s v="Dine In (RANA)"/>
    <s v="Dine In"/>
    <s v="RANA"/>
    <m/>
    <m/>
    <m/>
    <m/>
    <m/>
    <s v="Americano"/>
    <n v="220"/>
    <n v="0"/>
    <n v="220"/>
    <n v="11"/>
    <n v="0"/>
    <n v="231"/>
    <x v="2"/>
    <m/>
    <s v="Printed"/>
    <x v="1"/>
    <x v="21"/>
  </r>
  <r>
    <n v="353"/>
    <s v="Dine In (SIDH)"/>
    <s v="Dine In"/>
    <s v="SIDH"/>
    <m/>
    <m/>
    <m/>
    <m/>
    <m/>
    <s v="Classic Lemon Ice Tea, Extra Chicken, Tex-Mex Bowl Grilled Chicken"/>
    <n v="810"/>
    <n v="0"/>
    <n v="810"/>
    <n v="33"/>
    <n v="0"/>
    <n v="843"/>
    <x v="0"/>
    <m/>
    <s v="Printed"/>
    <x v="1"/>
    <x v="22"/>
  </r>
  <r>
    <n v="354"/>
    <s v="Dine In (RISHAB)"/>
    <s v="Dine In"/>
    <s v="RISHAB"/>
    <m/>
    <m/>
    <m/>
    <m/>
    <m/>
    <s v="Cafe Mocha, Classic Hot Chocolate, Golden Tiramisu, Grilled Meaty Maverick, Lebanese Chicken Pizza, Mana Mint, Phoenix Berry, Rainbow Roll Pizza, Salsa Rose, Spicy Chicken Tenders, The Catalyst, Truffle And Parmesan Crispy Scouts, Truffle Mushroom Arancini"/>
    <n v="4705"/>
    <n v="705.75"/>
    <n v="3999.25"/>
    <n v="199.96"/>
    <n v="-0.21"/>
    <n v="4199"/>
    <x v="0"/>
    <m/>
    <s v="Printed"/>
    <x v="1"/>
    <x v="23"/>
  </r>
  <r>
    <n v="355"/>
    <s v="Dine In (CHETAN)"/>
    <s v="Dine In"/>
    <s v="CHETAN"/>
    <m/>
    <m/>
    <m/>
    <m/>
    <m/>
    <s v="Cappuccino, Rainbow Roll Pizza"/>
    <n v="950"/>
    <n v="0"/>
    <n v="950"/>
    <n v="47.5"/>
    <n v="0.5"/>
    <n v="998"/>
    <x v="2"/>
    <m/>
    <s v="Printed"/>
    <x v="1"/>
    <x v="24"/>
  </r>
  <r>
    <n v="356"/>
    <s v="Dine In (ANUSHIKA)"/>
    <s v="Dine In"/>
    <s v="ANUSHIKA"/>
    <m/>
    <m/>
    <m/>
    <m/>
    <m/>
    <s v="Ratatouille Bunny Chow"/>
    <n v="350"/>
    <n v="52.5"/>
    <n v="297.5"/>
    <n v="14.88"/>
    <n v="-0.38"/>
    <n v="312"/>
    <x v="0"/>
    <m/>
    <s v="Printed"/>
    <x v="1"/>
    <x v="25"/>
  </r>
  <r>
    <n v="357"/>
    <s v="Dine In (radhika mam)"/>
    <s v="Dine In"/>
    <s v="radhika mam"/>
    <m/>
    <m/>
    <m/>
    <m/>
    <m/>
    <s v="Espresso Tiramisu, Matcha Latte, Ratatouille Bunny Chow"/>
    <n v="0"/>
    <n v="0"/>
    <n v="0"/>
    <n v="0"/>
    <n v="0"/>
    <n v="0"/>
    <x v="1"/>
    <m/>
    <s v="Printed"/>
    <x v="1"/>
    <x v="26"/>
  </r>
  <r>
    <n v="358"/>
    <s v="Dine In (sidhant)"/>
    <s v="Dine In"/>
    <s v="sidhant"/>
    <m/>
    <m/>
    <m/>
    <m/>
    <m/>
    <s v="Caesar Commander, Cappuccino, Creamy Pesto, Crimson Hex, Grilled Fish, Semolina And Pistachio Teacakes, Tokyo Godzilla Frappe"/>
    <n v="2880"/>
    <n v="0"/>
    <n v="2880"/>
    <n v="144"/>
    <n v="0"/>
    <n v="3024"/>
    <x v="0"/>
    <m/>
    <s v="Printed"/>
    <x v="1"/>
    <x v="27"/>
  </r>
  <r>
    <n v="359"/>
    <s v="Dine In (5)"/>
    <s v="Dine In"/>
    <m/>
    <m/>
    <m/>
    <m/>
    <m/>
    <m/>
    <s v="Aglio Olio, Classic Wrdges Warriors, Garlic Pepper Chicken Pizza, Iced Mocha"/>
    <n v="1495"/>
    <n v="0"/>
    <n v="1495"/>
    <n v="74.760000000000005"/>
    <n v="0.24"/>
    <n v="1570"/>
    <x v="2"/>
    <m/>
    <s v="Printed"/>
    <x v="2"/>
    <x v="28"/>
  </r>
  <r>
    <n v="360"/>
    <s v="Dine In (rista)"/>
    <s v="Dine In"/>
    <s v="rista"/>
    <m/>
    <m/>
    <m/>
    <m/>
    <m/>
    <s v="Aglio Olio, Avocado Vanguard"/>
    <n v="775"/>
    <n v="0"/>
    <n v="775"/>
    <n v="38.76"/>
    <n v="0.24"/>
    <n v="814"/>
    <x v="2"/>
    <m/>
    <s v="Printed"/>
    <x v="2"/>
    <x v="29"/>
  </r>
  <r>
    <n v="361"/>
    <s v="Dine In (ritu)"/>
    <s v="Dine In"/>
    <s v="ritu"/>
    <m/>
    <m/>
    <m/>
    <m/>
    <m/>
    <s v="Secret Mocha"/>
    <n v="280"/>
    <n v="0"/>
    <n v="280"/>
    <n v="14"/>
    <n v="0"/>
    <n v="294"/>
    <x v="2"/>
    <m/>
    <s v="Printed"/>
    <x v="2"/>
    <x v="30"/>
  </r>
  <r>
    <n v="362"/>
    <s v="Dine In (12)"/>
    <s v="Dine In"/>
    <m/>
    <m/>
    <m/>
    <m/>
    <m/>
    <m/>
    <s v="Americano, Captain Fish Fingers, The Chlorophyll Mage"/>
    <n v="1230"/>
    <n v="0"/>
    <n v="1230"/>
    <n v="61.5"/>
    <n v="0.5"/>
    <n v="1292"/>
    <x v="0"/>
    <m/>
    <s v="Printed"/>
    <x v="2"/>
    <x v="31"/>
  </r>
  <r>
    <n v="363"/>
    <s v="Dine In (harivansh)"/>
    <s v="Dine In"/>
    <s v="harivansh"/>
    <m/>
    <m/>
    <m/>
    <m/>
    <m/>
    <s v="Mushroom Alfredo, Pinefire, Red Knight, Wild Berry Pancakes"/>
    <n v="1270"/>
    <n v="0"/>
    <n v="1270"/>
    <n v="63.5"/>
    <n v="0.5"/>
    <n v="1334"/>
    <x v="0"/>
    <m/>
    <s v="Printed"/>
    <x v="2"/>
    <x v="32"/>
  </r>
  <r>
    <n v="364"/>
    <s v="Dine In (4)"/>
    <s v="Dine In"/>
    <m/>
    <m/>
    <m/>
    <m/>
    <m/>
    <m/>
    <s v="Cappuccino, Mushroom Alfredo, Thukpa Vegan"/>
    <n v="965"/>
    <n v="0"/>
    <n v="965"/>
    <n v="48.26"/>
    <n v="-0.26"/>
    <n v="1013"/>
    <x v="0"/>
    <m/>
    <s v="Printed"/>
    <x v="2"/>
    <x v="33"/>
  </r>
  <r>
    <n v="365"/>
    <s v="Dine In (7)"/>
    <s v="Dine In"/>
    <m/>
    <m/>
    <m/>
    <m/>
    <m/>
    <m/>
    <s v="Classic Hot Chocolate, Salsa Rose"/>
    <n v="750"/>
    <n v="0"/>
    <n v="750"/>
    <n v="37.5"/>
    <n v="0.5"/>
    <n v="788"/>
    <x v="1"/>
    <m/>
    <s v="Printed"/>
    <x v="2"/>
    <x v="34"/>
  </r>
  <r>
    <n v="366"/>
    <s v="Dine In (richi)"/>
    <s v="Dine In"/>
    <s v="richi"/>
    <m/>
    <m/>
    <m/>
    <m/>
    <m/>
    <s v="Classic Hot Chocolate, Creamy Pesto"/>
    <n v="900"/>
    <n v="0"/>
    <n v="900"/>
    <n v="45"/>
    <n v="0"/>
    <n v="945"/>
    <x v="1"/>
    <m/>
    <s v="Printed"/>
    <x v="2"/>
    <x v="35"/>
  </r>
  <r>
    <n v="367"/>
    <s v="Dine In (shubankar)"/>
    <s v="Dine In"/>
    <s v="shubankar"/>
    <m/>
    <m/>
    <m/>
    <m/>
    <m/>
    <s v="Brown Butter Latte, Creamy Pesto"/>
    <n v="720"/>
    <n v="0"/>
    <n v="720"/>
    <n v="36"/>
    <n v="0"/>
    <n v="756"/>
    <x v="0"/>
    <m/>
    <s v="Printed"/>
    <x v="2"/>
    <x v="36"/>
  </r>
  <r>
    <n v="368"/>
    <s v="Dine In (sidhant sir)"/>
    <s v="Dine In"/>
    <s v="sidhant sir"/>
    <m/>
    <m/>
    <m/>
    <m/>
    <m/>
    <s v="Cafe Mocha, Cappuccino, Classic Hot Chocolate, Grilled Meaty Maverick"/>
    <n v="1275"/>
    <n v="0"/>
    <n v="1275"/>
    <n v="63.76"/>
    <n v="0.24"/>
    <n v="1339"/>
    <x v="0"/>
    <m/>
    <s v="Printed"/>
    <x v="2"/>
    <x v="37"/>
  </r>
  <r>
    <n v="369"/>
    <s v="Dine In (soham)"/>
    <s v="Dine In"/>
    <s v="soham"/>
    <m/>
    <m/>
    <m/>
    <m/>
    <m/>
    <s v="Grilled Meaty Maverick"/>
    <n v="420"/>
    <n v="42"/>
    <n v="378"/>
    <n v="18.899999999999999"/>
    <n v="0.1"/>
    <n v="397"/>
    <x v="0"/>
    <m/>
    <s v="Printed"/>
    <x v="2"/>
    <x v="38"/>
  </r>
  <r>
    <n v="370"/>
    <s v="Dine In (radhika maam)"/>
    <s v="Dine In"/>
    <s v="radhika maam"/>
    <m/>
    <m/>
    <m/>
    <m/>
    <m/>
    <s v="Espresso Tiramisu, Garlic Pepper Chicken Pizza, Golden Tiramisu"/>
    <n v="0"/>
    <n v="0"/>
    <n v="0"/>
    <n v="0"/>
    <n v="0"/>
    <n v="0"/>
    <x v="1"/>
    <m/>
    <s v="Printed"/>
    <x v="2"/>
    <x v="39"/>
  </r>
  <r>
    <n v="371"/>
    <s v="Dine In (vikash sir)"/>
    <s v="Dine In"/>
    <s v="VIKASH SIR"/>
    <m/>
    <m/>
    <m/>
    <m/>
    <m/>
    <s v="Cappuccino, Classic Hot Chocolate, Jackfruit Jester Burger, Salsa Rose"/>
    <n v="0"/>
    <n v="0"/>
    <n v="0"/>
    <n v="0"/>
    <n v="0"/>
    <n v="0"/>
    <x v="1"/>
    <m/>
    <s v="Printed"/>
    <x v="2"/>
    <x v="40"/>
  </r>
  <r>
    <n v="372"/>
    <s v="Dine In (AGUSTA)"/>
    <s v="Dine In"/>
    <s v="AGUSTA"/>
    <m/>
    <m/>
    <m/>
    <m/>
    <m/>
    <s v="Grilled Meaty Maverick"/>
    <n v="420"/>
    <n v="0"/>
    <n v="420"/>
    <n v="21"/>
    <n v="0"/>
    <n v="441"/>
    <x v="1"/>
    <m/>
    <s v="Printed"/>
    <x v="3"/>
    <x v="41"/>
  </r>
  <r>
    <n v="373"/>
    <s v="Dine In (GUNJAN)"/>
    <s v="Dine In"/>
    <s v="GUNJAN"/>
    <m/>
    <m/>
    <m/>
    <m/>
    <m/>
    <s v="Roasted Tomato &amp; Basil, Salsa Rose"/>
    <n v="705"/>
    <n v="0"/>
    <n v="705"/>
    <n v="35.26"/>
    <n v="-0.26"/>
    <n v="740"/>
    <x v="0"/>
    <m/>
    <s v="Printed"/>
    <x v="3"/>
    <x v="42"/>
  </r>
  <r>
    <n v="374"/>
    <s v="Dine In (STIVEN)"/>
    <s v="Dine In"/>
    <s v="STIVEN"/>
    <m/>
    <m/>
    <m/>
    <m/>
    <m/>
    <s v="The Full House Nachos (Veg)"/>
    <n v="380"/>
    <n v="0"/>
    <n v="380"/>
    <n v="19"/>
    <n v="0"/>
    <n v="399"/>
    <x v="1"/>
    <m/>
    <s v="Printed"/>
    <x v="3"/>
    <x v="43"/>
  </r>
  <r>
    <n v="375"/>
    <s v="Dine In (VABHIV)"/>
    <s v="Dine In"/>
    <s v="VABHIV"/>
    <m/>
    <m/>
    <m/>
    <m/>
    <m/>
    <s v="Burnt Garlic &amp; Cauliflower, Flat White, Lebanese Chicken Pizza"/>
    <n v="1040"/>
    <n v="0"/>
    <n v="1040"/>
    <n v="52"/>
    <n v="0"/>
    <n v="1092"/>
    <x v="2"/>
    <m/>
    <s v="Printed"/>
    <x v="3"/>
    <x v="44"/>
  </r>
  <r>
    <n v="376"/>
    <s v="Dine In (PRIYANSH)"/>
    <s v="Dine In"/>
    <s v="PRIYANSH"/>
    <m/>
    <m/>
    <m/>
    <m/>
    <m/>
    <s v="Burnt Garlic &amp; Cauliflower, Secret Mocha"/>
    <n v="560"/>
    <n v="0"/>
    <n v="560"/>
    <n v="28"/>
    <n v="0"/>
    <n v="588"/>
    <x v="0"/>
    <m/>
    <s v="Printed"/>
    <x v="3"/>
    <x v="45"/>
  </r>
  <r>
    <n v="377"/>
    <s v="Dine In (RADHIKA MAM)"/>
    <s v="Dine In"/>
    <s v="RADHIKA MAAM"/>
    <m/>
    <m/>
    <m/>
    <m/>
    <m/>
    <s v="Cappuccino, Classic Vanilla Stuffed French Toast, Matcha Latte, Mushroom Marauders Bruschetta, Secret Mocha"/>
    <n v="0"/>
    <n v="0"/>
    <n v="0"/>
    <n v="0"/>
    <n v="0"/>
    <n v="0"/>
    <x v="1"/>
    <m/>
    <s v="Printed"/>
    <x v="3"/>
    <x v="46"/>
  </r>
  <r>
    <n v="378"/>
    <s v="Dine In (JYOTSHI)"/>
    <s v="Dine In"/>
    <s v="JYOTSHI"/>
    <m/>
    <m/>
    <m/>
    <m/>
    <m/>
    <s v="Mushroom Marauders Bruschetta, Tex-Mex Bowl With Cottage Cheese (V)"/>
    <n v="745"/>
    <n v="0"/>
    <n v="745"/>
    <n v="37.26"/>
    <n v="-0.26"/>
    <n v="782"/>
    <x v="2"/>
    <m/>
    <s v="Printed"/>
    <x v="3"/>
    <x v="47"/>
  </r>
  <r>
    <n v="379"/>
    <s v="Dine In (VIKASH SIR)"/>
    <s v="Dine In"/>
    <s v="radha"/>
    <m/>
    <m/>
    <m/>
    <m/>
    <m/>
    <s v="Cottage Cheese Steak"/>
    <n v="0"/>
    <n v="0"/>
    <n v="0"/>
    <n v="0"/>
    <n v="0"/>
    <n v="0"/>
    <x v="1"/>
    <m/>
    <s v="Printed"/>
    <x v="3"/>
    <x v="48"/>
  </r>
  <r>
    <n v="380"/>
    <s v="Dine In (vishakha)"/>
    <s v="Dine In"/>
    <s v="vishakha"/>
    <m/>
    <m/>
    <m/>
    <m/>
    <m/>
    <s v="Cappuccino, Classic Hot Chocolate, Tex-Mex Bowl With Cottage Cheese (V)"/>
    <n v="0"/>
    <n v="0"/>
    <n v="0"/>
    <n v="0"/>
    <n v="0"/>
    <n v="0"/>
    <x v="1"/>
    <m/>
    <s v="Printed"/>
    <x v="3"/>
    <x v="49"/>
  </r>
  <r>
    <n v="381"/>
    <s v="Dine In (SIDHANT SIR)"/>
    <s v="Dine In"/>
    <s v="SIDHANT SIR"/>
    <m/>
    <m/>
    <m/>
    <m/>
    <m/>
    <s v="Chocolate Chip Pancakes, Middle-East Meetup"/>
    <n v="805"/>
    <n v="0"/>
    <n v="805"/>
    <n v="40.26"/>
    <n v="-0.26"/>
    <n v="845"/>
    <x v="0"/>
    <m/>
    <s v="Printed"/>
    <x v="3"/>
    <x v="50"/>
  </r>
  <r>
    <n v="382"/>
    <s v="Dine In (SIDHANT SIR)"/>
    <s v="Dine In"/>
    <s v="SIDHANT SIR"/>
    <m/>
    <m/>
    <m/>
    <m/>
    <m/>
    <s v="Cottage Cheese Steak, Middle-East Meetup, Semolina And Pistachio Teacakes, Super Green Risotto, The Bruschetta Bards, The Chlorophyll Mage, Tokyo Godzilla Frappe"/>
    <n v="2765"/>
    <n v="0"/>
    <n v="2765"/>
    <n v="138.26"/>
    <n v="-0.26"/>
    <n v="2903"/>
    <x v="0"/>
    <m/>
    <s v="Printed"/>
    <x v="4"/>
    <x v="51"/>
  </r>
  <r>
    <n v="383"/>
    <s v="Dine In (DIMPY)"/>
    <s v="Dine In"/>
    <s v="DIMPY"/>
    <m/>
    <m/>
    <m/>
    <m/>
    <m/>
    <s v="Cafe Latte, Claasic Cold Coffee, Spicy Chicken Tenders, Thukpa Vegan"/>
    <n v="1215"/>
    <n v="0"/>
    <n v="1215"/>
    <n v="60.76"/>
    <n v="0.24"/>
    <n v="1276"/>
    <x v="2"/>
    <m/>
    <s v="Printed"/>
    <x v="4"/>
    <x v="52"/>
  </r>
  <r>
    <n v="384"/>
    <s v="Dine In (7)"/>
    <s v="Dine In"/>
    <m/>
    <m/>
    <m/>
    <m/>
    <m/>
    <m/>
    <s v="Cappuccino"/>
    <n v="250"/>
    <n v="0"/>
    <n v="250"/>
    <n v="12.5"/>
    <n v="0.5"/>
    <n v="263"/>
    <x v="2"/>
    <m/>
    <s v="Printed"/>
    <x v="4"/>
    <x v="53"/>
  </r>
  <r>
    <n v="385"/>
    <s v="Dine In (2)"/>
    <s v="Dine In"/>
    <m/>
    <m/>
    <m/>
    <m/>
    <m/>
    <m/>
    <s v="Americano, The Full House Nachos (Veg)"/>
    <n v="600"/>
    <n v="0"/>
    <n v="600"/>
    <n v="30"/>
    <n v="0"/>
    <n v="630"/>
    <x v="2"/>
    <m/>
    <s v="Printed"/>
    <x v="4"/>
    <x v="54"/>
  </r>
  <r>
    <n v="386"/>
    <s v="Dine In (DEKSHITA)"/>
    <s v="Dine In"/>
    <s v="DEKSHITA"/>
    <m/>
    <m/>
    <m/>
    <m/>
    <m/>
    <s v="The Full House Nachos (Veg), Truffle Mushroom Arancini"/>
    <n v="760"/>
    <n v="0"/>
    <n v="760"/>
    <n v="38"/>
    <n v="0"/>
    <n v="798"/>
    <x v="0"/>
    <m/>
    <s v="Printed"/>
    <x v="4"/>
    <x v="55"/>
  </r>
  <r>
    <n v="387"/>
    <s v="Dine In (AMRITA)"/>
    <s v="Dine In"/>
    <s v="AMRITA"/>
    <m/>
    <m/>
    <m/>
    <m/>
    <m/>
    <s v="Arrabbiata Ambush, Mushroom Alfredo, Peri Peri Cottage Cheese Pizza, Pistachio Latte, Rainbow Roll Pizza, Sour Cream And Onion Crispy Scouts, The Full House Nachos (Veg)"/>
    <n v="6480"/>
    <n v="1296"/>
    <n v="5184"/>
    <n v="259.2"/>
    <n v="-0.2"/>
    <n v="5443"/>
    <x v="0"/>
    <m/>
    <s v="Printed"/>
    <x v="4"/>
    <x v="56"/>
  </r>
  <r>
    <n v="388"/>
    <s v="Dine In (MANISH)"/>
    <s v="Dine In"/>
    <s v="MANISH"/>
    <m/>
    <m/>
    <m/>
    <m/>
    <m/>
    <s v="Arrabbiata Ambush, Thukpa Vegan"/>
    <n v="715"/>
    <n v="0"/>
    <n v="715"/>
    <n v="35.76"/>
    <n v="0.24"/>
    <n v="751"/>
    <x v="1"/>
    <m/>
    <s v="Printed"/>
    <x v="4"/>
    <x v="57"/>
  </r>
  <r>
    <n v="389"/>
    <s v="Dine In (RADHIKA MAAM)"/>
    <s v="Dine In"/>
    <s v="RADHIKA MAAM"/>
    <m/>
    <m/>
    <m/>
    <m/>
    <m/>
    <s v="Middle-East Meetup, Pinefire"/>
    <n v="0"/>
    <n v="0"/>
    <n v="0"/>
    <n v="0"/>
    <n v="0"/>
    <n v="0"/>
    <x v="1"/>
    <m/>
    <s v="Printed"/>
    <x v="4"/>
    <x v="58"/>
  </r>
  <r>
    <n v="390"/>
    <s v="Dine In (VISHAKA)"/>
    <s v="Dine In"/>
    <s v="VISHAKA"/>
    <m/>
    <m/>
    <m/>
    <m/>
    <m/>
    <s v="Classic Hot Chocolate, Cottage Cheese Steak, Mushroom Marauders Bruschetta, Pistachio Latte"/>
    <n v="0"/>
    <n v="0"/>
    <n v="0"/>
    <n v="0"/>
    <n v="0"/>
    <n v="0"/>
    <x v="1"/>
    <m/>
    <s v="Printed"/>
    <x v="4"/>
    <x v="59"/>
  </r>
  <r>
    <n v="391"/>
    <s v="Dine In (1)"/>
    <s v="Dine In"/>
    <m/>
    <m/>
    <m/>
    <m/>
    <m/>
    <m/>
    <s v="Tokyo Godzilla Frappe"/>
    <n v="365"/>
    <n v="0"/>
    <n v="365"/>
    <n v="18.260000000000002"/>
    <n v="-0.26"/>
    <n v="383"/>
    <x v="1"/>
    <m/>
    <s v="Printed"/>
    <x v="4"/>
    <x v="60"/>
  </r>
  <r>
    <n v="392"/>
    <s v="Dine In (shikha)"/>
    <s v="Dine In"/>
    <s v="shikha"/>
    <m/>
    <m/>
    <m/>
    <m/>
    <m/>
    <s v="Classic Hot Chocolate, Peri Peri Crispy Scouts"/>
    <n v="840"/>
    <n v="0"/>
    <n v="840"/>
    <n v="42"/>
    <n v="0"/>
    <n v="882"/>
    <x v="0"/>
    <m/>
    <s v="Printed"/>
    <x v="5"/>
    <x v="61"/>
  </r>
  <r>
    <n v="393"/>
    <s v="Dine In (35)"/>
    <s v="Dine In"/>
    <m/>
    <m/>
    <m/>
    <m/>
    <m/>
    <m/>
    <s v="Cappuccino"/>
    <n v="250"/>
    <n v="0"/>
    <n v="250"/>
    <n v="12.5"/>
    <n v="0.5"/>
    <n v="263"/>
    <x v="0"/>
    <m/>
    <s v="Printed"/>
    <x v="5"/>
    <x v="62"/>
  </r>
  <r>
    <n v="394"/>
    <s v="Dine In (4)"/>
    <s v="Dine In"/>
    <m/>
    <m/>
    <m/>
    <m/>
    <m/>
    <m/>
    <s v="Aglio Olio, Americano, Claasic Cold Coffee, Classic Hot Chocolate, Peri Peri Crispy Scouts, Salsa Rose"/>
    <n v="1880"/>
    <n v="0"/>
    <n v="1880"/>
    <n v="94"/>
    <n v="0"/>
    <n v="1974"/>
    <x v="2"/>
    <m/>
    <s v="Printed"/>
    <x v="5"/>
    <x v="63"/>
  </r>
  <r>
    <n v="395"/>
    <s v="Dine In (3)"/>
    <s v="Dine In"/>
    <m/>
    <m/>
    <m/>
    <m/>
    <m/>
    <m/>
    <s v="Golden Tiramisu"/>
    <n v="345"/>
    <n v="0"/>
    <n v="345"/>
    <n v="17.260000000000002"/>
    <n v="-0.26"/>
    <n v="362"/>
    <x v="2"/>
    <m/>
    <s v="Printed"/>
    <x v="5"/>
    <x v="64"/>
  </r>
  <r>
    <n v="396"/>
    <s v="Dine In (kunicka)"/>
    <s v="Dine In"/>
    <s v="kunika"/>
    <m/>
    <m/>
    <m/>
    <m/>
    <m/>
    <s v="Classic Crispy Scouts, Honey Cinnamon Cold Brew, Red Knight, Tex-Mex Bowl With Cottage Cheese (V)"/>
    <n v="1085"/>
    <n v="0"/>
    <n v="1085"/>
    <n v="54.26"/>
    <n v="-0.26"/>
    <n v="1139"/>
    <x v="0"/>
    <m/>
    <s v="Printed"/>
    <x v="5"/>
    <x v="65"/>
  </r>
  <r>
    <n v="397"/>
    <s v="Dine In (samarth)"/>
    <s v="Dine In"/>
    <s v="samarth"/>
    <m/>
    <m/>
    <m/>
    <m/>
    <m/>
    <s v="Chicken Quesadilla, Chicken Sausages (Nv) 2, Classic Bombay Maestro Sandwich, Extra Vegetables, Grilled Fish"/>
    <n v="2300"/>
    <n v="0"/>
    <n v="2300"/>
    <n v="109"/>
    <n v="0"/>
    <n v="2409"/>
    <x v="2"/>
    <m/>
    <s v="Printed"/>
    <x v="5"/>
    <x v="66"/>
  </r>
  <r>
    <n v="398"/>
    <s v="Dine In (himanhi)"/>
    <s v="Dine In"/>
    <s v="himanshi"/>
    <m/>
    <m/>
    <m/>
    <m/>
    <m/>
    <s v="Avocado Vanguard, Chicken Stroganoff Bunnychow, Extra Chicken, Masala Egg Bhurji, Roasted Tomato &amp; Basil, Thukpa Chicken"/>
    <n v="1770"/>
    <n v="0"/>
    <n v="1770"/>
    <n v="81"/>
    <n v="0"/>
    <n v="1851"/>
    <x v="2"/>
    <m/>
    <s v="Printed"/>
    <x v="5"/>
    <x v="67"/>
  </r>
  <r>
    <n v="399"/>
    <s v="Dine In (manya)"/>
    <s v="Dine In"/>
    <s v="manya"/>
    <m/>
    <m/>
    <m/>
    <m/>
    <m/>
    <s v="Asian Bowl Hot Garlic Stir Fry Shrimp, Biscoff Shake, Burnt Garlic &amp; Cauliflower, Classic Hot Chocolate, London Fog, Spicy Chicken Tenders, The Melty Mischief, Truffle &amp; Parmesan"/>
    <n v="2940"/>
    <n v="0"/>
    <n v="2940"/>
    <n v="147"/>
    <n v="0"/>
    <n v="3087"/>
    <x v="2"/>
    <m/>
    <s v="Printed"/>
    <x v="5"/>
    <x v="68"/>
  </r>
  <r>
    <n v="400"/>
    <s v="Dine In (daxita)"/>
    <s v="Dine In"/>
    <s v="daxita"/>
    <m/>
    <m/>
    <m/>
    <m/>
    <m/>
    <s v="Claasic Cold Coffee, Classic Hot Chocolate, Peri Peri Crispy Scouts"/>
    <n v="1135"/>
    <n v="0"/>
    <n v="1135"/>
    <n v="56.76"/>
    <n v="0.24"/>
    <n v="1192"/>
    <x v="0"/>
    <m/>
    <s v="Printed"/>
    <x v="5"/>
    <x v="69"/>
  </r>
  <r>
    <n v="401"/>
    <s v="Dine In (2)"/>
    <s v="Dine In"/>
    <m/>
    <m/>
    <m/>
    <m/>
    <m/>
    <m/>
    <s v="Rainbow Roll Pizza"/>
    <n v="450"/>
    <n v="0"/>
    <n v="450"/>
    <n v="22.5"/>
    <n v="0.5"/>
    <n v="473"/>
    <x v="2"/>
    <m/>
    <s v="Printed"/>
    <x v="5"/>
    <x v="70"/>
  </r>
  <r>
    <n v="402"/>
    <s v="Dine In (11)"/>
    <s v="Dine In"/>
    <m/>
    <m/>
    <m/>
    <m/>
    <m/>
    <m/>
    <s v="Peri Peri Crispy Scouts"/>
    <n v="190"/>
    <n v="0"/>
    <n v="190"/>
    <n v="9.5"/>
    <n v="0.5"/>
    <n v="200"/>
    <x v="2"/>
    <m/>
    <s v="Printed"/>
    <x v="5"/>
    <x v="71"/>
  </r>
  <r>
    <n v="403"/>
    <s v="Dine In (nukur)"/>
    <s v="Dine In"/>
    <s v="nukur"/>
    <m/>
    <m/>
    <m/>
    <m/>
    <m/>
    <s v="Classic Margherita Pizza, Roasted Tomato &amp; Basil"/>
    <n v="705"/>
    <n v="0"/>
    <n v="705"/>
    <n v="35.26"/>
    <n v="-0.26"/>
    <n v="740"/>
    <x v="0"/>
    <m/>
    <s v="Printed"/>
    <x v="5"/>
    <x v="72"/>
  </r>
  <r>
    <n v="404"/>
    <s v="Dine In (isita)"/>
    <s v="Dine In"/>
    <s v="isita"/>
    <m/>
    <m/>
    <m/>
    <m/>
    <m/>
    <s v="Classic Hot Chocolate"/>
    <n v="325"/>
    <n v="0"/>
    <n v="325"/>
    <n v="16.260000000000002"/>
    <n v="-0.26"/>
    <n v="341"/>
    <x v="2"/>
    <m/>
    <s v="Printed"/>
    <x v="5"/>
    <x v="73"/>
  </r>
  <r>
    <n v="405"/>
    <s v="Dine In (isita)"/>
    <s v="Dine In"/>
    <s v="isita"/>
    <m/>
    <m/>
    <m/>
    <m/>
    <m/>
    <s v="Claasic Cold Coffee"/>
    <n v="295"/>
    <n v="0"/>
    <n v="295"/>
    <n v="14.76"/>
    <n v="0.24"/>
    <n v="310"/>
    <x v="2"/>
    <m/>
    <s v="Printed"/>
    <x v="5"/>
    <x v="74"/>
  </r>
  <r>
    <n v="406"/>
    <s v="Dine In (amit)"/>
    <s v="Dine In"/>
    <s v="amit"/>
    <m/>
    <m/>
    <m/>
    <m/>
    <m/>
    <s v="Mushroom Alfredo, Roasted Tomato &amp; Basil"/>
    <n v="705"/>
    <n v="105.75"/>
    <n v="599.25"/>
    <n v="29.96"/>
    <n v="-0.21"/>
    <n v="629"/>
    <x v="0"/>
    <m/>
    <s v="Printed"/>
    <x v="5"/>
    <x v="75"/>
  </r>
  <r>
    <n v="407"/>
    <s v="Dine In (pranaf)"/>
    <s v="Dine In"/>
    <s v="prnaf"/>
    <m/>
    <m/>
    <m/>
    <m/>
    <m/>
    <s v="Arrabbiata Ambush, Captain Fish Fingers"/>
    <n v="835"/>
    <n v="0"/>
    <n v="835"/>
    <n v="41.76"/>
    <n v="0.24"/>
    <n v="877"/>
    <x v="2"/>
    <m/>
    <s v="Printed"/>
    <x v="5"/>
    <x v="76"/>
  </r>
  <r>
    <n v="408"/>
    <s v="Dine In (subham)"/>
    <s v="Dine In"/>
    <s v="subham"/>
    <m/>
    <m/>
    <m/>
    <m/>
    <m/>
    <s v="Cafe Latte, Cappuccino"/>
    <n v="490"/>
    <n v="0"/>
    <n v="490"/>
    <n v="24.5"/>
    <n v="0.5"/>
    <n v="515"/>
    <x v="2"/>
    <m/>
    <s v="Printed"/>
    <x v="5"/>
    <x v="77"/>
  </r>
  <r>
    <n v="409"/>
    <s v="Dine In (manish)"/>
    <s v="Dine In"/>
    <s v="manish"/>
    <m/>
    <m/>
    <m/>
    <m/>
    <m/>
    <s v="Golden Tiramisu, New York Baked Cheese Cake"/>
    <n v="690"/>
    <n v="0"/>
    <n v="690"/>
    <n v="34.5"/>
    <n v="0.5"/>
    <n v="725"/>
    <x v="2"/>
    <m/>
    <s v="Printed"/>
    <x v="5"/>
    <x v="78"/>
  </r>
  <r>
    <n v="410"/>
    <s v="Dine In (priyansh)"/>
    <s v="Dine In"/>
    <s v="priyansh"/>
    <m/>
    <m/>
    <m/>
    <m/>
    <m/>
    <s v="Golden Tiramisu"/>
    <n v="345"/>
    <n v="0"/>
    <n v="345"/>
    <n v="17.260000000000002"/>
    <n v="-0.26"/>
    <n v="362"/>
    <x v="2"/>
    <m/>
    <s v="Printed"/>
    <x v="5"/>
    <x v="79"/>
  </r>
  <r>
    <n v="411"/>
    <s v="Dine In (21)"/>
    <s v="Dine In"/>
    <m/>
    <m/>
    <m/>
    <m/>
    <m/>
    <m/>
    <s v="Gaming Charges (1_hr)"/>
    <n v="244"/>
    <n v="0"/>
    <n v="244"/>
    <n v="43.92"/>
    <n v="0.08"/>
    <n v="288"/>
    <x v="2"/>
    <m/>
    <s v="Printed"/>
    <x v="5"/>
    <x v="80"/>
  </r>
  <r>
    <n v="412"/>
    <s v="Dine In (yougesh)"/>
    <s v="Dine In"/>
    <s v="yougesh"/>
    <m/>
    <m/>
    <m/>
    <m/>
    <m/>
    <s v="Avocado Vanguard, Cafe Mocha, Pistachio Latte"/>
    <n v="925"/>
    <n v="0"/>
    <n v="925"/>
    <n v="46.26"/>
    <n v="-0.26"/>
    <n v="971"/>
    <x v="0"/>
    <m/>
    <s v="Printed"/>
    <x v="5"/>
    <x v="81"/>
  </r>
  <r>
    <n v="413"/>
    <s v="Dine In (samyea)"/>
    <s v="Dine In"/>
    <s v="samyea"/>
    <m/>
    <m/>
    <m/>
    <m/>
    <m/>
    <s v="Classic Hot Chocolate"/>
    <n v="325"/>
    <n v="0"/>
    <n v="325"/>
    <n v="16.260000000000002"/>
    <n v="-0.26"/>
    <n v="341"/>
    <x v="2"/>
    <m/>
    <s v="Printed"/>
    <x v="5"/>
    <x v="82"/>
  </r>
  <r>
    <n v="414"/>
    <s v="Dine In (stivan)"/>
    <s v="Dine In"/>
    <s v="stivan"/>
    <m/>
    <m/>
    <m/>
    <m/>
    <m/>
    <s v="Claasic Cold Coffee, Classic Lemon Ice Tea, The Full House Nachos (Veg)"/>
    <n v="840"/>
    <n v="0"/>
    <n v="840"/>
    <n v="42"/>
    <n v="0"/>
    <n v="882"/>
    <x v="1"/>
    <m/>
    <s v="Printed"/>
    <x v="5"/>
    <x v="83"/>
  </r>
  <r>
    <n v="415"/>
    <s v="Dine In (vikas sir)"/>
    <s v="Dine In"/>
    <s v="vikas sir"/>
    <m/>
    <m/>
    <m/>
    <m/>
    <m/>
    <s v="Espresso, Grilled Chicken"/>
    <n v="0"/>
    <n v="0"/>
    <n v="0"/>
    <n v="0"/>
    <n v="0"/>
    <n v="0"/>
    <x v="1"/>
    <m/>
    <s v="Printed"/>
    <x v="5"/>
    <x v="84"/>
  </r>
  <r>
    <n v="416"/>
    <s v="Dine In (visakha)"/>
    <s v="Dine In"/>
    <s v="visakha"/>
    <m/>
    <m/>
    <m/>
    <m/>
    <m/>
    <s v="Classic Hot Chocolate, Peri Peri Cottage Cheese Pizza"/>
    <n v="0"/>
    <n v="0"/>
    <n v="0"/>
    <n v="0"/>
    <n v="0"/>
    <n v="0"/>
    <x v="1"/>
    <m/>
    <s v="Printed"/>
    <x v="5"/>
    <x v="85"/>
  </r>
  <r>
    <n v="417"/>
    <s v="Dine In (stiven)"/>
    <s v="Dine In"/>
    <s v="stiven"/>
    <m/>
    <m/>
    <m/>
    <m/>
    <m/>
    <s v="Crimson Hex"/>
    <n v="450"/>
    <n v="0"/>
    <n v="450"/>
    <n v="22.5"/>
    <n v="0.5"/>
    <n v="473"/>
    <x v="2"/>
    <m/>
    <s v="Printed"/>
    <x v="6"/>
    <x v="86"/>
  </r>
  <r>
    <n v="418"/>
    <s v="Dine In (rohit)"/>
    <s v="Dine In"/>
    <s v="rohit"/>
    <m/>
    <m/>
    <m/>
    <m/>
    <m/>
    <s v="Aurora Engine, Classical Chicken Stroganoff, Creamy Pesto, Extra Vegetables, Pistachio Latte"/>
    <n v="1830"/>
    <n v="0"/>
    <n v="1830"/>
    <n v="85.5"/>
    <n v="0.5"/>
    <n v="1916"/>
    <x v="2"/>
    <m/>
    <s v="Printed"/>
    <x v="6"/>
    <x v="87"/>
  </r>
  <r>
    <n v="419"/>
    <s v="Dine In (rubasna)"/>
    <s v="Dine In"/>
    <s v="rubasna"/>
    <m/>
    <m/>
    <m/>
    <m/>
    <m/>
    <s v="Cafe Mocha"/>
    <n v="280"/>
    <n v="0"/>
    <n v="280"/>
    <n v="14"/>
    <n v="0"/>
    <n v="294"/>
    <x v="2"/>
    <m/>
    <s v="Printed"/>
    <x v="6"/>
    <x v="88"/>
  </r>
  <r>
    <n v="420"/>
    <s v="Dine In (harshal)"/>
    <s v="Dine In"/>
    <s v="harshal"/>
    <m/>
    <m/>
    <m/>
    <m/>
    <m/>
    <s v="Cappuccino, Espresso"/>
    <n v="460"/>
    <n v="0"/>
    <n v="460"/>
    <n v="23"/>
    <n v="0"/>
    <n v="483"/>
    <x v="2"/>
    <m/>
    <s v="Printed"/>
    <x v="6"/>
    <x v="89"/>
  </r>
  <r>
    <n v="421"/>
    <s v="Dine In (gaurav)"/>
    <s v="Dine In"/>
    <s v="gaurav"/>
    <m/>
    <m/>
    <m/>
    <m/>
    <m/>
    <s v="Aurora Engine, Butter Garlic Prawns With Sourdough, Claasic Cold Coffee, Golden Tiramisu, Honey Cinnamon Cold Brew, Lebanese Chicken Pizza, London Fog, Middle-East Meetup, Phoenix Berry, Spicy Chicken Tenders, Thukpa Chicken, Truffle And Parmesan Crispy Scouts, Water Bottle"/>
    <n v="5129"/>
    <n v="769.35"/>
    <n v="4359.6499999999996"/>
    <n v="215.68"/>
    <n v="-0.33"/>
    <n v="4575"/>
    <x v="2"/>
    <m/>
    <s v="Printed"/>
    <x v="6"/>
    <x v="90"/>
  </r>
  <r>
    <n v="422"/>
    <s v="Dine In (mayank)"/>
    <s v="Dine In"/>
    <s v="mayank"/>
    <m/>
    <m/>
    <m/>
    <m/>
    <m/>
    <s v="Asian Bowl Hot Garlic Stir Fry Bean Curd, Crimson Hex, Mushroom Alfredo, Tex-Mex Bowl With Cottage Cheese (V), The Feta Scribe"/>
    <n v="1850"/>
    <n v="0"/>
    <n v="1850"/>
    <n v="92.5"/>
    <n v="0.5"/>
    <n v="1943"/>
    <x v="2"/>
    <m/>
    <s v="Printed"/>
    <x v="6"/>
    <x v="91"/>
  </r>
  <r>
    <n v="423"/>
    <s v="Dine In (priyanka)"/>
    <s v="Dine In"/>
    <s v="priyanka"/>
    <m/>
    <m/>
    <m/>
    <m/>
    <m/>
    <s v="Classic Lemon Ice Tea, Peri Peri Cottage Cheese Pizza, Stained Sagrada"/>
    <n v="1045"/>
    <n v="0"/>
    <n v="1045"/>
    <n v="52.26"/>
    <n v="-0.26"/>
    <n v="1097"/>
    <x v="0"/>
    <m/>
    <s v="Printed"/>
    <x v="6"/>
    <x v="92"/>
  </r>
  <r>
    <n v="424"/>
    <s v="Dine In (sweeta)"/>
    <s v="Dine In"/>
    <s v="sweeta"/>
    <m/>
    <m/>
    <m/>
    <m/>
    <m/>
    <s v="Americano, Cappuccino, Classic Garlic Gambit"/>
    <n v="620"/>
    <n v="0"/>
    <n v="620"/>
    <n v="31"/>
    <n v="0"/>
    <n v="651"/>
    <x v="2"/>
    <m/>
    <s v="Printed"/>
    <x v="6"/>
    <x v="93"/>
  </r>
  <r>
    <n v="425"/>
    <s v="Dine In (anuj)"/>
    <s v="Dine In"/>
    <s v="anuj"/>
    <m/>
    <m/>
    <m/>
    <m/>
    <m/>
    <s v="Captain Fish Fingers, Cream Of Chicken &amp; Leek, Garlic Pepper Chicken Pizza, Lebanese Chicken Pizza, Pistachio Latte, Secret Mocha, Sour Cream And Onion Crispy Scouts"/>
    <n v="3430"/>
    <n v="857.5"/>
    <n v="2572.5"/>
    <n v="128.62"/>
    <n v="-0.12"/>
    <n v="2701"/>
    <x v="2"/>
    <m/>
    <s v="Printed"/>
    <x v="6"/>
    <x v="94"/>
  </r>
  <r>
    <n v="426"/>
    <s v="Dine In (shakshi)"/>
    <s v="Dine In"/>
    <s v="shakshi"/>
    <n v="9916565965"/>
    <m/>
    <m/>
    <m/>
    <m/>
    <s v="Brown Butter Latte, Claasic Cold Coffee, Iced Americano"/>
    <n v="840"/>
    <n v="126"/>
    <n v="714"/>
    <n v="35.700000000000003"/>
    <n v="0.3"/>
    <n v="750"/>
    <x v="0"/>
    <m/>
    <s v="Printed"/>
    <x v="6"/>
    <x v="95"/>
  </r>
  <r>
    <n v="427"/>
    <s v="Dine In (namit)"/>
    <s v="Dine In"/>
    <s v="namit"/>
    <m/>
    <m/>
    <m/>
    <m/>
    <m/>
    <s v="Classic Hot Chocolate, Semolina And Pistachio Teacakes, Tex-Mex Bowl With Cottage Cheese (V)"/>
    <n v="940"/>
    <n v="0"/>
    <n v="940"/>
    <n v="47"/>
    <n v="0"/>
    <n v="987"/>
    <x v="2"/>
    <m/>
    <s v="Printed"/>
    <x v="6"/>
    <x v="96"/>
  </r>
  <r>
    <n v="428"/>
    <s v="Dine In (hunny)"/>
    <s v="Dine In"/>
    <s v="hunny"/>
    <m/>
    <m/>
    <m/>
    <m/>
    <m/>
    <s v="Claasic Cold Coffee, Peri Peri Crispy Scouts, Pistachio Latte, Truffle Mushroom Arancini"/>
    <n v="1455"/>
    <n v="0"/>
    <n v="1455"/>
    <n v="72.760000000000005"/>
    <n v="0.24"/>
    <n v="1528"/>
    <x v="2"/>
    <m/>
    <s v="Printed"/>
    <x v="6"/>
    <x v="97"/>
  </r>
  <r>
    <n v="429"/>
    <s v="Dine In (1)"/>
    <s v="Dine In"/>
    <m/>
    <m/>
    <m/>
    <m/>
    <m/>
    <m/>
    <s v="The Catalyst"/>
    <n v="290"/>
    <n v="0"/>
    <n v="290"/>
    <n v="14.5"/>
    <n v="0.5"/>
    <n v="305"/>
    <x v="0"/>
    <m/>
    <s v="Printed"/>
    <x v="6"/>
    <x v="98"/>
  </r>
  <r>
    <n v="430"/>
    <s v="Dine In (35)"/>
    <s v="Dine In"/>
    <m/>
    <m/>
    <m/>
    <m/>
    <m/>
    <m/>
    <s v="Classic Lemon Ice Tea, Masala Egg Bhurji, Pistachio Latte, Wild Berry Waffles"/>
    <n v="1175"/>
    <n v="0"/>
    <n v="1175"/>
    <n v="58.76"/>
    <n v="0.24"/>
    <n v="1234"/>
    <x v="0"/>
    <m/>
    <s v="Printed"/>
    <x v="6"/>
    <x v="99"/>
  </r>
  <r>
    <n v="431"/>
    <s v="Dine In (gurprit)"/>
    <s v="Dine In"/>
    <s v="gurprit"/>
    <m/>
    <m/>
    <m/>
    <m/>
    <m/>
    <s v="Chicken Conqueror Burger, Flat White, Grilled Fish"/>
    <n v="1485"/>
    <n v="0"/>
    <n v="1485"/>
    <n v="74.260000000000005"/>
    <n v="-0.26"/>
    <n v="1559"/>
    <x v="0"/>
    <m/>
    <s v="Printed"/>
    <x v="6"/>
    <x v="100"/>
  </r>
  <r>
    <n v="432"/>
    <s v="Dine In (nidhi)"/>
    <s v="Dine In"/>
    <s v="nidhi"/>
    <m/>
    <m/>
    <m/>
    <m/>
    <m/>
    <s v="Garlic Pepper Chicken Pizza, Golden Tiramisu"/>
    <n v="865"/>
    <n v="0"/>
    <n v="865"/>
    <n v="43.26"/>
    <n v="-0.26"/>
    <n v="908"/>
    <x v="1"/>
    <m/>
    <s v="Printed"/>
    <x v="6"/>
    <x v="101"/>
  </r>
  <r>
    <n v="433"/>
    <s v="Dine In (rahul)"/>
    <s v="Dine In"/>
    <s v="rahul"/>
    <m/>
    <m/>
    <m/>
    <m/>
    <m/>
    <s v="Garlic Pepper Chicken Pizza, Honey Cinnamon Cold Brew"/>
    <n v="770"/>
    <n v="0"/>
    <n v="770"/>
    <n v="38.5"/>
    <n v="0.5"/>
    <n v="0"/>
    <x v="3"/>
    <s v="Total : 809.00"/>
    <s v="Printed"/>
    <x v="6"/>
    <x v="102"/>
  </r>
  <r>
    <n v="434"/>
    <s v="Dine In (naman)"/>
    <s v="Dine In"/>
    <s v="naman"/>
    <m/>
    <m/>
    <m/>
    <m/>
    <m/>
    <s v="Cappuccino, Classic Hot Chocolate, Semolina And Pistachio Teacakes, Truffle Mushroom Arancini"/>
    <n v="1145"/>
    <n v="0"/>
    <n v="1145"/>
    <n v="57.26"/>
    <n v="-0.26"/>
    <n v="1202"/>
    <x v="0"/>
    <m/>
    <s v="Printed"/>
    <x v="6"/>
    <x v="103"/>
  </r>
  <r>
    <n v="435"/>
    <s v="Dine In (archna)"/>
    <s v="Dine In"/>
    <s v="archna"/>
    <m/>
    <m/>
    <m/>
    <m/>
    <m/>
    <s v="Espresso Tiramisu, Secret Mocha, Spicy Chicken Tenders, Tex-Mex Bowl With Cottage Cheese (V), Thukpa Chicken"/>
    <n v="1760"/>
    <n v="0"/>
    <n v="1760"/>
    <n v="88"/>
    <n v="0"/>
    <n v="1848"/>
    <x v="2"/>
    <m/>
    <s v="Printed"/>
    <x v="6"/>
    <x v="104"/>
  </r>
  <r>
    <n v="436"/>
    <s v="Dine In (kartik)"/>
    <s v="Dine In"/>
    <s v="kartik"/>
    <m/>
    <m/>
    <m/>
    <m/>
    <m/>
    <s v="Arrabbiata Ambush, New York Baked Cheese Cake, Roasted Tomato &amp; Basil"/>
    <n v="1050"/>
    <n v="0"/>
    <n v="1050"/>
    <n v="52.5"/>
    <n v="0.5"/>
    <n v="1103"/>
    <x v="1"/>
    <m/>
    <s v="Printed"/>
    <x v="6"/>
    <x v="105"/>
  </r>
  <r>
    <n v="437"/>
    <s v="Dine In (manthan)"/>
    <s v="Dine In"/>
    <s v="manthan"/>
    <m/>
    <m/>
    <m/>
    <m/>
    <m/>
    <s v="Claasic Cold Coffee, Classic Crispy Scouts"/>
    <n v="780"/>
    <n v="0"/>
    <n v="780"/>
    <n v="39"/>
    <n v="0"/>
    <n v="819"/>
    <x v="2"/>
    <m/>
    <s v="Printed"/>
    <x v="6"/>
    <x v="106"/>
  </r>
  <r>
    <n v="438"/>
    <s v="Dine In (sidhart)"/>
    <s v="Dine In"/>
    <s v="sidhart"/>
    <m/>
    <m/>
    <m/>
    <m/>
    <m/>
    <s v="Sour Cream And Onion Wrdges Warriors"/>
    <n v="190"/>
    <n v="0"/>
    <n v="190"/>
    <n v="9.5"/>
    <n v="0.5"/>
    <n v="200"/>
    <x v="2"/>
    <m/>
    <s v="Printed"/>
    <x v="6"/>
    <x v="107"/>
  </r>
  <r>
    <n v="439"/>
    <s v="Dine In (subham)"/>
    <s v="Dine In"/>
    <s v="subham"/>
    <m/>
    <m/>
    <m/>
    <m/>
    <m/>
    <s v="Mushroom Alfredo, Stained Sagrada"/>
    <n v="710"/>
    <n v="0"/>
    <n v="710"/>
    <n v="35.5"/>
    <n v="0.5"/>
    <n v="746"/>
    <x v="0"/>
    <m/>
    <s v="Printed"/>
    <x v="6"/>
    <x v="108"/>
  </r>
  <r>
    <n v="440"/>
    <s v="Dine In (adiya)"/>
    <s v="Dine In"/>
    <s v="adiya"/>
    <m/>
    <m/>
    <m/>
    <m/>
    <m/>
    <s v="Sour Cream And Onion Wrdges Warriors, Stained Sagrada"/>
    <n v="495"/>
    <n v="0"/>
    <n v="495"/>
    <n v="24.76"/>
    <n v="0.24"/>
    <n v="520"/>
    <x v="0"/>
    <m/>
    <s v="Printed"/>
    <x v="6"/>
    <x v="109"/>
  </r>
  <r>
    <n v="441"/>
    <s v="Dine In (tanmay)"/>
    <s v="Dine In"/>
    <s v="tanmay"/>
    <m/>
    <m/>
    <m/>
    <m/>
    <m/>
    <s v="Asian Bowl Hot Garlic Stir Fry Bean Curd, Grilled Chicken, Semolina And Pistachio Teacakes"/>
    <n v="1340"/>
    <n v="0"/>
    <n v="1340"/>
    <n v="67"/>
    <n v="0"/>
    <n v="1407"/>
    <x v="2"/>
    <m/>
    <s v="Printed"/>
    <x v="6"/>
    <x v="110"/>
  </r>
  <r>
    <n v="442"/>
    <s v="Dine In (subhanker)"/>
    <s v="Dine In"/>
    <s v="subhanker"/>
    <m/>
    <m/>
    <m/>
    <m/>
    <m/>
    <s v="Biscoff Shake, Classic Bombay Maestro Sandwich"/>
    <n v="710"/>
    <n v="0"/>
    <n v="710"/>
    <n v="35.5"/>
    <n v="0.5"/>
    <n v="746"/>
    <x v="2"/>
    <m/>
    <s v="Printed"/>
    <x v="6"/>
    <x v="111"/>
  </r>
  <r>
    <n v="443"/>
    <s v="Dine In (ankur)"/>
    <s v="Dine In"/>
    <s v="ankur"/>
    <m/>
    <m/>
    <m/>
    <m/>
    <m/>
    <s v="Golden Tiramisu, Mushroom Alfredo, New York Baked Cheese Cake, Stained Sagrada"/>
    <n v="1400"/>
    <n v="0"/>
    <n v="1400"/>
    <n v="70"/>
    <n v="0"/>
    <n v="1470"/>
    <x v="0"/>
    <m/>
    <s v="Printed"/>
    <x v="6"/>
    <x v="112"/>
  </r>
  <r>
    <n v="444"/>
    <s v="Dine In (35)"/>
    <s v="Dine In"/>
    <s v="subham"/>
    <m/>
    <m/>
    <m/>
    <m/>
    <m/>
    <s v="Gaming Charges (1_hr)"/>
    <n v="122"/>
    <n v="0"/>
    <n v="122"/>
    <n v="21.96"/>
    <n v="0.04"/>
    <n v="144"/>
    <x v="2"/>
    <m/>
    <s v="Printed"/>
    <x v="6"/>
    <x v="113"/>
  </r>
  <r>
    <n v="445"/>
    <s v="Dine In (chirag)"/>
    <s v="Dine In"/>
    <s v="chirag"/>
    <m/>
    <m/>
    <m/>
    <m/>
    <m/>
    <s v="Gaming Charges (1_hr), The Full House Nachos (Chicken), Truffle Mushroom Arancini"/>
    <n v="1074"/>
    <n v="0"/>
    <n v="1074"/>
    <n v="85.42"/>
    <n v="-0.42"/>
    <n v="1159"/>
    <x v="2"/>
    <m/>
    <s v="Printed"/>
    <x v="6"/>
    <x v="114"/>
  </r>
  <r>
    <n v="446"/>
    <s v="Dine In (3)"/>
    <s v="Dine In"/>
    <m/>
    <m/>
    <m/>
    <m/>
    <m/>
    <m/>
    <s v="Gaming Charges (1_hr)"/>
    <n v="122"/>
    <n v="0"/>
    <n v="122"/>
    <n v="21.96"/>
    <n v="0.04"/>
    <n v="144"/>
    <x v="0"/>
    <m/>
    <s v="Printed"/>
    <x v="6"/>
    <x v="115"/>
  </r>
  <r>
    <n v="447"/>
    <s v="Dine In (vikash)"/>
    <s v="Dine In"/>
    <s v="mr vikash sir"/>
    <n v="8799798731"/>
    <m/>
    <m/>
    <m/>
    <m/>
    <s v="Arrabbiata Ambush, Tex-Mex Bowl Grilled Chicken"/>
    <n v="0"/>
    <n v="0"/>
    <n v="0"/>
    <n v="0"/>
    <n v="0"/>
    <n v="0"/>
    <x v="1"/>
    <m/>
    <s v="Printed"/>
    <x v="6"/>
    <x v="116"/>
  </r>
  <r>
    <n v="448"/>
    <s v="Dine In (4)"/>
    <s v="Dine In"/>
    <m/>
    <m/>
    <m/>
    <m/>
    <m/>
    <m/>
    <s v="Claasic Cold Coffee, Ice Latte, Semolina And Pistachio Teacakes"/>
    <n v="755"/>
    <n v="0"/>
    <n v="755"/>
    <n v="37.76"/>
    <n v="0.24"/>
    <n v="793"/>
    <x v="2"/>
    <m/>
    <s v="Printed"/>
    <x v="7"/>
    <x v="117"/>
  </r>
  <r>
    <n v="449"/>
    <s v="Dine In (abhichak)"/>
    <s v="Dine In"/>
    <s v="abhichak"/>
    <m/>
    <m/>
    <m/>
    <m/>
    <m/>
    <s v="Matcha Latte, Secret Mocha"/>
    <n v="615"/>
    <n v="0"/>
    <n v="615"/>
    <n v="30.76"/>
    <n v="0.24"/>
    <n v="646"/>
    <x v="0"/>
    <m/>
    <s v="Printed"/>
    <x v="7"/>
    <x v="118"/>
  </r>
  <r>
    <n v="450"/>
    <s v="Dine In (sapna)"/>
    <s v="Dine In"/>
    <s v="sapna"/>
    <m/>
    <m/>
    <m/>
    <m/>
    <m/>
    <s v="Asian Bowl Hot Garlic Stir Fry Bean Curd, Creamy Pesto"/>
    <n v="850"/>
    <n v="0"/>
    <n v="850"/>
    <n v="42.5"/>
    <n v="0.5"/>
    <n v="893"/>
    <x v="1"/>
    <m/>
    <s v="Printed"/>
    <x v="7"/>
    <x v="119"/>
  </r>
  <r>
    <n v="451"/>
    <s v="Dine In (sikha)"/>
    <s v="Dine In"/>
    <s v="sikha"/>
    <m/>
    <m/>
    <m/>
    <m/>
    <m/>
    <s v="Classic Garlic Gambit, Classic Hot Chocolate, Rainbow Roll Pizza"/>
    <n v="925"/>
    <n v="0"/>
    <n v="925"/>
    <n v="46.26"/>
    <n v="-0.26"/>
    <n v="971"/>
    <x v="0"/>
    <m/>
    <s v="Printed"/>
    <x v="7"/>
    <x v="120"/>
  </r>
  <r>
    <n v="452"/>
    <s v="Dine In (hridya)"/>
    <s v="Dine In"/>
    <s v="hridya"/>
    <m/>
    <m/>
    <m/>
    <m/>
    <m/>
    <s v="Peri Peri Wrdges Warriors"/>
    <n v="190"/>
    <n v="0"/>
    <n v="190"/>
    <n v="9.5"/>
    <n v="0.5"/>
    <n v="200"/>
    <x v="2"/>
    <m/>
    <s v="Printed"/>
    <x v="7"/>
    <x v="121"/>
  </r>
  <r>
    <n v="453"/>
    <s v="Dine In (4)"/>
    <s v="Dine In"/>
    <m/>
    <m/>
    <m/>
    <m/>
    <m/>
    <m/>
    <s v="Cappuccino, Classic Hot Chocolate, Extra Nachos, The Full House Nachos (Veg)"/>
    <n v="1265"/>
    <n v="0"/>
    <n v="1265"/>
    <n v="60.26"/>
    <n v="-0.26"/>
    <n v="1325"/>
    <x v="2"/>
    <m/>
    <s v="Printed"/>
    <x v="7"/>
    <x v="122"/>
  </r>
  <r>
    <n v="454"/>
    <s v="Dine In (sidhant)"/>
    <s v="Dine In"/>
    <s v="sidhant"/>
    <m/>
    <m/>
    <m/>
    <m/>
    <m/>
    <s v="Buffalo Chicken Wings With Ranch Dip, Butter Garlic Prawns With Sourdough, Cafe Mocha"/>
    <n v="1260"/>
    <n v="0"/>
    <n v="1260"/>
    <n v="63"/>
    <n v="0"/>
    <n v="1323"/>
    <x v="0"/>
    <m/>
    <s v="Printed"/>
    <x v="7"/>
    <x v="123"/>
  </r>
  <r>
    <n v="455"/>
    <s v="Dine In (radhika)"/>
    <s v="Dine In"/>
    <s v="radhika"/>
    <m/>
    <m/>
    <m/>
    <m/>
    <m/>
    <s v="Chicken Stroganoff Bunnychow, Classic Hot Chocolate, Espresso Tiramisu"/>
    <n v="0"/>
    <n v="0"/>
    <n v="0"/>
    <n v="0"/>
    <n v="0"/>
    <n v="0"/>
    <x v="1"/>
    <m/>
    <s v="Printed"/>
    <x v="7"/>
    <x v="124"/>
  </r>
  <r>
    <n v="456"/>
    <s v="Dine In (vishakha)"/>
    <s v="Dine In"/>
    <s v="vishakha"/>
    <m/>
    <m/>
    <m/>
    <m/>
    <m/>
    <s v="Avocado Vanguard, Brown Butter Latte, Peri Peri Crispy Scouts"/>
    <n v="0"/>
    <n v="0"/>
    <n v="0"/>
    <n v="0"/>
    <n v="0"/>
    <n v="0"/>
    <x v="1"/>
    <m/>
    <s v="Printed"/>
    <x v="7"/>
    <x v="125"/>
  </r>
  <r>
    <n v="457"/>
    <s v="Dine In (10)"/>
    <s v="Dine In"/>
    <m/>
    <m/>
    <m/>
    <m/>
    <m/>
    <m/>
    <s v="Cappuccino"/>
    <n v="500"/>
    <n v="0"/>
    <n v="500"/>
    <n v="25"/>
    <n v="0"/>
    <n v="525"/>
    <x v="1"/>
    <m/>
    <s v="Printed"/>
    <x v="8"/>
    <x v="126"/>
  </r>
  <r>
    <n v="458"/>
    <s v="Dine In (4)"/>
    <s v="Dine In"/>
    <m/>
    <m/>
    <m/>
    <m/>
    <m/>
    <m/>
    <s v="Honey Cinnamon Cold Brew, Rainbow Roll Pizza, The Full House Nachos (Veg)"/>
    <n v="1080"/>
    <n v="0"/>
    <n v="1080"/>
    <n v="54"/>
    <n v="0"/>
    <n v="1134"/>
    <x v="2"/>
    <m/>
    <s v="Printed"/>
    <x v="8"/>
    <x v="127"/>
  </r>
  <r>
    <n v="459"/>
    <s v="Dine In (gautam)"/>
    <s v="Dine In"/>
    <s v="gautam"/>
    <m/>
    <m/>
    <m/>
    <m/>
    <m/>
    <s v="Grilled Chicken, Spicy Chicken Tenders, Thukpa Chicken"/>
    <n v="1435"/>
    <n v="0"/>
    <n v="1435"/>
    <n v="71.760000000000005"/>
    <n v="0.24"/>
    <n v="1507"/>
    <x v="0"/>
    <m/>
    <s v="Printed"/>
    <x v="8"/>
    <x v="128"/>
  </r>
  <r>
    <n v="460"/>
    <s v="Dine In (5)"/>
    <s v="Dine In"/>
    <m/>
    <m/>
    <m/>
    <m/>
    <m/>
    <m/>
    <s v="Claasic Cold Coffee"/>
    <n v="590"/>
    <n v="0"/>
    <n v="590"/>
    <n v="29.5"/>
    <n v="0.5"/>
    <n v="620"/>
    <x v="2"/>
    <m/>
    <s v="Printed"/>
    <x v="8"/>
    <x v="129"/>
  </r>
  <r>
    <n v="461"/>
    <s v="Dine In (4)"/>
    <s v="Dine In"/>
    <m/>
    <m/>
    <m/>
    <m/>
    <m/>
    <m/>
    <s v="Cappuccino, Matcha Latte, Super Green Risotto"/>
    <n v="1060"/>
    <n v="0"/>
    <n v="1060"/>
    <n v="53"/>
    <n v="0"/>
    <n v="1113"/>
    <x v="1"/>
    <m/>
    <s v="Printed"/>
    <x v="8"/>
    <x v="130"/>
  </r>
  <r>
    <n v="462"/>
    <s v="Dine In (tra)"/>
    <s v="Dine In"/>
    <s v="tra"/>
    <m/>
    <m/>
    <m/>
    <m/>
    <m/>
    <s v="Cafe Mocha, Mushroom Marauders Bruschetta"/>
    <n v="600"/>
    <n v="0"/>
    <n v="600"/>
    <n v="30"/>
    <n v="0"/>
    <n v="630"/>
    <x v="2"/>
    <m/>
    <s v="Printed"/>
    <x v="8"/>
    <x v="131"/>
  </r>
  <r>
    <n v="463"/>
    <s v="Dine In (Rohit)"/>
    <s v="Dine In"/>
    <s v="Rohit"/>
    <m/>
    <m/>
    <m/>
    <m/>
    <m/>
    <s v="Cappuccino, Mushroom Marauders Bruschetta"/>
    <n v="570"/>
    <n v="0"/>
    <n v="570"/>
    <n v="28.5"/>
    <n v="0.5"/>
    <n v="599"/>
    <x v="1"/>
    <m/>
    <s v="Printed"/>
    <x v="8"/>
    <x v="132"/>
  </r>
  <r>
    <n v="464"/>
    <s v="Dine In (mrigank)"/>
    <s v="Dine In"/>
    <s v="mrigank"/>
    <m/>
    <m/>
    <m/>
    <m/>
    <m/>
    <s v="Iced Americano, Sour Cream And Onion Crispy Scouts"/>
    <n v="440"/>
    <n v="0"/>
    <n v="440"/>
    <n v="22"/>
    <n v="0"/>
    <n v="462"/>
    <x v="0"/>
    <m/>
    <s v="Printed"/>
    <x v="8"/>
    <x v="133"/>
  </r>
  <r>
    <n v="465"/>
    <s v="Dine In (jotseyana)"/>
    <s v="Dine In"/>
    <s v="jotseyana"/>
    <m/>
    <m/>
    <m/>
    <m/>
    <m/>
    <s v="Gaming Charges (1_hr), The Catalyst, The Chlorophyll Mage"/>
    <n v="792"/>
    <n v="0"/>
    <n v="792"/>
    <n v="55.46"/>
    <n v="-0.46"/>
    <n v="847"/>
    <x v="2"/>
    <m/>
    <s v="Printed"/>
    <x v="8"/>
    <x v="134"/>
  </r>
  <r>
    <n v="466"/>
    <s v="Dine In (sali)"/>
    <s v="Dine In"/>
    <s v="sali"/>
    <m/>
    <m/>
    <m/>
    <m/>
    <m/>
    <s v="Cottage Cheese Steak"/>
    <n v="695"/>
    <n v="0"/>
    <n v="695"/>
    <n v="34.76"/>
    <n v="0.24"/>
    <n v="730"/>
    <x v="2"/>
    <m/>
    <s v="Printed"/>
    <x v="8"/>
    <x v="135"/>
  </r>
  <r>
    <n v="467"/>
    <s v="Dine In (simran)"/>
    <s v="Dine In"/>
    <s v="simran"/>
    <m/>
    <m/>
    <m/>
    <m/>
    <m/>
    <s v="Avocado Vanguard"/>
    <n v="0"/>
    <n v="0"/>
    <n v="0"/>
    <n v="0"/>
    <n v="0"/>
    <n v="0"/>
    <x v="1"/>
    <m/>
    <s v="Printed"/>
    <x v="8"/>
    <x v="136"/>
  </r>
  <r>
    <n v="468"/>
    <s v="Dine In (steven)"/>
    <s v="Dine In"/>
    <s v="steven"/>
    <m/>
    <m/>
    <m/>
    <m/>
    <m/>
    <s v="Cafe Latte, Classic Bombay Maestro Sandwich, The Full House Nachos (Chicken)"/>
    <n v="1040"/>
    <n v="0"/>
    <n v="1040"/>
    <n v="52"/>
    <n v="0"/>
    <n v="1092"/>
    <x v="1"/>
    <m/>
    <s v="Printed"/>
    <x v="8"/>
    <x v="137"/>
  </r>
  <r>
    <n v="469"/>
    <s v="Dine In (sidhant sir)"/>
    <s v="Dine In"/>
    <s v="sidhant sir"/>
    <m/>
    <m/>
    <m/>
    <m/>
    <m/>
    <s v="Banana Caramel Waffles, Cottage Cheese Steak"/>
    <n v="1120"/>
    <n v="0"/>
    <n v="1120"/>
    <n v="56"/>
    <n v="0"/>
    <n v="1176"/>
    <x v="0"/>
    <m/>
    <s v="Printed"/>
    <x v="8"/>
    <x v="138"/>
  </r>
  <r>
    <n v="470"/>
    <s v="Dine In (radhika)"/>
    <s v="Dine In"/>
    <s v="radhika"/>
    <m/>
    <m/>
    <m/>
    <m/>
    <m/>
    <s v="Classic Bombay Maestro Sandwich, Tokyo Godzilla Frappe"/>
    <n v="0"/>
    <n v="0"/>
    <n v="0"/>
    <n v="0"/>
    <n v="0"/>
    <n v="0"/>
    <x v="1"/>
    <m/>
    <s v="Printed"/>
    <x v="8"/>
    <x v="139"/>
  </r>
  <r>
    <n v="471"/>
    <s v="Dine In (visakha)"/>
    <s v="Dine In"/>
    <s v="visakha"/>
    <m/>
    <m/>
    <m/>
    <m/>
    <m/>
    <s v="Buffalo Chicken Wings With Ranch Dip, Classic Hot Chocolate, Classic Vanilla Stuffed French Toast, Ratatouille Bunny Chow"/>
    <n v="0"/>
    <n v="0"/>
    <n v="0"/>
    <n v="0"/>
    <n v="0"/>
    <n v="0"/>
    <x v="1"/>
    <m/>
    <s v="Printed"/>
    <x v="8"/>
    <x v="140"/>
  </r>
  <r>
    <n v="472"/>
    <s v="Dine In (NITIN)"/>
    <s v="Dine In"/>
    <s v="NITIN"/>
    <m/>
    <m/>
    <m/>
    <m/>
    <m/>
    <s v="Matcha Latte, Semolina And Pistachio Teacakes"/>
    <n v="525"/>
    <n v="0"/>
    <n v="525"/>
    <n v="26.26"/>
    <n v="-0.26"/>
    <n v="551"/>
    <x v="2"/>
    <m/>
    <s v="Printed"/>
    <x v="9"/>
    <x v="141"/>
  </r>
  <r>
    <n v="473"/>
    <s v="Dine In (4)"/>
    <s v="Dine In"/>
    <m/>
    <m/>
    <m/>
    <m/>
    <m/>
    <m/>
    <s v="Burnt Garlic &amp; Cauliflower, Classic Bombay Maestro Sandwich, Espresso Tiramisu, Mushroom Alfredo, Ratatouille Bunny Chow"/>
    <n v="1750"/>
    <n v="0"/>
    <n v="1750"/>
    <n v="87.5"/>
    <n v="0.5"/>
    <n v="1838"/>
    <x v="2"/>
    <m/>
    <s v="Printed"/>
    <x v="9"/>
    <x v="142"/>
  </r>
  <r>
    <n v="474"/>
    <s v="Dine In (BIRTHDAY  PARTY)"/>
    <s v="Dine In"/>
    <s v="BIRTHDAY  PARTY"/>
    <m/>
    <m/>
    <m/>
    <m/>
    <m/>
    <s v="Americano, Birthday Games, Cappuccino, Captain Fish Fingers, Classic Margherita Pizza, Grilled Meaty Maverick, Lebanese Chicken Pizza, Middle-East Meetup, Party Menu 65, Pinefire, Spicy Chicken Tenders, Stained Sagrada, Tex-Mex Bowl Grilled Chicken, Truffle Mushroom Arancini"/>
    <n v="12479"/>
    <n v="1871.85"/>
    <n v="10607.15"/>
    <n v="829.16"/>
    <n v="-0.31"/>
    <n v="11436"/>
    <x v="0"/>
    <m/>
    <s v="Printed"/>
    <x v="9"/>
    <x v="143"/>
  </r>
  <r>
    <n v="475"/>
    <s v="Dine In (aashish)"/>
    <s v="Dine In"/>
    <s v="ashish"/>
    <m/>
    <m/>
    <m/>
    <m/>
    <m/>
    <s v="Add Paneer, Cappuccino, Rainbow Roll Pizza"/>
    <n v="999"/>
    <n v="0"/>
    <n v="999"/>
    <n v="47.5"/>
    <n v="0.5"/>
    <n v="1047"/>
    <x v="1"/>
    <m/>
    <s v="Printed"/>
    <x v="9"/>
    <x v="144"/>
  </r>
  <r>
    <n v="476"/>
    <s v="Dine In (asmit)"/>
    <s v="Dine In"/>
    <s v="asmit"/>
    <m/>
    <m/>
    <m/>
    <m/>
    <m/>
    <s v="Biscoff Shake"/>
    <n v="360"/>
    <n v="0"/>
    <n v="360"/>
    <n v="18"/>
    <n v="0"/>
    <n v="378"/>
    <x v="1"/>
    <m/>
    <s v="Printed"/>
    <x v="9"/>
    <x v="145"/>
  </r>
  <r>
    <n v="477"/>
    <s v="Dine In (ankur)"/>
    <s v="Dine In"/>
    <s v="ankur"/>
    <m/>
    <m/>
    <m/>
    <m/>
    <m/>
    <s v="Gaming Charges (1_hr), Phoenix Berry, Sour Cream And Onion Wrdges Warriors"/>
    <n v="637"/>
    <n v="0"/>
    <n v="637"/>
    <n v="47.72"/>
    <n v="0.28000000000000003"/>
    <n v="685"/>
    <x v="2"/>
    <m/>
    <s v="Printed"/>
    <x v="9"/>
    <x v="146"/>
  </r>
  <r>
    <n v="478"/>
    <s v="Dine In (35)"/>
    <s v="Dine In"/>
    <m/>
    <m/>
    <m/>
    <m/>
    <m/>
    <m/>
    <s v="Coke Can"/>
    <n v="30"/>
    <n v="0"/>
    <n v="30"/>
    <n v="0"/>
    <n v="0"/>
    <n v="30"/>
    <x v="2"/>
    <m/>
    <s v="Printed"/>
    <x v="9"/>
    <x v="147"/>
  </r>
  <r>
    <n v="479"/>
    <s v="Dine In (dharmender)"/>
    <s v="Dine In"/>
    <s v="dharmender"/>
    <m/>
    <m/>
    <m/>
    <m/>
    <m/>
    <s v="Stained Sagrada"/>
    <n v="285"/>
    <n v="0"/>
    <n v="285"/>
    <n v="14.26"/>
    <n v="-0.26"/>
    <n v="299"/>
    <x v="2"/>
    <m/>
    <s v="Printed"/>
    <x v="9"/>
    <x v="148"/>
  </r>
  <r>
    <n v="480"/>
    <s v="Dine In (priyansh)"/>
    <s v="Dine In"/>
    <s v="priyansh"/>
    <m/>
    <m/>
    <m/>
    <m/>
    <m/>
    <s v="Classic Bombay Maestro Sandwich"/>
    <n v="350"/>
    <n v="0"/>
    <n v="350"/>
    <n v="17.5"/>
    <n v="0.5"/>
    <n v="368"/>
    <x v="2"/>
    <m/>
    <s v="Printed"/>
    <x v="9"/>
    <x v="149"/>
  </r>
  <r>
    <n v="481"/>
    <s v="Dine In (mukhrji)"/>
    <s v="Dine In"/>
    <s v="mukhrji"/>
    <m/>
    <m/>
    <m/>
    <m/>
    <m/>
    <s v="Avocado Vanguard, Buffalo Chicken Wings With Ranch Dip, Peri Peri Crispy Scouts"/>
    <n v="930"/>
    <n v="0"/>
    <n v="930"/>
    <n v="46.5"/>
    <n v="0.5"/>
    <n v="977"/>
    <x v="2"/>
    <m/>
    <s v="Printed"/>
    <x v="9"/>
    <x v="150"/>
  </r>
  <r>
    <n v="482"/>
    <s v="Dine In (radhika)"/>
    <s v="Dine In"/>
    <s v="radhika"/>
    <m/>
    <m/>
    <m/>
    <m/>
    <m/>
    <s v="Avocado Vanguard, Chicken &amp; Cheese On Toast"/>
    <n v="0"/>
    <n v="0"/>
    <n v="0"/>
    <n v="0"/>
    <n v="0"/>
    <n v="0"/>
    <x v="1"/>
    <m/>
    <s v="Printed"/>
    <x v="9"/>
    <x v="151"/>
  </r>
  <r>
    <n v="483"/>
    <s v="Dine In (VISHAKA MAAM)"/>
    <s v="Dine In"/>
    <s v="VISHAKA MAAM"/>
    <m/>
    <m/>
    <m/>
    <m/>
    <m/>
    <s v="Mushroom Marauders Bruschetta, Super Green Risotto, Tex-Mex Bowl With Cottage Cheese (V)"/>
    <n v="0"/>
    <n v="0"/>
    <n v="0"/>
    <n v="0"/>
    <n v="0"/>
    <n v="0"/>
    <x v="1"/>
    <m/>
    <s v="Printed"/>
    <x v="9"/>
    <x v="152"/>
  </r>
  <r>
    <n v="484"/>
    <s v="Dine In (sidhant sir)"/>
    <s v="Dine In"/>
    <s v="sidhant sir"/>
    <m/>
    <m/>
    <m/>
    <m/>
    <m/>
    <s v="Classic Wrdges Warriors, Middle-East Meetup, Secret Mocha"/>
    <n v="850"/>
    <n v="0"/>
    <n v="850"/>
    <n v="42.5"/>
    <n v="0.5"/>
    <n v="893"/>
    <x v="0"/>
    <m/>
    <s v="Printed"/>
    <x v="9"/>
    <x v="153"/>
  </r>
  <r>
    <n v="485"/>
    <s v="Dine In (1)"/>
    <s v="Dine In"/>
    <m/>
    <m/>
    <m/>
    <m/>
    <m/>
    <m/>
    <s v="Chicken Quesadilla, Claasic Cold Coffee, Grilled Vegetables, Jackfruit Jester Burger, Middle-East Meetup, Peri Peri Crispy Scouts, Roasted Tomato &amp; Basil, Spicy Chicken Tenders, The Full House Nachos (Veg), Tokyo Godzilla Frappe"/>
    <n v="4570"/>
    <n v="0"/>
    <n v="4570"/>
    <n v="228.5"/>
    <n v="0.5"/>
    <n v="4799"/>
    <x v="0"/>
    <m/>
    <s v="Printed"/>
    <x v="9"/>
    <x v="154"/>
  </r>
  <r>
    <n v="486"/>
    <s v="Dine In (35)"/>
    <s v="Dine In"/>
    <m/>
    <m/>
    <m/>
    <m/>
    <m/>
    <m/>
    <s v="Gaming Charges (1_hr)"/>
    <n v="122"/>
    <n v="0"/>
    <n v="122"/>
    <n v="21.96"/>
    <n v="0.04"/>
    <n v="144"/>
    <x v="2"/>
    <m/>
    <s v="Printed"/>
    <x v="9"/>
    <x v="155"/>
  </r>
  <r>
    <n v="487"/>
    <s v="Dine In (34)"/>
    <s v="Dine In"/>
    <m/>
    <m/>
    <m/>
    <m/>
    <m/>
    <m/>
    <s v="Gaming Charges (1_hr)"/>
    <n v="122"/>
    <n v="0"/>
    <n v="122"/>
    <n v="21.96"/>
    <n v="0.04"/>
    <n v="144"/>
    <x v="2"/>
    <m/>
    <s v="Printed"/>
    <x v="9"/>
    <x v="156"/>
  </r>
  <r>
    <n v="488"/>
    <s v="Dine In (33)"/>
    <s v="Dine In"/>
    <m/>
    <m/>
    <m/>
    <m/>
    <m/>
    <m/>
    <s v="Gaming Charges (1_hr)"/>
    <n v="122"/>
    <n v="0"/>
    <n v="122"/>
    <n v="21.96"/>
    <n v="0.04"/>
    <n v="144"/>
    <x v="2"/>
    <m/>
    <s v="Printed"/>
    <x v="9"/>
    <x v="157"/>
  </r>
  <r>
    <n v="489"/>
    <s v="Dine In (35)"/>
    <s v="Dine In"/>
    <m/>
    <m/>
    <m/>
    <m/>
    <m/>
    <m/>
    <s v="Banana Walnut Teacakes, Truffle And Parmesan Crispy Scouts"/>
    <n v="430"/>
    <n v="0"/>
    <n v="430"/>
    <n v="21.5"/>
    <n v="0.5"/>
    <n v="452"/>
    <x v="1"/>
    <m/>
    <s v="Printed"/>
    <x v="10"/>
    <x v="158"/>
  </r>
  <r>
    <n v="490"/>
    <s v="Dine In (4)"/>
    <s v="Dine In"/>
    <m/>
    <m/>
    <m/>
    <m/>
    <m/>
    <m/>
    <s v="Egg French Omelette, Iced Mocha, The Catalyst"/>
    <n v="920"/>
    <n v="0"/>
    <n v="920"/>
    <n v="46"/>
    <n v="0"/>
    <n v="966"/>
    <x v="2"/>
    <m/>
    <s v="Printed"/>
    <x v="10"/>
    <x v="159"/>
  </r>
  <r>
    <n v="491"/>
    <s v="Dine In (khushi)"/>
    <s v="Dine In"/>
    <s v="khushi"/>
    <m/>
    <m/>
    <m/>
    <m/>
    <m/>
    <s v="Caesar Commander, Golden Tiramisu, Iced Coconut Oat Matcha Latte, The Full House Nachos (Chicken)"/>
    <n v="1520"/>
    <n v="0"/>
    <n v="1520"/>
    <n v="76"/>
    <n v="0"/>
    <n v="1596"/>
    <x v="2"/>
    <m/>
    <s v="Printed"/>
    <x v="10"/>
    <x v="160"/>
  </r>
  <r>
    <n v="492"/>
    <s v="Dine In (sidhant)"/>
    <s v="Dine In"/>
    <s v="sidhant"/>
    <m/>
    <m/>
    <m/>
    <m/>
    <m/>
    <s v="Cafe Mocha, Grilled Chicken"/>
    <n v="1005"/>
    <n v="0"/>
    <n v="1005"/>
    <n v="50.26"/>
    <n v="-0.26"/>
    <n v="1055"/>
    <x v="0"/>
    <m/>
    <s v="Printed"/>
    <x v="10"/>
    <x v="161"/>
  </r>
  <r>
    <n v="493"/>
    <s v="Dine In (kriti)"/>
    <s v="Dine In"/>
    <s v="kriti"/>
    <m/>
    <m/>
    <m/>
    <m/>
    <m/>
    <s v="Chicken &amp; Cheese On Toast, Claasic Cold Coffee, Grilled Chicken"/>
    <n v="1400"/>
    <n v="0"/>
    <n v="1400"/>
    <n v="70"/>
    <n v="0"/>
    <n v="1470"/>
    <x v="2"/>
    <m/>
    <s v="Printed"/>
    <x v="10"/>
    <x v="162"/>
  </r>
  <r>
    <n v="494"/>
    <s v="Dine In (parvinder)"/>
    <s v="Dine In"/>
    <s v="parvinder"/>
    <m/>
    <m/>
    <m/>
    <m/>
    <m/>
    <s v="Coconut Noir, Mushroom Alfredo, Secret Mocha, Veg Quesadilla"/>
    <n v="1665"/>
    <n v="0"/>
    <n v="1665"/>
    <n v="83.26"/>
    <n v="-0.26"/>
    <n v="1748"/>
    <x v="2"/>
    <m/>
    <s v="Printed"/>
    <x v="10"/>
    <x v="163"/>
  </r>
  <r>
    <n v="495"/>
    <s v="Dine In (RAKSHET)"/>
    <s v="Dine In"/>
    <s v="RAKSHET"/>
    <m/>
    <m/>
    <m/>
    <m/>
    <m/>
    <s v="Aurora Engine, The Full House Nachos (Veg)"/>
    <n v="645"/>
    <n v="0"/>
    <n v="645"/>
    <n v="32.26"/>
    <n v="-0.26"/>
    <n v="677"/>
    <x v="0"/>
    <m/>
    <s v="Printed"/>
    <x v="10"/>
    <x v="164"/>
  </r>
  <r>
    <n v="496"/>
    <s v="Dine In (3)"/>
    <s v="Dine In"/>
    <m/>
    <m/>
    <m/>
    <m/>
    <m/>
    <m/>
    <s v="Brown Butter Latte, Cappuccino, Pistachio Latte, Secret Mocha"/>
    <n v="1120"/>
    <n v="168"/>
    <n v="952"/>
    <n v="47.6"/>
    <n v="0.4"/>
    <n v="1000"/>
    <x v="2"/>
    <m/>
    <s v="Printed"/>
    <x v="10"/>
    <x v="165"/>
  </r>
  <r>
    <n v="497"/>
    <s v="Dine In (RAHUL)"/>
    <s v="Dine In"/>
    <s v="RAHUL"/>
    <m/>
    <m/>
    <m/>
    <m/>
    <m/>
    <s v="Cafe Mocha"/>
    <n v="280"/>
    <n v="0"/>
    <n v="280"/>
    <n v="14"/>
    <n v="0"/>
    <n v="294"/>
    <x v="0"/>
    <m/>
    <s v="Printed"/>
    <x v="10"/>
    <x v="166"/>
  </r>
  <r>
    <n v="498"/>
    <s v="Dine In (yash)"/>
    <s v="Dine In"/>
    <s v="yash"/>
    <m/>
    <m/>
    <m/>
    <m/>
    <m/>
    <s v="Aglio Olio, Classic Margherita Pizza, Phoenix Berry"/>
    <n v="1175"/>
    <n v="0"/>
    <n v="1175"/>
    <n v="58.76"/>
    <n v="0.24"/>
    <n v="1234"/>
    <x v="1"/>
    <m/>
    <s v="Printed"/>
    <x v="10"/>
    <x v="167"/>
  </r>
  <r>
    <n v="499"/>
    <s v="Dine In (JYOTSHI)"/>
    <s v="Dine In"/>
    <s v="JYOTSHI"/>
    <m/>
    <m/>
    <m/>
    <m/>
    <m/>
    <s v="The Catalyst"/>
    <n v="290"/>
    <n v="0"/>
    <n v="290"/>
    <n v="14.5"/>
    <n v="0.5"/>
    <n v="305"/>
    <x v="2"/>
    <m/>
    <s v="Printed"/>
    <x v="10"/>
    <x v="168"/>
  </r>
  <r>
    <n v="500"/>
    <s v="Dine In (3)"/>
    <s v="Dine In"/>
    <m/>
    <m/>
    <m/>
    <m/>
    <m/>
    <m/>
    <s v="Classic Hot Chocolate"/>
    <n v="325"/>
    <n v="0"/>
    <n v="325"/>
    <n v="16.260000000000002"/>
    <n v="-0.26"/>
    <n v="341"/>
    <x v="2"/>
    <m/>
    <s v="Printed"/>
    <x v="10"/>
    <x v="169"/>
  </r>
  <r>
    <n v="501"/>
    <s v="Dine In (rahul)"/>
    <s v="Dine In"/>
    <s v="rahul"/>
    <m/>
    <m/>
    <m/>
    <m/>
    <m/>
    <s v="Burnt Garlic &amp; Cauliflower"/>
    <n v="280"/>
    <n v="0"/>
    <n v="280"/>
    <n v="14"/>
    <n v="0"/>
    <n v="294"/>
    <x v="2"/>
    <m/>
    <s v="Printed"/>
    <x v="10"/>
    <x v="170"/>
  </r>
  <r>
    <n v="502"/>
    <s v="Dine In (radika)"/>
    <s v="Dine In"/>
    <s v="Radhika"/>
    <m/>
    <m/>
    <m/>
    <m/>
    <m/>
    <s v="Grilled Meaty Maverick"/>
    <n v="0"/>
    <n v="0"/>
    <n v="0"/>
    <n v="0"/>
    <n v="0"/>
    <n v="0"/>
    <x v="1"/>
    <m/>
    <s v="Printed"/>
    <x v="10"/>
    <x v="171"/>
  </r>
  <r>
    <n v="503"/>
    <s v="Dine In (vishaka)"/>
    <s v="Dine In"/>
    <s v="vishaka"/>
    <m/>
    <m/>
    <m/>
    <m/>
    <m/>
    <s v="Cappuccino, Classic Hot Chocolate, Cottage Cheese Steak, Espresso Tiramisu, The Full House Nachos (Veg)"/>
    <n v="0"/>
    <n v="0"/>
    <n v="0"/>
    <n v="0"/>
    <n v="0"/>
    <n v="0"/>
    <x v="1"/>
    <m/>
    <s v="Printed"/>
    <x v="10"/>
    <x v="172"/>
  </r>
  <r>
    <n v="504"/>
    <s v="Dine In (3)"/>
    <s v="Dine In"/>
    <m/>
    <m/>
    <m/>
    <m/>
    <m/>
    <m/>
    <s v="Classic Bombay Maestro Sandwich, Classic Margherita Pizza, Roasted Tomato &amp; Basil, The Full House Nachos (Veg), Thukpa Vegan"/>
    <n v="2575"/>
    <n v="0"/>
    <n v="2575"/>
    <n v="128.76"/>
    <n v="0.24"/>
    <n v="2704"/>
    <x v="0"/>
    <m/>
    <s v="Printed"/>
    <x v="10"/>
    <x v="173"/>
  </r>
  <r>
    <n v="505"/>
    <s v="Dine In (vikash sir)"/>
    <s v="Dine In"/>
    <s v="vikash sir"/>
    <m/>
    <m/>
    <m/>
    <m/>
    <m/>
    <s v="Buffalo Chicken Wings With Ranch Dip, Cappuccino, Chicken Conqueror Burger, Chicken Stroganoff Bunnychow, Espresso Tiramisu, Golden Tiramisu, Grilled Chicken, Mana Mint, New York Baked Cheese Cake, Rainbow Roll Pizza, Sour Cream And Onion Wrdges Warriors, Thukpa Chicken"/>
    <n v="4280"/>
    <n v="0"/>
    <n v="4280"/>
    <n v="214"/>
    <n v="0"/>
    <n v="4494"/>
    <x v="2"/>
    <m/>
    <s v="Printed"/>
    <x v="10"/>
    <x v="174"/>
  </r>
  <r>
    <n v="506"/>
    <s v="Dine In (1)"/>
    <s v="Dine In"/>
    <m/>
    <m/>
    <m/>
    <m/>
    <m/>
    <m/>
    <s v="Burrata Baron Pizza, Thukpa Vegan"/>
    <n v="1040"/>
    <n v="208"/>
    <n v="832"/>
    <n v="41.6"/>
    <n v="0.4"/>
    <n v="874"/>
    <x v="2"/>
    <m/>
    <s v="Printed"/>
    <x v="10"/>
    <x v="39"/>
  </r>
  <r>
    <n v="507"/>
    <s v="Dine In (2)"/>
    <s v="Dine In"/>
    <m/>
    <m/>
    <m/>
    <m/>
    <m/>
    <m/>
    <s v="Claasic Cold Coffee, Egg French Omelette"/>
    <n v="585"/>
    <n v="0"/>
    <n v="585"/>
    <n v="29.26"/>
    <n v="-0.26"/>
    <n v="614"/>
    <x v="2"/>
    <s v="upi"/>
    <s v="Printed"/>
    <x v="11"/>
    <x v="175"/>
  </r>
  <r>
    <n v="508"/>
    <s v="Dine In (11)"/>
    <s v="Dine In"/>
    <m/>
    <m/>
    <m/>
    <m/>
    <m/>
    <m/>
    <s v="Captain Fish Fingers, Lebanese Chicken Pizza, Mushroom Alfredo, Pinefire, Red Knight, Salsa Rose"/>
    <n v="2200"/>
    <n v="0"/>
    <n v="2200"/>
    <n v="110"/>
    <n v="0"/>
    <n v="2310"/>
    <x v="2"/>
    <m/>
    <s v="Printed"/>
    <x v="11"/>
    <x v="176"/>
  </r>
  <r>
    <n v="509"/>
    <s v="Dine In (4)"/>
    <s v="Dine In"/>
    <m/>
    <m/>
    <m/>
    <m/>
    <m/>
    <m/>
    <s v="Avocado Vanguard, The Catalyst"/>
    <n v="640"/>
    <n v="0"/>
    <n v="640"/>
    <n v="32"/>
    <n v="0"/>
    <n v="672"/>
    <x v="2"/>
    <m/>
    <s v="Printed"/>
    <x v="11"/>
    <x v="177"/>
  </r>
  <r>
    <n v="510"/>
    <s v="Dine In (MAYANK)"/>
    <s v="Dine In"/>
    <s v="MAYANK"/>
    <m/>
    <m/>
    <m/>
    <m/>
    <m/>
    <s v="Classic Hot Chocolate, Espresso Tiramisu"/>
    <n v="995"/>
    <n v="0"/>
    <n v="995"/>
    <n v="49.76"/>
    <n v="0.24"/>
    <n v="1045"/>
    <x v="1"/>
    <m/>
    <s v="Printed"/>
    <x v="11"/>
    <x v="178"/>
  </r>
  <r>
    <n v="511"/>
    <s v="Dine In (35)"/>
    <s v="Dine In"/>
    <m/>
    <m/>
    <m/>
    <m/>
    <m/>
    <m/>
    <s v="Vanilla And Cocoa Marble Teacakes"/>
    <n v="190"/>
    <n v="0"/>
    <n v="190"/>
    <n v="9.5"/>
    <n v="0.5"/>
    <n v="200"/>
    <x v="1"/>
    <m/>
    <s v="Printed"/>
    <x v="11"/>
    <x v="179"/>
  </r>
  <r>
    <n v="512"/>
    <s v="Dine In (5)"/>
    <s v="Dine In"/>
    <m/>
    <m/>
    <m/>
    <m/>
    <m/>
    <m/>
    <s v="Claasic Cold Coffee, The Melty Mischief, Thukpa Vegan"/>
    <n v="1035"/>
    <n v="155.25"/>
    <n v="879.75"/>
    <n v="43.98"/>
    <n v="0.27"/>
    <n v="924"/>
    <x v="2"/>
    <m/>
    <s v="Printed"/>
    <x v="11"/>
    <x v="180"/>
  </r>
  <r>
    <n v="513"/>
    <s v="Dine In (ANKIT)"/>
    <s v="Dine In"/>
    <s v="ANKIT"/>
    <m/>
    <m/>
    <m/>
    <m/>
    <m/>
    <s v="Cappuccino, Extra Vegetables, Garlic Pepper Chicken Pizza, Thukpa Chicken"/>
    <n v="1460"/>
    <n v="0"/>
    <n v="1460"/>
    <n v="67"/>
    <n v="0"/>
    <n v="1527"/>
    <x v="2"/>
    <m/>
    <s v="Printed"/>
    <x v="11"/>
    <x v="181"/>
  </r>
  <r>
    <n v="514"/>
    <s v="Dine In (gourab)"/>
    <s v="Dine In"/>
    <s v="gourab"/>
    <m/>
    <m/>
    <m/>
    <m/>
    <m/>
    <s v="Classic Garlic Gambit, Espresso Tiramisu, Golden Tiramisu, Rainbow Roll Pizza, Stained Sagrada"/>
    <n v="1575"/>
    <n v="236.25"/>
    <n v="1338.75"/>
    <n v="66.94"/>
    <n v="0.31"/>
    <n v="1406"/>
    <x v="0"/>
    <m/>
    <s v="Printed"/>
    <x v="11"/>
    <x v="182"/>
  </r>
  <r>
    <n v="515"/>
    <s v="Dine In (2)"/>
    <s v="Dine In"/>
    <m/>
    <m/>
    <m/>
    <m/>
    <m/>
    <m/>
    <s v="Cappuccino, Vanilla And Cocoa Marble Teacakes"/>
    <n v="440"/>
    <n v="0"/>
    <n v="440"/>
    <n v="22"/>
    <n v="0"/>
    <n v="462"/>
    <x v="2"/>
    <m/>
    <s v="Printed"/>
    <x v="11"/>
    <x v="183"/>
  </r>
  <r>
    <n v="516"/>
    <s v="Dine In (ashish)"/>
    <s v="Dine In"/>
    <s v="ashish"/>
    <m/>
    <m/>
    <m/>
    <m/>
    <m/>
    <s v="Cafe Latte, Roasted Tomato &amp; Basil"/>
    <n v="520"/>
    <n v="0"/>
    <n v="520"/>
    <n v="26"/>
    <n v="0"/>
    <n v="546"/>
    <x v="0"/>
    <m/>
    <s v="Printed"/>
    <x v="11"/>
    <x v="184"/>
  </r>
  <r>
    <n v="517"/>
    <s v="Dine In (shubam)"/>
    <s v="Dine In"/>
    <s v="shubam"/>
    <m/>
    <m/>
    <m/>
    <m/>
    <m/>
    <s v="Egg French Omelette, Flat White, Peri Peri Cottage Cheese Pizza, Wild Berry Waffles"/>
    <n v="1550"/>
    <n v="0"/>
    <n v="1550"/>
    <n v="77.5"/>
    <n v="0.5"/>
    <n v="1628"/>
    <x v="0"/>
    <m/>
    <s v="Printed"/>
    <x v="11"/>
    <x v="185"/>
  </r>
  <r>
    <n v="518"/>
    <s v="Dine In (anirudh)"/>
    <s v="Dine In"/>
    <s v="anirudh"/>
    <m/>
    <m/>
    <m/>
    <m/>
    <m/>
    <s v="Truffle And Parmesan Crispy Scouts"/>
    <n v="240"/>
    <n v="0"/>
    <n v="240"/>
    <n v="12"/>
    <n v="0"/>
    <n v="252"/>
    <x v="2"/>
    <m/>
    <s v="Printed"/>
    <x v="11"/>
    <x v="186"/>
  </r>
  <r>
    <n v="519"/>
    <s v="Dine In (dibisis)"/>
    <s v="Dine In"/>
    <s v="dibaisis"/>
    <m/>
    <m/>
    <m/>
    <m/>
    <m/>
    <s v="Avocado Vanguard, Banana Walnut Teacakes"/>
    <n v="540"/>
    <n v="0"/>
    <n v="540"/>
    <n v="27"/>
    <n v="0"/>
    <n v="567"/>
    <x v="0"/>
    <m/>
    <s v="Printed"/>
    <x v="11"/>
    <x v="187"/>
  </r>
  <r>
    <n v="520"/>
    <s v="Dine In (amol)"/>
    <s v="Dine In"/>
    <s v="amol"/>
    <m/>
    <m/>
    <m/>
    <m/>
    <m/>
    <s v="Iced Americano"/>
    <n v="250"/>
    <n v="0"/>
    <n v="250"/>
    <n v="12.5"/>
    <n v="0.5"/>
    <n v="263"/>
    <x v="2"/>
    <m/>
    <s v="Printed"/>
    <x v="11"/>
    <x v="188"/>
  </r>
  <r>
    <n v="521"/>
    <s v="Dine In (3)"/>
    <s v="Dine In"/>
    <m/>
    <m/>
    <m/>
    <m/>
    <m/>
    <m/>
    <s v="Pistachio Latte"/>
    <n v="295"/>
    <n v="0"/>
    <n v="295"/>
    <n v="14.76"/>
    <n v="0.24"/>
    <n v="310"/>
    <x v="2"/>
    <m/>
    <s v="Printed"/>
    <x v="11"/>
    <x v="189"/>
  </r>
  <r>
    <n v="522"/>
    <s v="Dine In (rahul)"/>
    <s v="Dine In"/>
    <s v="rahul"/>
    <m/>
    <m/>
    <m/>
    <m/>
    <m/>
    <s v="Tex-Mex Bowl With Cottage Cheese (V), Thukpa Vegan"/>
    <n v="715"/>
    <n v="0"/>
    <n v="715"/>
    <n v="35.76"/>
    <n v="0.24"/>
    <n v="751"/>
    <x v="2"/>
    <m/>
    <s v="Printed"/>
    <x v="11"/>
    <x v="190"/>
  </r>
  <r>
    <n v="523"/>
    <s v="Dine In (SIDHANT)"/>
    <s v="Dine In"/>
    <s v="SIDHANT"/>
    <m/>
    <m/>
    <m/>
    <m/>
    <m/>
    <s v="Cappuccino, Grilled Meaty Maverick"/>
    <n v="670"/>
    <n v="0"/>
    <n v="670"/>
    <n v="33.5"/>
    <n v="0.5"/>
    <n v="704"/>
    <x v="0"/>
    <m/>
    <s v="Printed"/>
    <x v="11"/>
    <x v="191"/>
  </r>
  <r>
    <n v="524"/>
    <s v="Dine In (radhika ma am)"/>
    <s v="Dine In"/>
    <s v="radhika ma am"/>
    <m/>
    <m/>
    <m/>
    <m/>
    <m/>
    <s v="Classic"/>
    <n v="0"/>
    <n v="0"/>
    <n v="0"/>
    <n v="0"/>
    <n v="0"/>
    <n v="0"/>
    <x v="1"/>
    <m/>
    <s v="Printed"/>
    <x v="11"/>
    <x v="192"/>
  </r>
  <r>
    <n v="525"/>
    <s v="Dine In (vishaka mam)"/>
    <s v="Dine In"/>
    <s v="vishaka"/>
    <m/>
    <m/>
    <m/>
    <m/>
    <m/>
    <s v="Masala Egg Bhurji, Salsa Rose, The Full House Nachos (Veg)"/>
    <n v="0"/>
    <n v="0"/>
    <n v="0"/>
    <n v="0"/>
    <n v="0"/>
    <n v="0"/>
    <x v="1"/>
    <m/>
    <s v="Printed"/>
    <x v="11"/>
    <x v="193"/>
  </r>
  <r>
    <n v="526"/>
    <s v="Dine In (sahil)"/>
    <s v="Dine In"/>
    <m/>
    <m/>
    <m/>
    <m/>
    <m/>
    <m/>
    <s v="Grilled Chicken, Mushroom Alfredo, Red Knight"/>
    <n v="1370"/>
    <n v="0"/>
    <n v="1370"/>
    <n v="68.5"/>
    <n v="0.5"/>
    <n v="1439"/>
    <x v="2"/>
    <m/>
    <s v="Printed"/>
    <x v="11"/>
    <x v="194"/>
  </r>
  <r>
    <n v="527"/>
    <s v="Dine In (1)"/>
    <s v="Dine In"/>
    <m/>
    <m/>
    <m/>
    <m/>
    <m/>
    <m/>
    <s v="Aglio Olio, Buffalo Chicken Wings With Ranch Dip, Creamy Pesto, Mushroom Alfredo, Peri Peri Cottage Cheese Pizza, Peri Peri Crispy Scouts, Rainbow Roll Pizza, The Full House Nachos (Veg)"/>
    <n v="4300"/>
    <n v="0"/>
    <n v="4300"/>
    <n v="215"/>
    <n v="0"/>
    <n v="4515"/>
    <x v="2"/>
    <m/>
    <s v="Printed"/>
    <x v="11"/>
    <x v="195"/>
  </r>
  <r>
    <n v="528"/>
    <s v="Dine In (5)"/>
    <s v="Dine In"/>
    <m/>
    <m/>
    <m/>
    <m/>
    <m/>
    <m/>
    <s v="Cafe Latte"/>
    <n v="240"/>
    <n v="0"/>
    <n v="240"/>
    <n v="12"/>
    <n v="0"/>
    <n v="252"/>
    <x v="2"/>
    <s v="upi"/>
    <s v="Printed"/>
    <x v="12"/>
    <x v="196"/>
  </r>
  <r>
    <n v="529"/>
    <s v="Dine In (11)"/>
    <s v="Dine In"/>
    <m/>
    <m/>
    <m/>
    <m/>
    <m/>
    <m/>
    <s v="Buffalo Chicken Wings With Ranch Dip, Classic Lemon Ice Tea"/>
    <n v="555"/>
    <n v="0"/>
    <n v="555"/>
    <n v="27.76"/>
    <n v="0.24"/>
    <n v="583"/>
    <x v="1"/>
    <m/>
    <s v="Printed"/>
    <x v="12"/>
    <x v="197"/>
  </r>
  <r>
    <n v="530"/>
    <s v="Dine In (4)"/>
    <s v="Dine In"/>
    <m/>
    <m/>
    <m/>
    <m/>
    <m/>
    <m/>
    <s v="Brown Butter Latte, Iced Mocha, Vanilla And Cocoa Marble Teacakes"/>
    <n v="1120"/>
    <n v="168"/>
    <n v="952"/>
    <n v="47.6"/>
    <n v="0.4"/>
    <n v="1000"/>
    <x v="0"/>
    <m/>
    <s v="Printed"/>
    <x v="12"/>
    <x v="198"/>
  </r>
  <r>
    <n v="531"/>
    <s v="Dine In (2)"/>
    <s v="Dine In"/>
    <m/>
    <m/>
    <m/>
    <m/>
    <m/>
    <m/>
    <s v="Cafe Latte, Cafe Mocha, Classic Hot Chocolate, The Bruschetta Bards, The Full House Nachos (Veg)"/>
    <n v="1505"/>
    <n v="0"/>
    <n v="1505"/>
    <n v="75.260000000000005"/>
    <n v="-0.26"/>
    <n v="1580"/>
    <x v="2"/>
    <m/>
    <s v="Printed"/>
    <x v="12"/>
    <x v="199"/>
  </r>
  <r>
    <n v="532"/>
    <s v="Dine In (astosh)"/>
    <s v="Dine In"/>
    <s v="astosh"/>
    <m/>
    <m/>
    <m/>
    <m/>
    <m/>
    <s v="Burnt Garlic &amp; Cauliflower"/>
    <n v="280"/>
    <n v="0"/>
    <n v="280"/>
    <n v="14"/>
    <n v="0"/>
    <n v="294"/>
    <x v="1"/>
    <m/>
    <s v="Printed"/>
    <x v="12"/>
    <x v="200"/>
  </r>
  <r>
    <n v="533"/>
    <s v="Dine In (5)"/>
    <s v="Dine In"/>
    <m/>
    <m/>
    <m/>
    <m/>
    <m/>
    <m/>
    <s v="Ice Latte, Iced Coconut Oat Matcha Latte, Tex-Mex Bowl With Cottage Cheese (V)"/>
    <n v="1040"/>
    <n v="0"/>
    <n v="1040"/>
    <n v="52"/>
    <n v="0"/>
    <n v="1092"/>
    <x v="2"/>
    <m/>
    <s v="Printed"/>
    <x v="12"/>
    <x v="201"/>
  </r>
  <r>
    <n v="534"/>
    <s v="Dine In (simona)"/>
    <s v="Dine In"/>
    <s v="simona"/>
    <m/>
    <m/>
    <m/>
    <m/>
    <m/>
    <s v="Peri Peri Crispy Scouts, Tex-Mex Bowl With Cottage Cheese (V)"/>
    <n v="615"/>
    <n v="0"/>
    <n v="615"/>
    <n v="30.76"/>
    <n v="0.24"/>
    <n v="646"/>
    <x v="2"/>
    <m/>
    <s v="Printed"/>
    <x v="12"/>
    <x v="202"/>
  </r>
  <r>
    <n v="535"/>
    <s v="Dine In (3)"/>
    <s v="Dine In"/>
    <m/>
    <m/>
    <m/>
    <m/>
    <m/>
    <m/>
    <s v="Americano, Cappuccino, The Bruschetta Bards"/>
    <n v="750"/>
    <n v="0"/>
    <n v="750"/>
    <n v="37.5"/>
    <n v="0.5"/>
    <n v="788"/>
    <x v="1"/>
    <m/>
    <s v="Printed"/>
    <x v="12"/>
    <x v="203"/>
  </r>
  <r>
    <n v="536"/>
    <s v="Dine In (shradha)"/>
    <s v="Dine In"/>
    <s v="sharadha"/>
    <m/>
    <m/>
    <m/>
    <m/>
    <m/>
    <s v="Chicken Quesadilla, Claasic Cold Coffee, Classic Lemon Ice Tea, Creamy Pesto, Ice Latte, Rainbow Roll Pizza, The Full House Nachos (Veg)"/>
    <n v="3200"/>
    <n v="0"/>
    <n v="3200"/>
    <n v="160"/>
    <n v="0"/>
    <n v="3360"/>
    <x v="2"/>
    <m/>
    <s v="Printed"/>
    <x v="12"/>
    <x v="204"/>
  </r>
  <r>
    <n v="537"/>
    <s v="Dine In (RAHUL)"/>
    <s v="Dine In"/>
    <s v="RAHUL"/>
    <m/>
    <m/>
    <m/>
    <m/>
    <m/>
    <s v="Peri Peri Crispy Scouts, Rainbow Roll Pizza"/>
    <n v="640"/>
    <n v="0"/>
    <n v="640"/>
    <n v="32"/>
    <n v="0"/>
    <n v="672"/>
    <x v="2"/>
    <m/>
    <s v="Printed"/>
    <x v="12"/>
    <x v="205"/>
  </r>
  <r>
    <n v="538"/>
    <s v="Dine In (4)"/>
    <s v="Dine In"/>
    <m/>
    <m/>
    <m/>
    <m/>
    <m/>
    <m/>
    <s v="Cappuccino, Peri Peri Crispy Scouts"/>
    <n v="690"/>
    <n v="103.5"/>
    <n v="586.5"/>
    <n v="29.32"/>
    <n v="0.18"/>
    <n v="616"/>
    <x v="2"/>
    <m/>
    <s v="Printed"/>
    <x v="12"/>
    <x v="206"/>
  </r>
  <r>
    <n v="539"/>
    <s v="Dine In (neetu)"/>
    <s v="Dine In"/>
    <m/>
    <m/>
    <m/>
    <m/>
    <m/>
    <m/>
    <s v="Cappuccino, Classic Garlic Gambit, Classic Hot Chocolate, Classic Margherita Pizza, Ice Latte"/>
    <n v="1420"/>
    <n v="0"/>
    <n v="1420"/>
    <n v="71"/>
    <n v="0"/>
    <n v="1491"/>
    <x v="1"/>
    <m/>
    <s v="Printed"/>
    <x v="12"/>
    <x v="207"/>
  </r>
  <r>
    <n v="540"/>
    <s v="Dine In (daliya)"/>
    <s v="Dine In"/>
    <s v="daliya"/>
    <m/>
    <m/>
    <m/>
    <m/>
    <m/>
    <s v="Avocado Vanguard, Cream Of Chicken &amp; Leek, Grilled Meaty Maverick, Ice Latte, Truffle And Parmesan Crispy Scouts"/>
    <n v="1600"/>
    <n v="240"/>
    <n v="1360"/>
    <n v="68"/>
    <n v="0"/>
    <n v="1428"/>
    <x v="1"/>
    <m/>
    <s v="Printed"/>
    <x v="12"/>
    <x v="208"/>
  </r>
  <r>
    <n v="541"/>
    <s v="Dine In (vabhav)"/>
    <s v="Dine In"/>
    <s v="vabhav"/>
    <m/>
    <m/>
    <m/>
    <m/>
    <m/>
    <s v="Americano, Brown Butter Latte, Honey Cinnamon Cold Brew, Veg Quesadilla"/>
    <n v="1390"/>
    <n v="0"/>
    <n v="1390"/>
    <n v="69.5"/>
    <n v="0.5"/>
    <n v="1460"/>
    <x v="0"/>
    <m/>
    <s v="Printed"/>
    <x v="12"/>
    <x v="209"/>
  </r>
  <r>
    <n v="542"/>
    <s v="Dine In (dr gulati)"/>
    <s v="Dine In"/>
    <s v="dr gulati"/>
    <m/>
    <m/>
    <m/>
    <m/>
    <m/>
    <s v="Cappuccino, Secret Mocha, Truffle And Parmesan Crispy Scouts"/>
    <n v="770"/>
    <n v="115.5"/>
    <n v="654.5"/>
    <n v="32.72"/>
    <n v="-0.22"/>
    <n v="687"/>
    <x v="1"/>
    <m/>
    <s v="Printed"/>
    <x v="12"/>
    <x v="210"/>
  </r>
  <r>
    <n v="543"/>
    <s v="Dine In (vidhant)"/>
    <s v="Dine In"/>
    <s v="vidhant"/>
    <m/>
    <m/>
    <m/>
    <m/>
    <m/>
    <s v="Golden Tiramisu, Thukpa Vegan"/>
    <n v="635"/>
    <n v="0"/>
    <n v="635"/>
    <n v="31.76"/>
    <n v="0.24"/>
    <n v="667"/>
    <x v="2"/>
    <m/>
    <s v="Printed"/>
    <x v="12"/>
    <x v="211"/>
  </r>
  <r>
    <n v="544"/>
    <s v="Dine In (chirag)"/>
    <s v="Dine In"/>
    <s v="chirag"/>
    <m/>
    <m/>
    <m/>
    <m/>
    <m/>
    <s v="Carbonara, The Melty Mischief"/>
    <n v="1025"/>
    <n v="0"/>
    <n v="1025"/>
    <n v="51.26"/>
    <n v="-0.26"/>
    <n v="1076"/>
    <x v="2"/>
    <m/>
    <s v="Printed"/>
    <x v="12"/>
    <x v="212"/>
  </r>
  <r>
    <n v="545"/>
    <s v="Dine In (Bhaghavi)"/>
    <s v="Dine In"/>
    <s v="Bhaghavi"/>
    <m/>
    <m/>
    <m/>
    <m/>
    <m/>
    <s v="Biscoff Shake, Chicken &amp; Cheese On Toast, Chicken Quesadilla, Hot Americano, Pistachio Latte, Rainbow Roll Pizza, Roasted Tomato &amp; Basil, Secret Mocha, Truffle And Parmesan Crispy Scouts"/>
    <n v="3900"/>
    <n v="0"/>
    <n v="3900"/>
    <n v="195"/>
    <n v="0"/>
    <n v="4095"/>
    <x v="2"/>
    <m/>
    <s v="Printed"/>
    <x v="12"/>
    <x v="213"/>
  </r>
  <r>
    <n v="546"/>
    <s v="Dine In (priyanka)"/>
    <s v="Dine In"/>
    <s v="priyanka"/>
    <m/>
    <m/>
    <m/>
    <m/>
    <m/>
    <s v="Peri Peri Wrdges Warriors, Secret Mocha"/>
    <n v="750"/>
    <n v="0"/>
    <n v="750"/>
    <n v="37.5"/>
    <n v="0.5"/>
    <n v="788"/>
    <x v="2"/>
    <m/>
    <s v="Printed"/>
    <x v="12"/>
    <x v="214"/>
  </r>
  <r>
    <n v="547"/>
    <s v="Dine In (gautam)"/>
    <s v="Dine In"/>
    <s v="gautam"/>
    <m/>
    <m/>
    <m/>
    <m/>
    <m/>
    <s v="New York Baked Cheese Cake"/>
    <n v="345"/>
    <n v="0"/>
    <n v="345"/>
    <n v="17.260000000000002"/>
    <n v="-0.26"/>
    <n v="362"/>
    <x v="2"/>
    <m/>
    <s v="Printed"/>
    <x v="12"/>
    <x v="215"/>
  </r>
  <r>
    <n v="548"/>
    <s v="Dine In (shruti)"/>
    <s v="Dine In"/>
    <s v="shruti"/>
    <m/>
    <m/>
    <m/>
    <m/>
    <m/>
    <s v="Secret Mocha"/>
    <n v="280"/>
    <n v="0"/>
    <n v="280"/>
    <n v="14"/>
    <n v="0"/>
    <n v="294"/>
    <x v="2"/>
    <m/>
    <s v="Printed"/>
    <x v="12"/>
    <x v="216"/>
  </r>
  <r>
    <n v="549"/>
    <s v="Dine In (SUPRIYA)"/>
    <s v="Dine In"/>
    <s v="SUPRIYA"/>
    <m/>
    <m/>
    <m/>
    <m/>
    <m/>
    <s v="Claasic Cold Coffee, Extra Vegetables, Mushroom Alfredo, Rainbow Roll Pizza"/>
    <n v="1290"/>
    <n v="0"/>
    <n v="1290"/>
    <n v="58.5"/>
    <n v="0.5"/>
    <n v="1349"/>
    <x v="2"/>
    <m/>
    <s v="Printed"/>
    <x v="12"/>
    <x v="217"/>
  </r>
  <r>
    <n v="550"/>
    <s v="Dine In (PRIYA)"/>
    <s v="Dine In"/>
    <s v="PRIYA"/>
    <m/>
    <m/>
    <m/>
    <m/>
    <m/>
    <s v="Spicy Chicken Tenders, Tex-Mex Bowl Grilled Chicken"/>
    <n v="885"/>
    <n v="132.75"/>
    <n v="752.25"/>
    <n v="37.619999999999997"/>
    <n v="0.13"/>
    <n v="790"/>
    <x v="1"/>
    <m/>
    <s v="Printed"/>
    <x v="12"/>
    <x v="218"/>
  </r>
  <r>
    <n v="551"/>
    <s v="Dine In (neha)"/>
    <s v="Dine In"/>
    <s v="neha"/>
    <m/>
    <m/>
    <m/>
    <m/>
    <m/>
    <s v="Captain Fish Fingers, Chicken &amp; Cheese On Toast, Phoenix Berry, Spicy Chicken Tenders"/>
    <n v="1505"/>
    <n v="0"/>
    <n v="1505"/>
    <n v="75.260000000000005"/>
    <n v="-0.26"/>
    <n v="1580"/>
    <x v="0"/>
    <m/>
    <s v="Printed"/>
    <x v="12"/>
    <x v="219"/>
  </r>
  <r>
    <n v="552"/>
    <s v="Dine In (amit)"/>
    <s v="Dine In"/>
    <s v="amit"/>
    <m/>
    <m/>
    <m/>
    <m/>
    <m/>
    <s v="Banana Walnut Teacakes, Cafe Mocha, Cappuccino, Creamy Pesto, Tex-Mex Bowl With Cottage Cheese (V)"/>
    <n v="1570"/>
    <n v="0"/>
    <n v="1570"/>
    <n v="78.5"/>
    <n v="0.5"/>
    <n v="1649"/>
    <x v="2"/>
    <m/>
    <s v="Printed"/>
    <x v="12"/>
    <x v="220"/>
  </r>
  <r>
    <n v="553"/>
    <s v="Dine In (nikhita)"/>
    <s v="Dine In"/>
    <s v="nikhita"/>
    <m/>
    <m/>
    <m/>
    <m/>
    <m/>
    <s v="Cappuccino, Classic Hot Chocolate, Peri Peri Crispy Scouts, Rainbow Roll Pizza"/>
    <n v="1540"/>
    <n v="0"/>
    <n v="1540"/>
    <n v="77"/>
    <n v="0"/>
    <n v="1617"/>
    <x v="0"/>
    <m/>
    <s v="Printed"/>
    <x v="12"/>
    <x v="221"/>
  </r>
  <r>
    <n v="554"/>
    <s v="Dine In (akshay)"/>
    <s v="Dine In"/>
    <s v="akshay"/>
    <m/>
    <m/>
    <m/>
    <m/>
    <m/>
    <s v="Aglio Olio, Classic Hot Chocolate, Cottage Cheese Steak"/>
    <n v="1445"/>
    <n v="0"/>
    <n v="1445"/>
    <n v="72.260000000000005"/>
    <n v="-0.26"/>
    <n v="1517"/>
    <x v="4"/>
    <m/>
    <s v="Printed"/>
    <x v="12"/>
    <x v="222"/>
  </r>
  <r>
    <n v="555"/>
    <s v="Dine In (jyotsaina)"/>
    <s v="Dine In"/>
    <s v="jyotsaina"/>
    <m/>
    <m/>
    <m/>
    <m/>
    <m/>
    <s v="Classic Garlic Gambit, Peri Peri Cottage Cheese Pizza"/>
    <n v="745"/>
    <n v="0"/>
    <n v="745"/>
    <n v="37.26"/>
    <n v="-0.26"/>
    <n v="782"/>
    <x v="2"/>
    <m/>
    <s v="Printed"/>
    <x v="12"/>
    <x v="223"/>
  </r>
  <r>
    <n v="556"/>
    <s v="Dine In (pankaj)"/>
    <s v="Dine In"/>
    <m/>
    <m/>
    <m/>
    <m/>
    <m/>
    <m/>
    <s v="Avocado Vanguard, Egg French Omelette, Grilled Vegetables, Ice Latte, Matcha Latte"/>
    <n v="1890"/>
    <n v="0"/>
    <n v="1890"/>
    <n v="94.5"/>
    <n v="0.5"/>
    <n v="1985"/>
    <x v="4"/>
    <m/>
    <s v="Printed"/>
    <x v="12"/>
    <x v="224"/>
  </r>
  <r>
    <n v="557"/>
    <s v="Dine In (CHARMYE)"/>
    <s v="Dine In"/>
    <m/>
    <m/>
    <m/>
    <m/>
    <m/>
    <m/>
    <s v="Cafe Latte"/>
    <n v="240"/>
    <n v="0"/>
    <n v="240"/>
    <n v="12"/>
    <n v="0"/>
    <n v="252"/>
    <x v="2"/>
    <m/>
    <s v="Printed"/>
    <x v="12"/>
    <x v="225"/>
  </r>
  <r>
    <n v="558"/>
    <s v="Dine In (annu)"/>
    <s v="Dine In"/>
    <s v="annu"/>
    <m/>
    <m/>
    <m/>
    <m/>
    <m/>
    <s v="Cappuccino, Claasic Cold Coffee, Classic Lemon Ice Tea, Gaming Charge, Jackfruit Jester Burger, Peri Peri Cottage Cheese Pizza, Pinefire, Salsa Rose, The Bruschetta Bards"/>
    <n v="3266"/>
    <n v="326.60000000000002"/>
    <n v="2939.4"/>
    <n v="226.08"/>
    <n v="-0.48"/>
    <n v="3165"/>
    <x v="2"/>
    <m/>
    <s v="Printed"/>
    <x v="12"/>
    <x v="226"/>
  </r>
  <r>
    <n v="559"/>
    <s v="Dine In (mehak)"/>
    <s v="Dine In"/>
    <m/>
    <m/>
    <m/>
    <m/>
    <m/>
    <m/>
    <s v="Classic Hot Chocolate, Veg Quesadilla"/>
    <n v="950"/>
    <n v="0"/>
    <n v="950"/>
    <n v="47.5"/>
    <n v="0.5"/>
    <n v="998"/>
    <x v="2"/>
    <m/>
    <s v="Printed"/>
    <x v="12"/>
    <x v="227"/>
  </r>
  <r>
    <n v="560"/>
    <s v="Dine In (sidhart)"/>
    <s v="Dine In"/>
    <s v="sidhart"/>
    <m/>
    <m/>
    <m/>
    <m/>
    <m/>
    <s v="Espresso Tiramisu, Peri Peri Wrdges Warriors"/>
    <n v="535"/>
    <n v="0"/>
    <n v="535"/>
    <n v="26.76"/>
    <n v="0.24"/>
    <n v="562"/>
    <x v="2"/>
    <m/>
    <s v="Printed"/>
    <x v="12"/>
    <x v="228"/>
  </r>
  <r>
    <n v="561"/>
    <s v="Dine In (vishaka maam)"/>
    <s v="Dine In"/>
    <s v="vishaka maam"/>
    <m/>
    <m/>
    <m/>
    <m/>
    <m/>
    <s v="Cappuccino, Classic Bombay Maestro Sandwich, Tex-Mex Bowl With Cottage Cheese (V)"/>
    <n v="0"/>
    <n v="0"/>
    <n v="0"/>
    <n v="0"/>
    <n v="0"/>
    <n v="0"/>
    <x v="1"/>
    <m/>
    <s v="Printed"/>
    <x v="12"/>
    <x v="229"/>
  </r>
  <r>
    <n v="562"/>
    <s v="Dine In (pujita)"/>
    <s v="Dine In"/>
    <s v="pujita"/>
    <m/>
    <m/>
    <m/>
    <m/>
    <m/>
    <s v="Classic Hot Chocolate, Truffle And Parmesan Crispy Scouts"/>
    <n v="565"/>
    <n v="0"/>
    <n v="565"/>
    <n v="28.26"/>
    <n v="-0.26"/>
    <n v="593"/>
    <x v="2"/>
    <m/>
    <s v="Printed"/>
    <x v="12"/>
    <x v="230"/>
  </r>
  <r>
    <n v="563"/>
    <s v="Dine In (amol)"/>
    <s v="Dine In"/>
    <s v="amol"/>
    <m/>
    <m/>
    <m/>
    <m/>
    <m/>
    <s v="Iced Americano"/>
    <n v="0"/>
    <n v="0"/>
    <n v="0"/>
    <n v="0"/>
    <n v="0"/>
    <n v="0"/>
    <x v="1"/>
    <m/>
    <s v="Printed"/>
    <x v="12"/>
    <x v="231"/>
  </r>
  <r>
    <n v="564"/>
    <s v="Dine In (10)"/>
    <s v="Dine In"/>
    <m/>
    <m/>
    <m/>
    <m/>
    <m/>
    <m/>
    <s v="Pinefire"/>
    <n v="200"/>
    <n v="20"/>
    <n v="180"/>
    <n v="9"/>
    <n v="0"/>
    <n v="189"/>
    <x v="2"/>
    <m/>
    <s v="Printed"/>
    <x v="12"/>
    <x v="232"/>
  </r>
  <r>
    <n v="565"/>
    <s v="Dine In (VIKASH SIR)"/>
    <s v="Dine In"/>
    <m/>
    <m/>
    <m/>
    <m/>
    <m/>
    <m/>
    <s v="Spicy Chicken Tenders"/>
    <n v="0"/>
    <n v="0"/>
    <n v="0"/>
    <n v="0"/>
    <n v="0"/>
    <n v="0"/>
    <x v="1"/>
    <m/>
    <s v="Printed"/>
    <x v="12"/>
    <x v="233"/>
  </r>
  <r>
    <n v="566"/>
    <s v="Dine In (ridhika ma.am)"/>
    <s v="Dine In"/>
    <s v="ridhika ma.am"/>
    <m/>
    <m/>
    <m/>
    <m/>
    <m/>
    <s v="Classic Hot Chocolate, Grilled Chicken, Tex-Mex Bowl Grilled Chicken"/>
    <n v="0"/>
    <n v="0"/>
    <n v="0"/>
    <n v="0"/>
    <n v="0"/>
    <n v="0"/>
    <x v="1"/>
    <m/>
    <s v="Printed"/>
    <x v="12"/>
    <x v="234"/>
  </r>
  <r>
    <n v="567"/>
    <s v="Dine In (sidhant sir)"/>
    <s v="Dine In"/>
    <s v="sidhant sir"/>
    <m/>
    <m/>
    <m/>
    <m/>
    <m/>
    <s v="Grilled Fish, Secret Mocha"/>
    <n v="1075"/>
    <n v="0"/>
    <n v="1075"/>
    <n v="53.76"/>
    <n v="0.24"/>
    <n v="1129"/>
    <x v="0"/>
    <m/>
    <s v="Printed"/>
    <x v="12"/>
    <x v="235"/>
  </r>
  <r>
    <n v="568"/>
    <s v="Dine In (1)"/>
    <s v="Dine In"/>
    <m/>
    <m/>
    <m/>
    <m/>
    <m/>
    <m/>
    <s v="Rainbow Roll Pizza"/>
    <n v="450"/>
    <n v="0"/>
    <n v="450"/>
    <n v="22.5"/>
    <n v="0.5"/>
    <n v="473"/>
    <x v="1"/>
    <m/>
    <s v="Printed"/>
    <x v="12"/>
    <x v="236"/>
  </r>
  <r>
    <n v="569"/>
    <s v="Dine In (ANMOL)"/>
    <s v="Dine In"/>
    <s v="ANMOL"/>
    <m/>
    <m/>
    <m/>
    <m/>
    <m/>
    <s v="Claasic Cold Coffee"/>
    <n v="590"/>
    <n v="0"/>
    <n v="590"/>
    <n v="29.5"/>
    <n v="0.5"/>
    <n v="620"/>
    <x v="1"/>
    <m/>
    <s v="Printed"/>
    <x v="12"/>
    <x v="237"/>
  </r>
  <r>
    <n v="570"/>
    <s v="Dine In (35)"/>
    <s v="Dine In"/>
    <m/>
    <m/>
    <m/>
    <m/>
    <m/>
    <m/>
    <s v="Gaming Charge"/>
    <n v="338"/>
    <n v="0"/>
    <n v="338"/>
    <n v="60.84"/>
    <n v="0.16"/>
    <n v="399"/>
    <x v="2"/>
    <m/>
    <s v="Printed"/>
    <x v="12"/>
    <x v="238"/>
  </r>
  <r>
    <n v="571"/>
    <s v="Dine In (34)"/>
    <s v="Dine In"/>
    <m/>
    <m/>
    <m/>
    <m/>
    <m/>
    <m/>
    <s v="Gaming Charge"/>
    <n v="169"/>
    <n v="0"/>
    <n v="169"/>
    <n v="30.42"/>
    <n v="-0.42"/>
    <n v="199"/>
    <x v="2"/>
    <m/>
    <s v="Printed"/>
    <x v="12"/>
    <x v="239"/>
  </r>
  <r>
    <n v="572"/>
    <s v="Dine In (33)"/>
    <s v="Dine In"/>
    <m/>
    <m/>
    <m/>
    <m/>
    <m/>
    <m/>
    <s v="Gaming Charge"/>
    <n v="169"/>
    <n v="0"/>
    <n v="169"/>
    <n v="30.42"/>
    <n v="-0.42"/>
    <n v="199"/>
    <x v="2"/>
    <m/>
    <s v="Printed"/>
    <x v="12"/>
    <x v="240"/>
  </r>
  <r>
    <n v="573"/>
    <s v="Dine In (11)"/>
    <s v="Dine In"/>
    <m/>
    <m/>
    <m/>
    <m/>
    <m/>
    <m/>
    <s v="Hot Americano"/>
    <n v="220"/>
    <n v="0"/>
    <n v="220"/>
    <n v="11"/>
    <n v="0"/>
    <n v="231"/>
    <x v="2"/>
    <m/>
    <s v="Printed"/>
    <x v="13"/>
    <x v="241"/>
  </r>
  <r>
    <n v="574"/>
    <s v="Dine In (kartik)"/>
    <s v="Dine In"/>
    <s v="kartik"/>
    <m/>
    <m/>
    <m/>
    <m/>
    <m/>
    <s v="Hot Americano"/>
    <n v="220"/>
    <n v="0"/>
    <n v="220"/>
    <n v="11"/>
    <n v="0"/>
    <n v="231"/>
    <x v="1"/>
    <m/>
    <s v="Printed"/>
    <x v="13"/>
    <x v="242"/>
  </r>
  <r>
    <n v="575"/>
    <s v="Dine In (rajat)"/>
    <s v="Dine In"/>
    <s v="rajat"/>
    <m/>
    <m/>
    <m/>
    <m/>
    <m/>
    <s v="Classic Bombay Maestro Sandwich, Classic Margherita Pizza, Grilled Meaty Maverick"/>
    <n v="1195"/>
    <n v="0"/>
    <n v="1195"/>
    <n v="59.76"/>
    <n v="0.24"/>
    <n v="1255"/>
    <x v="0"/>
    <m/>
    <s v="Printed"/>
    <x v="13"/>
    <x v="243"/>
  </r>
  <r>
    <n v="576"/>
    <s v="Dine In (bhavya)"/>
    <s v="Dine In"/>
    <s v="bhavya"/>
    <m/>
    <m/>
    <m/>
    <m/>
    <m/>
    <s v="Sunny Side Up, The Full House Nachos (Veg), Vanilla And Cocoa Marble Teacakes"/>
    <n v="860"/>
    <n v="0"/>
    <n v="860"/>
    <n v="43"/>
    <n v="0"/>
    <n v="903"/>
    <x v="0"/>
    <m/>
    <s v="Printed"/>
    <x v="13"/>
    <x v="244"/>
  </r>
  <r>
    <n v="577"/>
    <s v="Dine In (5)"/>
    <s v="Dine In"/>
    <m/>
    <m/>
    <m/>
    <m/>
    <m/>
    <m/>
    <s v="Banana Walnut Teacakes, Classic Lemon Ice Tea, North Sea Storm, Peri Peri Crispy Scouts"/>
    <n v="845"/>
    <n v="0"/>
    <n v="845"/>
    <n v="42.26"/>
    <n v="-0.26"/>
    <n v="887"/>
    <x v="2"/>
    <m/>
    <s v="Printed"/>
    <x v="13"/>
    <x v="245"/>
  </r>
  <r>
    <n v="578"/>
    <s v="Dine In (ANJALI)"/>
    <s v="Dine In"/>
    <m/>
    <m/>
    <m/>
    <m/>
    <m/>
    <m/>
    <s v="Avocado Vanguard, Thukpa Vegan"/>
    <n v="640"/>
    <n v="0"/>
    <n v="640"/>
    <n v="32"/>
    <n v="0"/>
    <n v="672"/>
    <x v="0"/>
    <m/>
    <s v="Printed"/>
    <x v="13"/>
    <x v="246"/>
  </r>
  <r>
    <n v="579"/>
    <s v="Dine In (ANUBHAV)"/>
    <s v="Dine In"/>
    <m/>
    <m/>
    <m/>
    <m/>
    <m/>
    <m/>
    <s v="Captain Fish Fingers, Classic Lemon Ice Tea, Masala Egg Bhurji, Tex-Mex Bowl With Cottage Cheese (V)"/>
    <n v="1455"/>
    <n v="0"/>
    <n v="1455"/>
    <n v="72.760000000000005"/>
    <n v="0.24"/>
    <n v="1528"/>
    <x v="2"/>
    <m/>
    <s v="Printed"/>
    <x v="13"/>
    <x v="247"/>
  </r>
  <r>
    <n v="580"/>
    <s v="Dine In (SURENDAR)"/>
    <s v="Dine In"/>
    <s v="SURENDAR"/>
    <m/>
    <m/>
    <m/>
    <m/>
    <m/>
    <s v="Extra Dip, Tex-Mex Bowl With Cottage Cheese (V)"/>
    <n v="454"/>
    <n v="0"/>
    <n v="454"/>
    <n v="21.26"/>
    <n v="-0.26"/>
    <n v="475"/>
    <x v="2"/>
    <m/>
    <s v="Printed"/>
    <x v="13"/>
    <x v="248"/>
  </r>
  <r>
    <n v="581"/>
    <s v="Dine In (RASHMI)"/>
    <s v="Dine In"/>
    <m/>
    <m/>
    <m/>
    <m/>
    <m/>
    <m/>
    <s v="Extra Dip, Peri Peri Crispy Scouts, Secret Mocha"/>
    <n v="499"/>
    <n v="0"/>
    <n v="499"/>
    <n v="23.5"/>
    <n v="0.5"/>
    <n v="523"/>
    <x v="0"/>
    <m/>
    <s v="Printed"/>
    <x v="13"/>
    <x v="249"/>
  </r>
  <r>
    <n v="582"/>
    <s v="Dine In (SRIKHLA)"/>
    <s v="Dine In"/>
    <m/>
    <m/>
    <m/>
    <m/>
    <m/>
    <m/>
    <s v="Brown Butter Latte, Classic Lemon Ice Tea, Mushroom Marauders Bruschetta"/>
    <n v="780"/>
    <n v="0"/>
    <n v="780"/>
    <n v="39"/>
    <n v="0"/>
    <n v="819"/>
    <x v="2"/>
    <m/>
    <s v="Printed"/>
    <x v="13"/>
    <x v="250"/>
  </r>
  <r>
    <n v="583"/>
    <s v="Dine In (MR sidhart sira)"/>
    <s v="Dine In"/>
    <s v="MR sidhart sir"/>
    <n v="9536971573"/>
    <m/>
    <m/>
    <m/>
    <m/>
    <s v="Avocado Vanguard, Buffalo Chicken Wings With Ranch Dip, Cappuccino, Cinnamon Hot Chocolate, Grilled Fish, Iced Americano"/>
    <n v="2440"/>
    <n v="0"/>
    <n v="2440"/>
    <n v="122"/>
    <n v="0"/>
    <n v="2562"/>
    <x v="0"/>
    <m/>
    <s v="Printed"/>
    <x v="13"/>
    <x v="251"/>
  </r>
  <r>
    <n v="584"/>
    <s v="Dine In (JYOSHNA)"/>
    <s v="Dine In"/>
    <s v="JYOSHNA"/>
    <m/>
    <m/>
    <m/>
    <m/>
    <m/>
    <s v="Gaming Charge, Gaming Charges (1_hr)"/>
    <n v="291"/>
    <n v="0"/>
    <n v="291"/>
    <n v="52.38"/>
    <n v="-0.38"/>
    <n v="343"/>
    <x v="1"/>
    <m/>
    <s v="Printed"/>
    <x v="13"/>
    <x v="252"/>
  </r>
  <r>
    <n v="585"/>
    <s v="Dine In (richi)"/>
    <s v="Dine In"/>
    <m/>
    <m/>
    <m/>
    <m/>
    <m/>
    <m/>
    <s v="Classic Hot Chocolate"/>
    <n v="325"/>
    <n v="0"/>
    <n v="325"/>
    <n v="16.260000000000002"/>
    <n v="-0.26"/>
    <n v="341"/>
    <x v="1"/>
    <m/>
    <s v="Printed"/>
    <x v="13"/>
    <x v="253"/>
  </r>
  <r>
    <n v="586"/>
    <s v="Dine In (KRISH)"/>
    <s v="Dine In"/>
    <m/>
    <m/>
    <m/>
    <m/>
    <m/>
    <m/>
    <s v="Avocado Vanguard, Classic Crispy Scouts, Golden Tiramisu, Thukpa Vegan"/>
    <n v="1175"/>
    <n v="0"/>
    <n v="1175"/>
    <n v="58.76"/>
    <n v="0.24"/>
    <n v="1234"/>
    <x v="2"/>
    <m/>
    <s v="Printed"/>
    <x v="13"/>
    <x v="254"/>
  </r>
  <r>
    <n v="587"/>
    <s v="Dine In (ANAM)"/>
    <s v="Dine In"/>
    <s v="ANAM"/>
    <m/>
    <m/>
    <m/>
    <m/>
    <m/>
    <s v="Arrabbiata Ambush, Thukpa Chicken"/>
    <n v="745"/>
    <n v="0"/>
    <n v="745"/>
    <n v="37.26"/>
    <n v="-0.26"/>
    <n v="782"/>
    <x v="0"/>
    <m/>
    <s v="Printed"/>
    <x v="13"/>
    <x v="255"/>
  </r>
  <r>
    <n v="588"/>
    <s v="Dine In (IQRA)"/>
    <s v="Dine In"/>
    <m/>
    <m/>
    <m/>
    <m/>
    <m/>
    <m/>
    <s v="Asian Bowl Hot Garlic Stir Fry Chicken, Banana Caramel Stuffed French Toast, Classic Crispy Scouts"/>
    <n v="1110"/>
    <n v="0"/>
    <n v="1110"/>
    <n v="55.5"/>
    <n v="0.5"/>
    <n v="1166"/>
    <x v="4"/>
    <m/>
    <s v="Printed"/>
    <x v="13"/>
    <x v="256"/>
  </r>
  <r>
    <n v="589"/>
    <s v="Dine In (MARK)"/>
    <s v="Dine In"/>
    <m/>
    <m/>
    <m/>
    <m/>
    <m/>
    <m/>
    <s v="Bacon Strips, Butter Garlic Prawns With Sourdough, Classic Hot Chocolate, Grilled Meaty Maverick, Spicy Chicken Tenders, Tokyo Godzilla Frappe"/>
    <n v="2180"/>
    <n v="0"/>
    <n v="2180"/>
    <n v="104.5"/>
    <n v="0.5"/>
    <n v="2285"/>
    <x v="0"/>
    <m/>
    <s v="Printed"/>
    <x v="13"/>
    <x v="257"/>
  </r>
  <r>
    <n v="590"/>
    <s v="Dine In (RISHITA)"/>
    <s v="Dine In"/>
    <m/>
    <m/>
    <m/>
    <m/>
    <m/>
    <m/>
    <s v="Cappuccino, Classic Lemon Ice Tea, Creamy Pesto, Mushroom Marauders Bruschetta"/>
    <n v="1160"/>
    <n v="0"/>
    <n v="1160"/>
    <n v="58"/>
    <n v="0"/>
    <n v="1218"/>
    <x v="2"/>
    <m/>
    <s v="Printed"/>
    <x v="13"/>
    <x v="258"/>
  </r>
  <r>
    <n v="591"/>
    <s v="Dine In (35)"/>
    <s v="Dine In"/>
    <m/>
    <m/>
    <m/>
    <m/>
    <m/>
    <m/>
    <s v="Vanilla And Cocoa Marble Teacakes"/>
    <n v="190"/>
    <n v="0"/>
    <n v="190"/>
    <n v="9.5"/>
    <n v="0.5"/>
    <n v="200"/>
    <x v="1"/>
    <m/>
    <s v="Printed"/>
    <x v="13"/>
    <x v="259"/>
  </r>
  <r>
    <n v="592"/>
    <s v="Dine In (AMOL)"/>
    <s v="Dine In"/>
    <m/>
    <m/>
    <m/>
    <m/>
    <m/>
    <m/>
    <s v="Classic Wrdges Warriors, Iced Americano"/>
    <n v="440"/>
    <n v="0"/>
    <n v="440"/>
    <n v="22"/>
    <n v="0"/>
    <n v="462"/>
    <x v="4"/>
    <m/>
    <s v="Printed"/>
    <x v="13"/>
    <x v="260"/>
  </r>
  <r>
    <n v="593"/>
    <s v="Dine In (RIDHIKA)"/>
    <s v="Dine In"/>
    <m/>
    <m/>
    <m/>
    <m/>
    <m/>
    <m/>
    <s v="Cappuccino, Mushroom Marauders Bruschetta"/>
    <n v="570"/>
    <n v="0"/>
    <n v="570"/>
    <n v="28.5"/>
    <n v="0.5"/>
    <n v="599"/>
    <x v="0"/>
    <m/>
    <s v="Printed"/>
    <x v="13"/>
    <x v="261"/>
  </r>
  <r>
    <n v="594"/>
    <s v="Dine In (SANJANA)"/>
    <s v="Dine In"/>
    <m/>
    <m/>
    <m/>
    <m/>
    <m/>
    <m/>
    <s v="Cafe Mocha, Peri Peri Crispy Scouts, Truffle Mushroom Arancini"/>
    <n v="850"/>
    <n v="0"/>
    <n v="850"/>
    <n v="42.5"/>
    <n v="0.5"/>
    <n v="893"/>
    <x v="2"/>
    <m/>
    <s v="Printed"/>
    <x v="13"/>
    <x v="262"/>
  </r>
  <r>
    <n v="595"/>
    <s v="Dine In (TRIPTI)"/>
    <s v="Dine In"/>
    <m/>
    <m/>
    <m/>
    <m/>
    <m/>
    <m/>
    <s v="Cafe Mocha, Cappuccino, Mushroom Marauders Bruschetta"/>
    <n v="850"/>
    <n v="0"/>
    <n v="850"/>
    <n v="42.5"/>
    <n v="0.5"/>
    <n v="893"/>
    <x v="0"/>
    <m/>
    <s v="Printed"/>
    <x v="13"/>
    <x v="263"/>
  </r>
  <r>
    <n v="596"/>
    <s v="Dine In (KHUSHOO)"/>
    <s v="Dine In"/>
    <s v="KHUSHBOO"/>
    <m/>
    <m/>
    <m/>
    <m/>
    <m/>
    <s v="Asian Bowl Hot Garlic Stir Fry Bean Curd, Classic Lemon Ice Tea, Lebanese Chicken Pizza, Secret Mocha, Stained Sagrada, The Melty Mischief"/>
    <n v="2125"/>
    <n v="0"/>
    <n v="2125"/>
    <n v="106.26"/>
    <n v="-0.26"/>
    <n v="2231"/>
    <x v="0"/>
    <m/>
    <s v="Printed"/>
    <x v="13"/>
    <x v="264"/>
  </r>
  <r>
    <n v="597"/>
    <s v="Dine In (SONAM)"/>
    <s v="Dine In"/>
    <s v="SONAM"/>
    <m/>
    <m/>
    <m/>
    <m/>
    <m/>
    <s v="Brown Butter Latte, Chicken &amp; Cheese On Toast, Classic Lemon Ice Tea, Masala Egg Bhurji, Rainbow Roll Pizza, Secret Mocha, The Full House Nachos (Veg), Water Bottle"/>
    <n v="3299"/>
    <n v="0"/>
    <n v="3299"/>
    <n v="162.26"/>
    <n v="-0.26"/>
    <n v="3461"/>
    <x v="1"/>
    <m/>
    <s v="Printed"/>
    <x v="13"/>
    <x v="265"/>
  </r>
  <r>
    <n v="598"/>
    <s v="Dine In (GAURAV)"/>
    <s v="Dine In"/>
    <m/>
    <m/>
    <m/>
    <m/>
    <m/>
    <m/>
    <s v="Cream Of Chicken &amp; Leek, Iced Americano, Spicy Chicken Tenders"/>
    <n v="960"/>
    <n v="0"/>
    <n v="960"/>
    <n v="48"/>
    <n v="0"/>
    <n v="1008"/>
    <x v="2"/>
    <m/>
    <s v="Printed"/>
    <x v="13"/>
    <x v="266"/>
  </r>
  <r>
    <n v="599"/>
    <s v="Dine In (RAHUL)"/>
    <s v="Dine In"/>
    <m/>
    <m/>
    <m/>
    <m/>
    <m/>
    <m/>
    <s v="Coconut Noir, Jackfruit Jester Burger, Secret Mocha"/>
    <n v="995"/>
    <n v="0"/>
    <n v="995"/>
    <n v="49.76"/>
    <n v="0.24"/>
    <n v="1045"/>
    <x v="2"/>
    <m/>
    <s v="Printed"/>
    <x v="13"/>
    <x v="267"/>
  </r>
  <r>
    <n v="600"/>
    <s v="Dine In (BRATIKA)"/>
    <s v="Dine In"/>
    <m/>
    <m/>
    <m/>
    <m/>
    <m/>
    <m/>
    <s v="Brown Butter Latte, Classic Hot Chocolate, Classic Vanilla Stuffed French Toast"/>
    <n v="1045"/>
    <n v="0"/>
    <n v="1045"/>
    <n v="52.26"/>
    <n v="-0.26"/>
    <n v="1097"/>
    <x v="2"/>
    <m/>
    <s v="Printed"/>
    <x v="13"/>
    <x v="268"/>
  </r>
  <r>
    <n v="601"/>
    <s v="Dine In (RIDHIKA)"/>
    <s v="Dine In"/>
    <m/>
    <m/>
    <m/>
    <m/>
    <m/>
    <m/>
    <s v="Cafe Latte, Peri Peri Crispy Scouts"/>
    <n v="430"/>
    <n v="0"/>
    <n v="430"/>
    <n v="21.5"/>
    <n v="0.5"/>
    <n v="452"/>
    <x v="2"/>
    <m/>
    <s v="Printed"/>
    <x v="13"/>
    <x v="269"/>
  </r>
  <r>
    <n v="602"/>
    <s v="Dine In (ANURAG)"/>
    <s v="Dine In"/>
    <m/>
    <m/>
    <m/>
    <m/>
    <m/>
    <m/>
    <s v="Classic Bombay Maestro Sandwich, Ratatouille Bunny Chow"/>
    <n v="700"/>
    <n v="0"/>
    <n v="700"/>
    <n v="35"/>
    <n v="0"/>
    <n v="735"/>
    <x v="4"/>
    <m/>
    <s v="Printed"/>
    <x v="13"/>
    <x v="270"/>
  </r>
  <r>
    <n v="603"/>
    <s v="Dine In (4)"/>
    <s v="Dine In"/>
    <m/>
    <m/>
    <m/>
    <m/>
    <m/>
    <m/>
    <s v="Asian Bowl Hot Garlic Stir Fry Bean Curd, Chicken &amp; Cheese On Toast, Claasic Cold Coffee"/>
    <n v="1100"/>
    <n v="0"/>
    <n v="1100"/>
    <n v="55"/>
    <n v="0"/>
    <n v="1155"/>
    <x v="2"/>
    <m/>
    <s v="Printed"/>
    <x v="13"/>
    <x v="271"/>
  </r>
  <r>
    <n v="604"/>
    <s v="Dine In (10)"/>
    <s v="Dine In"/>
    <m/>
    <m/>
    <m/>
    <m/>
    <m/>
    <m/>
    <s v="Grilled Meaty Maverick, Iced Mocha, Peri Peri Crispy Scouts"/>
    <n v="950"/>
    <n v="0"/>
    <n v="950"/>
    <n v="47.5"/>
    <n v="0.5"/>
    <n v="998"/>
    <x v="2"/>
    <m/>
    <s v="Printed"/>
    <x v="13"/>
    <x v="272"/>
  </r>
  <r>
    <n v="605"/>
    <s v="Dine In (1)"/>
    <s v="Dine In"/>
    <m/>
    <m/>
    <m/>
    <m/>
    <m/>
    <m/>
    <s v="Cafe Latte, Classic Margherita Pizza, Jackfruit Jester Burger, Rainbow Roll Pizza, Salsa Rose, Spicy Chicken Tenders, Truffle Mushroom Arancini"/>
    <n v="2690"/>
    <n v="0"/>
    <n v="2690"/>
    <n v="134.5"/>
    <n v="0.5"/>
    <n v="2825"/>
    <x v="2"/>
    <m/>
    <s v="Printed"/>
    <x v="13"/>
    <x v="273"/>
  </r>
  <r>
    <n v="606"/>
    <s v="Dine In (VIKASH SIR)"/>
    <s v="Dine In"/>
    <m/>
    <m/>
    <m/>
    <m/>
    <m/>
    <m/>
    <s v="Chicken Stroganoff Bunnychow, Classic Lemon Ice Tea, Masala Egg Bhurji, New Classic Hot Chocolate, Pesto Sandwich"/>
    <n v="0"/>
    <n v="0"/>
    <n v="0"/>
    <n v="0"/>
    <n v="0"/>
    <n v="0"/>
    <x v="1"/>
    <m/>
    <s v="Printed"/>
    <x v="13"/>
    <x v="274"/>
  </r>
  <r>
    <n v="607"/>
    <s v="Dine In (Lady Radhika)"/>
    <s v="Dine In"/>
    <s v="Lady Radhika"/>
    <m/>
    <m/>
    <m/>
    <m/>
    <m/>
    <s v="Iced Coconut Oat Matcha Latte, Mushroom Marauders Bruschetta, Rainbow Roll Pizza"/>
    <n v="0"/>
    <n v="0"/>
    <n v="0"/>
    <n v="0"/>
    <n v="0"/>
    <n v="0"/>
    <x v="1"/>
    <m/>
    <s v="Printed"/>
    <x v="13"/>
    <x v="275"/>
  </r>
  <r>
    <n v="608"/>
    <s v="Dine In (2)"/>
    <s v="Dine In"/>
    <m/>
    <m/>
    <m/>
    <m/>
    <m/>
    <m/>
    <s v="Spicy Chicken Tenders"/>
    <n v="390"/>
    <n v="0"/>
    <n v="390"/>
    <n v="19.5"/>
    <n v="0.5"/>
    <n v="410"/>
    <x v="0"/>
    <m/>
    <s v="Printed"/>
    <x v="13"/>
    <x v="276"/>
  </r>
  <r>
    <n v="609"/>
    <s v="Dine In (3)"/>
    <s v="Dine In"/>
    <m/>
    <m/>
    <m/>
    <m/>
    <m/>
    <m/>
    <s v="Chicken Conqueror Burger, Peri Peri Crispy Scouts, Tex-Mex Bowl With Cottage Cheese (V), Thukpa Vegan, Veg Quesadilla"/>
    <n v="1980"/>
    <n v="0"/>
    <n v="1980"/>
    <n v="99"/>
    <n v="0"/>
    <n v="2079"/>
    <x v="1"/>
    <m/>
    <s v="Printed"/>
    <x v="13"/>
    <x v="277"/>
  </r>
  <r>
    <n v="610"/>
    <s v="Dine In (1)"/>
    <s v="Dine In"/>
    <m/>
    <m/>
    <m/>
    <m/>
    <m/>
    <m/>
    <s v="Brown Butter Latte"/>
    <n v="295"/>
    <n v="0"/>
    <n v="295"/>
    <n v="14.76"/>
    <n v="0.24"/>
    <n v="310"/>
    <x v="2"/>
    <m/>
    <s v="Printed"/>
    <x v="14"/>
    <x v="278"/>
  </r>
  <r>
    <n v="611"/>
    <s v="Dine In (ankita)"/>
    <s v="Dine In"/>
    <s v="ankita"/>
    <m/>
    <m/>
    <m/>
    <m/>
    <m/>
    <s v="Cappuccino"/>
    <n v="250"/>
    <n v="0"/>
    <n v="250"/>
    <n v="12.5"/>
    <n v="0.5"/>
    <n v="263"/>
    <x v="2"/>
    <m/>
    <s v="Printed"/>
    <x v="14"/>
    <x v="279"/>
  </r>
  <r>
    <n v="612"/>
    <s v="Dine In (virendra)"/>
    <s v="Dine In"/>
    <s v="virendra"/>
    <m/>
    <m/>
    <m/>
    <m/>
    <m/>
    <s v="Egg French Omelette, Flat White, Tex-Mex Bowl Grilled Chicken"/>
    <n v="1025"/>
    <n v="0"/>
    <n v="1025"/>
    <n v="51.26"/>
    <n v="-0.26"/>
    <n v="1076"/>
    <x v="0"/>
    <m/>
    <s v="Printed"/>
    <x v="14"/>
    <x v="280"/>
  </r>
  <r>
    <n v="613"/>
    <s v="Dine In (shubhi)"/>
    <s v="Dine In"/>
    <s v="shubi"/>
    <m/>
    <m/>
    <m/>
    <m/>
    <m/>
    <s v="Cafe Latte, Claasic Cold Coffee, Flat White, Peri Peri Crispy Scouts, Rainbow Roll Pizza, Truffle Mushroom Arancini"/>
    <n v="1795"/>
    <n v="0"/>
    <n v="1795"/>
    <n v="89.76"/>
    <n v="0.24"/>
    <n v="1885"/>
    <x v="2"/>
    <m/>
    <s v="Printed"/>
    <x v="14"/>
    <x v="281"/>
  </r>
  <r>
    <n v="614"/>
    <s v="Dine In (20)"/>
    <s v="Dine In"/>
    <m/>
    <m/>
    <m/>
    <m/>
    <m/>
    <m/>
    <s v="Banana Walnut Teacakes, Cappuccino, Claasic Cold Coffee"/>
    <n v="735"/>
    <n v="110.25"/>
    <n v="624.75"/>
    <n v="31.24"/>
    <n v="0.01"/>
    <n v="656"/>
    <x v="2"/>
    <m/>
    <s v="Printed"/>
    <x v="14"/>
    <x v="282"/>
  </r>
  <r>
    <n v="615"/>
    <s v="Dine In (uttkars)"/>
    <s v="Dine In"/>
    <s v="UTKARS"/>
    <m/>
    <m/>
    <m/>
    <m/>
    <m/>
    <s v="Cappuccino, Flat White"/>
    <n v="490"/>
    <n v="0"/>
    <n v="490"/>
    <n v="24.5"/>
    <n v="0.5"/>
    <n v="515"/>
    <x v="2"/>
    <m/>
    <s v="Printed"/>
    <x v="14"/>
    <x v="283"/>
  </r>
  <r>
    <n v="616"/>
    <s v="Dine In (3)"/>
    <s v="Dine In"/>
    <m/>
    <m/>
    <m/>
    <m/>
    <m/>
    <m/>
    <s v="Mushroom Marauders Bruschetta, Rainbow Roll Pizza"/>
    <n v="770"/>
    <n v="0"/>
    <n v="770"/>
    <n v="38.5"/>
    <n v="0.5"/>
    <n v="809"/>
    <x v="1"/>
    <m/>
    <s v="Printed"/>
    <x v="14"/>
    <x v="284"/>
  </r>
  <r>
    <n v="617"/>
    <s v="Dine In (sanjna)"/>
    <s v="Dine In"/>
    <s v="sanjna"/>
    <m/>
    <m/>
    <m/>
    <m/>
    <m/>
    <s v="Classic Lemon Ice Tea, Roasted Tomato &amp; Basil, Truffle And Parmesan Wrdges Warriors"/>
    <n v="705"/>
    <n v="0"/>
    <n v="705"/>
    <n v="35.26"/>
    <n v="-0.26"/>
    <n v="740"/>
    <x v="1"/>
    <m/>
    <s v="Printed"/>
    <x v="14"/>
    <x v="285"/>
  </r>
  <r>
    <n v="618"/>
    <s v="Dine In (smriti)"/>
    <s v="Dine In"/>
    <s v="smriti"/>
    <m/>
    <m/>
    <m/>
    <m/>
    <m/>
    <s v="Aglio Olio, Cafe Latte, Chicken Stroganoff Bunnychow, Phoenix Berry"/>
    <n v="1550"/>
    <n v="0"/>
    <n v="1550"/>
    <n v="77.5"/>
    <n v="0.5"/>
    <n v="1628"/>
    <x v="0"/>
    <m/>
    <s v="Printed"/>
    <x v="14"/>
    <x v="286"/>
  </r>
  <r>
    <n v="619"/>
    <s v="Dine In (aman)"/>
    <s v="Dine In"/>
    <s v="aman"/>
    <m/>
    <m/>
    <m/>
    <m/>
    <m/>
    <s v="Banana Walnut Teacakes, Classic Crispy Scouts, Classic Vanilla Waffles, Pistachio Latte, Sunny Side Up"/>
    <n v="1390"/>
    <n v="208.5"/>
    <n v="1181.5"/>
    <n v="59.08"/>
    <n v="0.42"/>
    <n v="1241"/>
    <x v="1"/>
    <m/>
    <s v="Printed"/>
    <x v="14"/>
    <x v="287"/>
  </r>
  <r>
    <n v="620"/>
    <s v="Dine In (vikash sir)"/>
    <s v="Dine In"/>
    <m/>
    <m/>
    <m/>
    <m/>
    <m/>
    <m/>
    <s v="Avocado Vanguard, Espresso Tiramisu, Mana Mint"/>
    <n v="0"/>
    <n v="0"/>
    <n v="0"/>
    <n v="0"/>
    <n v="0"/>
    <n v="0"/>
    <x v="1"/>
    <m/>
    <s v="Printed"/>
    <x v="14"/>
    <x v="288"/>
  </r>
  <r>
    <n v="621"/>
    <s v="Dine In (radhika maam)"/>
    <s v="Dine In"/>
    <m/>
    <m/>
    <m/>
    <m/>
    <m/>
    <m/>
    <s v="Espresso Tiramisu, Matcha Latte, Pistachio Latte"/>
    <n v="0"/>
    <n v="0"/>
    <n v="0"/>
    <n v="0"/>
    <n v="0"/>
    <n v="0"/>
    <x v="1"/>
    <m/>
    <s v="Printed"/>
    <x v="14"/>
    <x v="289"/>
  </r>
  <r>
    <n v="622"/>
    <s v="Dine In (3)"/>
    <s v="Dine In"/>
    <m/>
    <m/>
    <m/>
    <m/>
    <m/>
    <m/>
    <s v="Arrabbiata Ambush, Creamy Pesto, Tex-Mex Bowl Grilled Chicken"/>
    <n v="1345"/>
    <n v="0"/>
    <n v="1345"/>
    <n v="67.260000000000005"/>
    <n v="-0.26"/>
    <n v="1412"/>
    <x v="0"/>
    <m/>
    <s v="Printed"/>
    <x v="14"/>
    <x v="290"/>
  </r>
  <r>
    <n v="623"/>
    <s v="Dine In (sidhant sir)"/>
    <s v="Dine In"/>
    <s v="sidhant sir"/>
    <m/>
    <m/>
    <m/>
    <m/>
    <m/>
    <s v="Chicken &amp; Cheese On Toast, Ginger Cookies, Iced Americano"/>
    <n v="689"/>
    <n v="0"/>
    <n v="689"/>
    <n v="34.46"/>
    <n v="-0.46"/>
    <n v="723"/>
    <x v="0"/>
    <m/>
    <s v="Printed"/>
    <x v="14"/>
    <x v="291"/>
  </r>
  <r>
    <n v="624"/>
    <s v="Dine In (neha)"/>
    <s v="Dine In"/>
    <s v="neha"/>
    <m/>
    <m/>
    <m/>
    <m/>
    <m/>
    <s v="Asian Bowl Hot Garlic Stir Fry Bean Curd, Brown Butter Latte, Claasic Cold Coffee, Classic Garlic Gambit, Creamy Pesto, Extra Cheese, Extra Dip, Iced Americano, Middle-East Meetup, Salsa Rose, Secret Mocha, The Bruschetta Bards, Veg Quesadilla"/>
    <n v="4999"/>
    <n v="749.85"/>
    <n v="4249.1499999999996"/>
    <n v="206.12"/>
    <n v="-0.27"/>
    <n v="4455"/>
    <x v="2"/>
    <m/>
    <s v="Printed"/>
    <x v="15"/>
    <x v="292"/>
  </r>
  <r>
    <n v="625"/>
    <s v="Dine In (35)"/>
    <s v="Dine In"/>
    <s v="anandya"/>
    <m/>
    <m/>
    <m/>
    <m/>
    <m/>
    <s v="Peri Peri Crispy Scouts"/>
    <n v="190"/>
    <n v="0"/>
    <n v="190"/>
    <n v="9.5"/>
    <n v="0.5"/>
    <n v="200"/>
    <x v="2"/>
    <m/>
    <s v="Printed"/>
    <x v="15"/>
    <x v="293"/>
  </r>
  <r>
    <n v="626"/>
    <s v="Dine In (disha)"/>
    <s v="Dine In"/>
    <m/>
    <m/>
    <m/>
    <m/>
    <m/>
    <m/>
    <s v="Classic Lemon Ice Tea, Pinefire, Stained Sagrada"/>
    <n v="650"/>
    <n v="0"/>
    <n v="650"/>
    <n v="32.5"/>
    <n v="0.5"/>
    <n v="683"/>
    <x v="0"/>
    <m/>
    <s v="Printed"/>
    <x v="15"/>
    <x v="294"/>
  </r>
  <r>
    <n v="627"/>
    <s v="Dine In (1)"/>
    <s v="Dine In"/>
    <m/>
    <m/>
    <m/>
    <m/>
    <m/>
    <m/>
    <s v="Classic Hot Chocolate, Ice Latte, Veg Quesadilla"/>
    <n v="1220"/>
    <n v="0"/>
    <n v="1220"/>
    <n v="61"/>
    <n v="0"/>
    <n v="1281"/>
    <x v="0"/>
    <m/>
    <s v="Printed"/>
    <x v="15"/>
    <x v="295"/>
  </r>
  <r>
    <n v="628"/>
    <s v="Dine In (5)"/>
    <s v="Dine In"/>
    <m/>
    <m/>
    <m/>
    <m/>
    <m/>
    <m/>
    <s v="Classic Garlic Gambit, Espresso, Iced Coconut Oat Matcha Latte"/>
    <n v="705"/>
    <n v="0"/>
    <n v="705"/>
    <n v="35.26"/>
    <n v="-0.26"/>
    <n v="740"/>
    <x v="2"/>
    <m/>
    <s v="Printed"/>
    <x v="15"/>
    <x v="296"/>
  </r>
  <r>
    <n v="629"/>
    <s v="Dine In (6)"/>
    <s v="Dine In"/>
    <m/>
    <m/>
    <m/>
    <m/>
    <m/>
    <m/>
    <s v="Cafe Latte, Cafe Mocha, Cream Of Chicken &amp; Leek, Creamy Pesto, Espresso Tiramisu, Secret Mocha, Tex-Mex Bowl With Cottage Cheese (V), Veg Quesadilla"/>
    <n v="2940"/>
    <n v="441"/>
    <n v="2499"/>
    <n v="124.96"/>
    <n v="0.04"/>
    <n v="2624"/>
    <x v="0"/>
    <m/>
    <s v="Printed"/>
    <x v="15"/>
    <x v="297"/>
  </r>
  <r>
    <n v="630"/>
    <s v="Dine In (10)"/>
    <s v="Dine In"/>
    <m/>
    <m/>
    <m/>
    <m/>
    <m/>
    <m/>
    <s v="Matcha Latte"/>
    <n v="335"/>
    <n v="0"/>
    <n v="335"/>
    <n v="16.760000000000002"/>
    <n v="0.24"/>
    <n v="352"/>
    <x v="2"/>
    <m/>
    <s v="Printed"/>
    <x v="15"/>
    <x v="298"/>
  </r>
  <r>
    <n v="631"/>
    <s v="Dine In (photo shoot)"/>
    <s v="Dine In"/>
    <s v="photo shoot"/>
    <m/>
    <m/>
    <m/>
    <m/>
    <m/>
    <s v="Cinnamon Hot Chocolate, Classic Garlic Gambit"/>
    <n v="0"/>
    <n v="0"/>
    <n v="0"/>
    <n v="0"/>
    <n v="0"/>
    <n v="0"/>
    <x v="1"/>
    <m/>
    <s v="Printed"/>
    <x v="15"/>
    <x v="299"/>
  </r>
  <r>
    <n v="632"/>
    <s v="Dine In (5)"/>
    <s v="Dine In"/>
    <m/>
    <m/>
    <m/>
    <m/>
    <m/>
    <m/>
    <s v="The Bruschetta Bards"/>
    <n v="280"/>
    <n v="0"/>
    <n v="280"/>
    <n v="14"/>
    <n v="0"/>
    <n v="294"/>
    <x v="1"/>
    <m/>
    <s v="Printed"/>
    <x v="15"/>
    <x v="300"/>
  </r>
  <r>
    <n v="633"/>
    <s v="Dine In (sanjana)"/>
    <s v="Dine In"/>
    <s v="sanjana"/>
    <m/>
    <m/>
    <m/>
    <m/>
    <m/>
    <s v="Chicken Stroganoff Bunnychow, Hot Americano, Iced Americano, Pesto Sandwich"/>
    <n v="1225"/>
    <n v="0"/>
    <n v="1225"/>
    <n v="61.26"/>
    <n v="-0.26"/>
    <n v="1286"/>
    <x v="2"/>
    <m/>
    <s v="Printed"/>
    <x v="15"/>
    <x v="301"/>
  </r>
  <r>
    <n v="634"/>
    <s v="Dine In (divanshu)"/>
    <s v="Dine In"/>
    <m/>
    <m/>
    <m/>
    <m/>
    <m/>
    <m/>
    <s v="Chicken Stroganoff Bunnychow, Secret Mocha"/>
    <n v="660"/>
    <n v="0"/>
    <n v="660"/>
    <n v="33"/>
    <n v="0"/>
    <n v="693"/>
    <x v="2"/>
    <m/>
    <s v="Printed"/>
    <x v="15"/>
    <x v="302"/>
  </r>
  <r>
    <n v="635"/>
    <s v="Dine In (radikha)"/>
    <s v="Dine In"/>
    <m/>
    <m/>
    <m/>
    <m/>
    <m/>
    <m/>
    <s v="Classic, Classic Hot Chocolate, Espresso Tiramisu, Grilled Meaty Maverick, Iced Coconut Oat Matcha Latte, Matcha Latte"/>
    <n v="0"/>
    <n v="0"/>
    <n v="0"/>
    <n v="0"/>
    <n v="0"/>
    <n v="0"/>
    <x v="1"/>
    <m/>
    <s v="Printed"/>
    <x v="15"/>
    <x v="303"/>
  </r>
  <r>
    <n v="636"/>
    <s v="Dine In (soham)"/>
    <s v="Dine In"/>
    <s v="soham"/>
    <m/>
    <m/>
    <m/>
    <m/>
    <m/>
    <s v="Carbonara, Extra Bacon, Spicy Chicken Tenders"/>
    <n v="1055"/>
    <n v="105.5"/>
    <n v="949.5"/>
    <n v="43.42"/>
    <n v="0.08"/>
    <n v="993"/>
    <x v="0"/>
    <m/>
    <s v="Printed"/>
    <x v="15"/>
    <x v="304"/>
  </r>
  <r>
    <n v="637"/>
    <s v="Dine In (ANKIT)"/>
    <s v="Dine In"/>
    <m/>
    <m/>
    <m/>
    <m/>
    <m/>
    <m/>
    <s v="Buffalo Chicken Wings With Ranch Dip, Chicken Stroganoff Bunnychow"/>
    <n v="770"/>
    <n v="0"/>
    <n v="770"/>
    <n v="38.5"/>
    <n v="0.5"/>
    <n v="809"/>
    <x v="2"/>
    <m/>
    <s v="Printed"/>
    <x v="15"/>
    <x v="305"/>
  </r>
  <r>
    <n v="638"/>
    <s v="Dine In (4)"/>
    <s v="Dine In"/>
    <m/>
    <m/>
    <m/>
    <m/>
    <m/>
    <m/>
    <s v="Captain Fish Fingers, Peri Peri Crispy Scouts"/>
    <n v="600"/>
    <n v="0"/>
    <n v="600"/>
    <n v="30"/>
    <n v="0"/>
    <n v="630"/>
    <x v="1"/>
    <m/>
    <s v="Printed"/>
    <x v="15"/>
    <x v="306"/>
  </r>
  <r>
    <n v="639"/>
    <s v="Dine In (SIDHANT SIR)"/>
    <s v="Dine In"/>
    <m/>
    <m/>
    <m/>
    <m/>
    <m/>
    <m/>
    <s v="Cappuccino, Ginger Cookies, Grilled Fish, Iced Americano"/>
    <n v="1413"/>
    <n v="0"/>
    <n v="1413"/>
    <n v="70.66"/>
    <n v="0.34"/>
    <n v="1484"/>
    <x v="0"/>
    <m/>
    <s v="Printed"/>
    <x v="15"/>
    <x v="307"/>
  </r>
  <r>
    <n v="640"/>
    <s v="Dine In (4)"/>
    <s v="Dine In"/>
    <m/>
    <m/>
    <m/>
    <m/>
    <m/>
    <m/>
    <s v="Burnt Garlic &amp; Cauliflower, Rainbow Roll Pizza, Sour Cream And Onion Wrdges Warriors"/>
    <n v="920"/>
    <n v="138"/>
    <n v="782"/>
    <n v="39.1"/>
    <n v="-0.1"/>
    <n v="821"/>
    <x v="2"/>
    <m/>
    <s v="Printed"/>
    <x v="16"/>
    <x v="308"/>
  </r>
  <r>
    <n v="641"/>
    <s v="Dine In (23)"/>
    <s v="Dine In"/>
    <m/>
    <m/>
    <m/>
    <m/>
    <m/>
    <m/>
    <s v="Banana Caramel Stuffed French Toast, Cappuccino, Espresso Tiramisu, Extra Oat Milk"/>
    <n v="2138"/>
    <n v="0"/>
    <n v="2138"/>
    <n v="101"/>
    <n v="0"/>
    <n v="2239"/>
    <x v="1"/>
    <m/>
    <s v="Printed"/>
    <x v="16"/>
    <x v="309"/>
  </r>
  <r>
    <n v="642"/>
    <s v="Dine In (nikita)"/>
    <s v="Dine In"/>
    <s v="nikita"/>
    <m/>
    <m/>
    <m/>
    <m/>
    <m/>
    <s v="Brown Butter Latte, Salsa Rose, Secret Mocha, Truffle Mushroom Arancini"/>
    <n v="1380"/>
    <n v="0"/>
    <n v="1380"/>
    <n v="69"/>
    <n v="0"/>
    <n v="1449"/>
    <x v="2"/>
    <m/>
    <s v="Printed"/>
    <x v="16"/>
    <x v="310"/>
  </r>
  <r>
    <n v="643"/>
    <s v="Dine In (6)"/>
    <s v="Dine In"/>
    <m/>
    <m/>
    <m/>
    <m/>
    <m/>
    <m/>
    <s v="Chicken Sausages (Nv) 2, Classic, Extra Sourdough Bread"/>
    <n v="550"/>
    <n v="0"/>
    <n v="550"/>
    <n v="23.5"/>
    <n v="0.5"/>
    <n v="0"/>
    <x v="3"/>
    <s v="Total : 574.00"/>
    <s v="Printed"/>
    <x v="16"/>
    <x v="311"/>
  </r>
  <r>
    <n v="644"/>
    <s v="Dine In (10)"/>
    <s v="Dine In"/>
    <m/>
    <m/>
    <m/>
    <m/>
    <m/>
    <m/>
    <s v="Extra Chicken, Grilled Meaty Maverick, Tex-Mex Bowl Grilled Chicken"/>
    <n v="1065"/>
    <n v="0"/>
    <n v="1065"/>
    <n v="45.76"/>
    <n v="0.24"/>
    <n v="1111"/>
    <x v="0"/>
    <m/>
    <s v="Printed"/>
    <x v="16"/>
    <x v="312"/>
  </r>
  <r>
    <n v="645"/>
    <s v="Dine In (sanjana)"/>
    <s v="Dine In"/>
    <s v="sanjana"/>
    <m/>
    <m/>
    <m/>
    <m/>
    <m/>
    <s v="New Classic Hot Chocolate"/>
    <n v="405"/>
    <n v="0"/>
    <n v="405"/>
    <n v="20.260000000000002"/>
    <n v="-0.26"/>
    <n v="425"/>
    <x v="2"/>
    <m/>
    <s v="Printed"/>
    <x v="16"/>
    <x v="313"/>
  </r>
  <r>
    <n v="646"/>
    <s v="Dine In (RISHAB)"/>
    <s v="Dine In"/>
    <m/>
    <m/>
    <m/>
    <m/>
    <m/>
    <m/>
    <s v="Cappuccino, Classic Lemon Ice Tea"/>
    <n v="415"/>
    <n v="0"/>
    <n v="415"/>
    <n v="20.76"/>
    <n v="0.24"/>
    <n v="436"/>
    <x v="2"/>
    <m/>
    <s v="Printed"/>
    <x v="16"/>
    <x v="314"/>
  </r>
  <r>
    <n v="647"/>
    <s v="Dine In (khushal)"/>
    <s v="Dine In"/>
    <s v="khushal"/>
    <m/>
    <m/>
    <m/>
    <m/>
    <m/>
    <s v="Sour Cream And Onion Wrdges Warriors"/>
    <n v="190"/>
    <n v="0"/>
    <n v="190"/>
    <n v="9.5"/>
    <n v="0.5"/>
    <n v="200"/>
    <x v="0"/>
    <m/>
    <s v="Printed"/>
    <x v="16"/>
    <x v="315"/>
  </r>
  <r>
    <n v="648"/>
    <s v="Dine In (avinash)"/>
    <s v="Dine In"/>
    <s v="avinash"/>
    <m/>
    <m/>
    <m/>
    <m/>
    <m/>
    <s v="Banana Walnut Teacakes, Rainbow Roll Pizza"/>
    <n v="640"/>
    <n v="0"/>
    <n v="640"/>
    <n v="32"/>
    <n v="0"/>
    <n v="672"/>
    <x v="2"/>
    <m/>
    <s v="Printed"/>
    <x v="16"/>
    <x v="316"/>
  </r>
  <r>
    <n v="649"/>
    <s v="Dine In (dharna)"/>
    <s v="Dine In"/>
    <m/>
    <m/>
    <m/>
    <m/>
    <m/>
    <m/>
    <s v="Avocado Vanguard, Classic Crispy Scouts, Rainbow Roll Pizza, Salsa Rose, The Bruschetta Bards, The Full House Nachos (Veg)"/>
    <n v="2425"/>
    <n v="0"/>
    <n v="2425"/>
    <n v="121.26"/>
    <n v="-0.26"/>
    <n v="2546"/>
    <x v="0"/>
    <m/>
    <s v="Printed"/>
    <x v="16"/>
    <x v="317"/>
  </r>
  <r>
    <n v="650"/>
    <s v="Dine In (5)"/>
    <s v="Dine In"/>
    <m/>
    <m/>
    <m/>
    <m/>
    <m/>
    <m/>
    <s v="Jackfruit Jester Burger, Thukpa Vegan"/>
    <n v="670"/>
    <n v="0"/>
    <n v="670"/>
    <n v="33.5"/>
    <n v="0.5"/>
    <n v="704"/>
    <x v="0"/>
    <m/>
    <s v="Printed"/>
    <x v="16"/>
    <x v="318"/>
  </r>
  <r>
    <n v="651"/>
    <s v="Dine In (4)"/>
    <s v="Dine In"/>
    <m/>
    <m/>
    <m/>
    <m/>
    <m/>
    <m/>
    <s v="Grilled Meaty Maverick"/>
    <n v="420"/>
    <n v="0"/>
    <n v="420"/>
    <n v="21"/>
    <n v="0"/>
    <n v="441"/>
    <x v="2"/>
    <m/>
    <s v="Printed"/>
    <x v="16"/>
    <x v="319"/>
  </r>
  <r>
    <n v="652"/>
    <s v="Dine In (Girisha)"/>
    <s v="Dine In"/>
    <s v="girisha"/>
    <m/>
    <m/>
    <m/>
    <m/>
    <m/>
    <s v="Creamy Pesto, Espresso Tiramisu, Ice Latte, Stained Sagrada, The Full House Nachos (Chicken)"/>
    <n v="1775"/>
    <n v="177.5"/>
    <n v="1597.5"/>
    <n v="79.88"/>
    <n v="-0.38"/>
    <n v="1677"/>
    <x v="0"/>
    <m/>
    <s v="Printed"/>
    <x v="16"/>
    <x v="320"/>
  </r>
  <r>
    <n v="653"/>
    <s v="Dine In (radhika)"/>
    <s v="Dine In"/>
    <s v="radhika"/>
    <m/>
    <m/>
    <m/>
    <m/>
    <m/>
    <s v="Chicken Conqueror Burger, Classic Hot Chocolate, Iced Coconut Oat Matcha Latte"/>
    <n v="0"/>
    <n v="0"/>
    <n v="0"/>
    <n v="0"/>
    <n v="0"/>
    <n v="0"/>
    <x v="1"/>
    <m/>
    <s v="Printed"/>
    <x v="16"/>
    <x v="321"/>
  </r>
  <r>
    <n v="654"/>
    <s v="Dine In (soham)"/>
    <s v="Dine In"/>
    <m/>
    <m/>
    <m/>
    <m/>
    <m/>
    <m/>
    <s v="Cookies - Cookie Of The Week, The Full House Nachos (Veg)"/>
    <n v="525"/>
    <n v="52.5"/>
    <n v="472.5"/>
    <n v="23.62"/>
    <n v="-0.12"/>
    <n v="496"/>
    <x v="0"/>
    <m/>
    <s v="Printed"/>
    <x v="16"/>
    <x v="322"/>
  </r>
  <r>
    <n v="655"/>
    <s v="Dine In (sidhant sir)"/>
    <s v="Dine In"/>
    <m/>
    <m/>
    <m/>
    <m/>
    <m/>
    <m/>
    <s v="Chicken &amp; Cheese On Toast, Ginger Cookies, Grilled Meaty Maverick, Honey Cinnamon Cold Brew"/>
    <n v="1168"/>
    <n v="0"/>
    <n v="1168"/>
    <n v="58.4"/>
    <n v="-0.4"/>
    <n v="1226"/>
    <x v="0"/>
    <m/>
    <s v="Printed"/>
    <x v="16"/>
    <x v="323"/>
  </r>
  <r>
    <n v="656"/>
    <s v="Dine In (1)"/>
    <s v="Dine In"/>
    <m/>
    <m/>
    <m/>
    <m/>
    <m/>
    <m/>
    <s v="Tex-Mex Bowl Grilled Chicken"/>
    <n v="495"/>
    <n v="0"/>
    <n v="495"/>
    <n v="24.76"/>
    <n v="0.24"/>
    <n v="520"/>
    <x v="1"/>
    <m/>
    <s v="Printed"/>
    <x v="17"/>
    <x v="324"/>
  </r>
  <r>
    <n v="657"/>
    <s v="Dine In (35)"/>
    <s v="Dine In"/>
    <m/>
    <m/>
    <m/>
    <m/>
    <m/>
    <m/>
    <s v="Water Bottle"/>
    <n v="60"/>
    <n v="0"/>
    <n v="60"/>
    <n v="0"/>
    <n v="0"/>
    <n v="60"/>
    <x v="1"/>
    <m/>
    <s v="Printed"/>
    <x v="17"/>
    <x v="325"/>
  </r>
  <r>
    <n v="658"/>
    <s v="Dine In (4)"/>
    <s v="Dine In"/>
    <m/>
    <m/>
    <m/>
    <m/>
    <m/>
    <m/>
    <s v="The Catalyst"/>
    <n v="290"/>
    <n v="0"/>
    <n v="290"/>
    <n v="14.5"/>
    <n v="0.5"/>
    <n v="305"/>
    <x v="2"/>
    <m/>
    <s v="Printed"/>
    <x v="17"/>
    <x v="326"/>
  </r>
  <r>
    <n v="659"/>
    <s v="Dine In (5)"/>
    <s v="Dine In"/>
    <m/>
    <m/>
    <m/>
    <m/>
    <m/>
    <m/>
    <s v="Iced Coconut Oat Matcha Latte, North Sea Storm, Water Bottle"/>
    <n v="705"/>
    <n v="0"/>
    <n v="705"/>
    <n v="32.26"/>
    <n v="-0.26"/>
    <n v="737"/>
    <x v="2"/>
    <m/>
    <s v="Printed"/>
    <x v="17"/>
    <x v="327"/>
  </r>
  <r>
    <n v="660"/>
    <s v="Dine In (12)"/>
    <s v="Dine In"/>
    <m/>
    <m/>
    <m/>
    <m/>
    <m/>
    <m/>
    <s v="Brown Butter Latte, Cappuccino, The Full House Nachos (Veg), Truffle Mushroom Arancini"/>
    <n v="1555"/>
    <n v="0"/>
    <n v="1555"/>
    <n v="77.760000000000005"/>
    <n v="0.24"/>
    <n v="1633"/>
    <x v="4"/>
    <m/>
    <s v="Printed"/>
    <x v="17"/>
    <x v="328"/>
  </r>
  <r>
    <n v="661"/>
    <s v="Dine In (4)"/>
    <s v="Dine In"/>
    <m/>
    <m/>
    <m/>
    <m/>
    <m/>
    <m/>
    <s v="Butter Garlic Prawns With Sourdough, Cappuccino, Extra Dip, New Classic Hot Chocolate, Spicy Chicken Tenders, Truffle And Parmesan Crispy Scouts"/>
    <n v="2494"/>
    <n v="0"/>
    <n v="2494"/>
    <n v="123.26"/>
    <n v="-0.26"/>
    <n v="2617"/>
    <x v="1"/>
    <m/>
    <s v="Printed"/>
    <x v="17"/>
    <x v="329"/>
  </r>
  <r>
    <n v="662"/>
    <s v="Dine In (10)"/>
    <s v="Dine In"/>
    <m/>
    <m/>
    <m/>
    <m/>
    <m/>
    <m/>
    <s v="Avocado Vanguard, Classic Hot Chocolate, Flat White"/>
    <n v="915"/>
    <n v="137.25"/>
    <n v="777.75"/>
    <n v="38.880000000000003"/>
    <n v="0.37"/>
    <n v="817"/>
    <x v="2"/>
    <m/>
    <s v="Printed"/>
    <x v="17"/>
    <x v="330"/>
  </r>
  <r>
    <n v="663"/>
    <s v="Dine In (2)"/>
    <s v="Dine In"/>
    <m/>
    <m/>
    <m/>
    <m/>
    <m/>
    <m/>
    <s v="Captain Fish Fingers, Lebanese Chicken Pizza, Pinefire, Red Knight, Spicy Chicken Tenders, Stained Sagrada"/>
    <n v="2225"/>
    <n v="0"/>
    <n v="2225"/>
    <n v="111.26"/>
    <n v="-0.26"/>
    <n v="2336"/>
    <x v="0"/>
    <m/>
    <s v="Printed"/>
    <x v="17"/>
    <x v="331"/>
  </r>
  <r>
    <n v="664"/>
    <s v="Dine In (3)"/>
    <s v="Dine In"/>
    <m/>
    <m/>
    <m/>
    <m/>
    <m/>
    <m/>
    <s v="Arrabbiata Ambush, Asian Bowl Hot Garlic Stir Fry Bean Curd, Extra Vegetables"/>
    <n v="1090"/>
    <n v="0"/>
    <n v="1090"/>
    <n v="48.5"/>
    <n v="0.5"/>
    <n v="1139"/>
    <x v="4"/>
    <m/>
    <s v="Printed"/>
    <x v="17"/>
    <x v="332"/>
  </r>
  <r>
    <n v="665"/>
    <s v="Dine In (DAXITA)"/>
    <s v="Dine In"/>
    <s v="DAXITA"/>
    <m/>
    <m/>
    <m/>
    <m/>
    <m/>
    <s v="Classic Hot Chocolate, Peri Peri Wrdges Warriors, Truffle And Parmesan Crispy Scouts, Truffle Mushroom Arancini"/>
    <n v="1135"/>
    <n v="0"/>
    <n v="1135"/>
    <n v="56.76"/>
    <n v="0.24"/>
    <n v="1192"/>
    <x v="0"/>
    <m/>
    <s v="Printed"/>
    <x v="17"/>
    <x v="333"/>
  </r>
  <r>
    <n v="666"/>
    <s v="Dine In (5)"/>
    <s v="Dine In"/>
    <m/>
    <m/>
    <m/>
    <m/>
    <m/>
    <m/>
    <s v="Cinnamon Hot Chocolate"/>
    <n v="405"/>
    <n v="0"/>
    <n v="405"/>
    <n v="20.260000000000002"/>
    <n v="-0.26"/>
    <n v="425"/>
    <x v="4"/>
    <m/>
    <s v="Printed"/>
    <x v="17"/>
    <x v="334"/>
  </r>
  <r>
    <n v="667"/>
    <s v="Dine In (10)"/>
    <s v="Dine In"/>
    <m/>
    <m/>
    <m/>
    <m/>
    <m/>
    <m/>
    <s v="Cafe Latte, Cafe Mocha, Peri Peri Wrdges Warriors"/>
    <n v="710"/>
    <n v="0"/>
    <n v="710"/>
    <n v="35.5"/>
    <n v="0.5"/>
    <n v="746"/>
    <x v="2"/>
    <m/>
    <s v="Printed"/>
    <x v="17"/>
    <x v="335"/>
  </r>
  <r>
    <n v="668"/>
    <s v="Dine In (taniya)"/>
    <s v="Dine In"/>
    <m/>
    <m/>
    <m/>
    <m/>
    <m/>
    <m/>
    <s v="Classic, Extra Oat Milk, Grilled Vegetables, London Fog"/>
    <n v="1194"/>
    <n v="0"/>
    <n v="1194"/>
    <n v="56.76"/>
    <n v="0.24"/>
    <n v="1251"/>
    <x v="2"/>
    <m/>
    <s v="Printed"/>
    <x v="17"/>
    <x v="336"/>
  </r>
  <r>
    <n v="669"/>
    <s v="Dine In (kartik)"/>
    <s v="Dine In"/>
    <m/>
    <m/>
    <m/>
    <m/>
    <m/>
    <m/>
    <s v="Classic Lemon Ice Tea, Espresso Tiramisu, Stained Sagrada"/>
    <n v="1425"/>
    <n v="0"/>
    <n v="1425"/>
    <n v="71.260000000000005"/>
    <n v="-0.26"/>
    <n v="1496"/>
    <x v="1"/>
    <m/>
    <s v="Printed"/>
    <x v="17"/>
    <x v="301"/>
  </r>
  <r>
    <n v="670"/>
    <s v="Dine In (sulab)"/>
    <s v="Dine In"/>
    <m/>
    <m/>
    <m/>
    <m/>
    <m/>
    <m/>
    <s v="Stained Sagrada"/>
    <n v="285"/>
    <n v="0"/>
    <n v="285"/>
    <n v="14.26"/>
    <n v="-0.26"/>
    <n v="299"/>
    <x v="2"/>
    <m/>
    <s v="Printed"/>
    <x v="17"/>
    <x v="337"/>
  </r>
  <r>
    <n v="671"/>
    <s v="Dine In (1)"/>
    <s v="Dine In"/>
    <m/>
    <m/>
    <m/>
    <m/>
    <m/>
    <m/>
    <s v="Cappuccino, Classic Hot Chocolate, Creamy Pesto, Extra Oat Milk, Oink Oink  (pepperoni ) Pizza, Stained Sagrada"/>
    <n v="1924"/>
    <n v="0"/>
    <n v="1924"/>
    <n v="93.26"/>
    <n v="-0.26"/>
    <n v="2017"/>
    <x v="2"/>
    <m/>
    <s v="Printed"/>
    <x v="17"/>
    <x v="338"/>
  </r>
  <r>
    <n v="672"/>
    <s v="Dine In (jogi)"/>
    <s v="Dine In"/>
    <m/>
    <m/>
    <m/>
    <m/>
    <m/>
    <m/>
    <s v="Classic Margherita Pizza"/>
    <n v="425"/>
    <n v="0"/>
    <n v="425"/>
    <n v="21.26"/>
    <n v="-0.26"/>
    <n v="446"/>
    <x v="1"/>
    <m/>
    <s v="Printed"/>
    <x v="17"/>
    <x v="339"/>
  </r>
  <r>
    <n v="673"/>
    <s v="Dine In (1)"/>
    <s v="Dine In"/>
    <m/>
    <m/>
    <m/>
    <m/>
    <m/>
    <m/>
    <s v="Banana Walnut Teacakes"/>
    <n v="190"/>
    <n v="0"/>
    <n v="190"/>
    <n v="9.5"/>
    <n v="0.5"/>
    <n v="200"/>
    <x v="2"/>
    <m/>
    <s v="Printed"/>
    <x v="17"/>
    <x v="340"/>
  </r>
  <r>
    <n v="674"/>
    <s v="Dine In (alokit)"/>
    <s v="Dine In"/>
    <m/>
    <m/>
    <m/>
    <m/>
    <m/>
    <m/>
    <s v="Garlic Pepper Chicken Pizza"/>
    <n v="520"/>
    <n v="0"/>
    <n v="520"/>
    <n v="26"/>
    <n v="0"/>
    <n v="546"/>
    <x v="2"/>
    <m/>
    <s v="Printed"/>
    <x v="17"/>
    <x v="341"/>
  </r>
  <r>
    <n v="675"/>
    <s v="Dine In (sunny)"/>
    <s v="Dine In"/>
    <s v="sunny"/>
    <m/>
    <m/>
    <m/>
    <m/>
    <m/>
    <s v="Secret Mocha, The Bruschetta Bards"/>
    <n v="560"/>
    <n v="0"/>
    <n v="560"/>
    <n v="28"/>
    <n v="0"/>
    <n v="588"/>
    <x v="2"/>
    <m/>
    <s v="Printed"/>
    <x v="17"/>
    <x v="342"/>
  </r>
  <r>
    <n v="676"/>
    <s v="Dine In (radhika maam)"/>
    <s v="Dine In"/>
    <m/>
    <m/>
    <m/>
    <m/>
    <m/>
    <m/>
    <s v="Brownie With Ice Cream, Carbonara"/>
    <n v="0"/>
    <n v="0"/>
    <n v="0"/>
    <n v="0"/>
    <n v="0"/>
    <n v="0"/>
    <x v="1"/>
    <m/>
    <s v="Printed"/>
    <x v="17"/>
    <x v="343"/>
  </r>
  <r>
    <n v="677"/>
    <s v="Dine In (vikash sir)"/>
    <s v="Dine In"/>
    <m/>
    <m/>
    <m/>
    <m/>
    <m/>
    <m/>
    <s v="Classic Bombay Maestro Sandwich, Classic Hot Chocolate, Masala Egg Bhurji"/>
    <n v="0"/>
    <n v="0"/>
    <n v="0"/>
    <n v="0"/>
    <n v="0"/>
    <n v="0"/>
    <x v="1"/>
    <m/>
    <s v="Printed"/>
    <x v="17"/>
    <x v="344"/>
  </r>
  <r>
    <n v="678"/>
    <s v="Dine In (bunny)"/>
    <s v="Dine In"/>
    <m/>
    <m/>
    <m/>
    <m/>
    <m/>
    <m/>
    <s v="Classic Lemon Ice Tea, Flat White, The Full House Nachos (Veg), Water Bottle"/>
    <n v="845"/>
    <n v="84.5"/>
    <n v="760.5"/>
    <n v="35.32"/>
    <n v="0.18"/>
    <n v="796"/>
    <x v="1"/>
    <m/>
    <s v="Printed"/>
    <x v="17"/>
    <x v="345"/>
  </r>
  <r>
    <n v="679"/>
    <s v="Dine In (1)"/>
    <s v="Dine In"/>
    <m/>
    <m/>
    <m/>
    <m/>
    <m/>
    <m/>
    <s v="Avocado Vanguard, Brown Butter Latte, Cafe Latte, Ice Latte, Masala Egg Bhurji, Red Dust Frappe, Secret Mocha, The Bruschetta Bards, The Catalyst"/>
    <n v="3300"/>
    <n v="330"/>
    <n v="2970"/>
    <n v="148.5"/>
    <n v="0.5"/>
    <n v="3119"/>
    <x v="2"/>
    <m/>
    <s v="Printed"/>
    <x v="18"/>
    <x v="346"/>
  </r>
  <r>
    <n v="680"/>
    <s v="Dine In (4)"/>
    <s v="Dine In"/>
    <m/>
    <m/>
    <m/>
    <m/>
    <m/>
    <m/>
    <s v="Secret Mocha"/>
    <n v="560"/>
    <n v="0"/>
    <n v="560"/>
    <n v="28"/>
    <n v="0"/>
    <n v="588"/>
    <x v="1"/>
    <m/>
    <s v="Printed"/>
    <x v="18"/>
    <x v="347"/>
  </r>
  <r>
    <n v="681"/>
    <s v="Dine In (35)"/>
    <s v="Dine In"/>
    <m/>
    <m/>
    <m/>
    <m/>
    <m/>
    <m/>
    <s v="Iced Americano"/>
    <n v="250"/>
    <n v="0"/>
    <n v="250"/>
    <n v="12.5"/>
    <n v="0.5"/>
    <n v="263"/>
    <x v="0"/>
    <m/>
    <s v="Printed"/>
    <x v="18"/>
    <x v="348"/>
  </r>
  <r>
    <n v="682"/>
    <s v="Dine In (2)"/>
    <s v="Dine In"/>
    <m/>
    <m/>
    <m/>
    <m/>
    <m/>
    <m/>
    <s v="Burnt Garlic &amp; Cauliflower, Roasted Tomato &amp; Basil"/>
    <n v="560"/>
    <n v="0"/>
    <n v="560"/>
    <n v="28"/>
    <n v="0"/>
    <n v="588"/>
    <x v="2"/>
    <m/>
    <s v="Printed"/>
    <x v="18"/>
    <x v="349"/>
  </r>
  <r>
    <n v="683"/>
    <s v="Dine In (2)"/>
    <s v="Dine In"/>
    <m/>
    <m/>
    <m/>
    <m/>
    <m/>
    <m/>
    <s v="Thukpa Chicken"/>
    <n v="320"/>
    <n v="0"/>
    <n v="320"/>
    <n v="16"/>
    <n v="0"/>
    <n v="336"/>
    <x v="2"/>
    <m/>
    <s v="Printed"/>
    <x v="18"/>
    <x v="350"/>
  </r>
  <r>
    <n v="684"/>
    <s v="Dine In (4)"/>
    <s v="Dine In"/>
    <m/>
    <m/>
    <m/>
    <m/>
    <m/>
    <m/>
    <s v="Avacado Dip, Cappuccino, Classic Hot Chocolate, London Fog, Pesto Sandwich, The Full House Nachos (Veg)"/>
    <n v="1894"/>
    <n v="0"/>
    <n v="1894"/>
    <n v="92.76"/>
    <n v="0.24"/>
    <n v="1987"/>
    <x v="2"/>
    <m/>
    <s v="Printed"/>
    <x v="18"/>
    <x v="351"/>
  </r>
  <r>
    <n v="685"/>
    <s v="Dine In (6)"/>
    <s v="Dine In"/>
    <m/>
    <m/>
    <m/>
    <m/>
    <m/>
    <m/>
    <s v="Avocado Vanguard, Chicken Conqueror Burger, Classic Crispy Scouts, Classic Lemon Ice Tea, Cookies - Cookie Of The Week, Semolina And Pistachio Teacakes, Tex-Mex Bowl With Cottage Cheese (V)"/>
    <n v="2245"/>
    <n v="0"/>
    <n v="2245"/>
    <n v="112.26"/>
    <n v="-0.26"/>
    <n v="2357"/>
    <x v="2"/>
    <m/>
    <s v="Printed"/>
    <x v="18"/>
    <x v="352"/>
  </r>
  <r>
    <n v="686"/>
    <s v="Dine In (1)"/>
    <s v="Dine In"/>
    <m/>
    <m/>
    <m/>
    <m/>
    <m/>
    <m/>
    <s v="Biscoff Shake, Cafe Mocha, Classical Chicken Stroganoff, Rainbow Roll Pizza"/>
    <n v="2175"/>
    <n v="0"/>
    <n v="2175"/>
    <n v="108.76"/>
    <n v="0.24"/>
    <n v="2284"/>
    <x v="1"/>
    <m/>
    <s v="Printed"/>
    <x v="18"/>
    <x v="353"/>
  </r>
  <r>
    <n v="687"/>
    <s v="Dine In (10)"/>
    <s v="Dine In"/>
    <m/>
    <m/>
    <m/>
    <m/>
    <m/>
    <m/>
    <s v="Caesar Commander"/>
    <n v="380"/>
    <n v="0"/>
    <n v="380"/>
    <n v="19"/>
    <n v="0"/>
    <n v="399"/>
    <x v="2"/>
    <m/>
    <s v="Printed"/>
    <x v="18"/>
    <x v="354"/>
  </r>
  <r>
    <n v="688"/>
    <s v="Dine In (3)"/>
    <s v="Dine In"/>
    <m/>
    <m/>
    <m/>
    <m/>
    <m/>
    <m/>
    <s v="Mushroom Alfredo, Pesto Sandwich, Thukpa Vegan, Water Bottle"/>
    <n v="1150"/>
    <n v="0"/>
    <n v="1150"/>
    <n v="54.5"/>
    <n v="0.5"/>
    <n v="1205"/>
    <x v="4"/>
    <m/>
    <s v="Printed"/>
    <x v="18"/>
    <x v="355"/>
  </r>
  <r>
    <n v="689"/>
    <s v="Dine In (4)"/>
    <s v="Dine In"/>
    <m/>
    <m/>
    <m/>
    <m/>
    <m/>
    <m/>
    <s v="Butter Garlic Prawns With Sourdough, Red Knight, Salsa Rose, Truffle And Parmesan Crispy Scouts"/>
    <n v="1475"/>
    <n v="0"/>
    <n v="1475"/>
    <n v="73.760000000000005"/>
    <n v="0.24"/>
    <n v="1549"/>
    <x v="1"/>
    <m/>
    <s v="Printed"/>
    <x v="18"/>
    <x v="356"/>
  </r>
  <r>
    <n v="690"/>
    <s v="Dine In (9)"/>
    <s v="Dine In"/>
    <m/>
    <m/>
    <m/>
    <m/>
    <m/>
    <m/>
    <s v="Peri Peri Crispy Scouts"/>
    <n v="190"/>
    <n v="0"/>
    <n v="190"/>
    <n v="9.5"/>
    <n v="0.5"/>
    <n v="200"/>
    <x v="2"/>
    <m/>
    <s v="Printed"/>
    <x v="18"/>
    <x v="357"/>
  </r>
  <r>
    <n v="691"/>
    <s v="Dine In (6)"/>
    <s v="Dine In"/>
    <m/>
    <m/>
    <m/>
    <m/>
    <m/>
    <m/>
    <s v="Espresso Tiramisu, Thukpa Vegan"/>
    <n v="635"/>
    <n v="0"/>
    <n v="635"/>
    <n v="31.76"/>
    <n v="0.24"/>
    <n v="667"/>
    <x v="4"/>
    <m/>
    <s v="Printed"/>
    <x v="18"/>
    <x v="358"/>
  </r>
  <r>
    <n v="692"/>
    <s v="Dine In (radhika maam)"/>
    <s v="Dine In"/>
    <m/>
    <m/>
    <m/>
    <m/>
    <m/>
    <m/>
    <s v="Iced Coconut Oat Matcha Latte"/>
    <n v="0"/>
    <n v="0"/>
    <n v="0"/>
    <n v="0"/>
    <n v="0"/>
    <n v="0"/>
    <x v="1"/>
    <m/>
    <s v="Printed"/>
    <x v="18"/>
    <x v="359"/>
  </r>
  <r>
    <n v="693"/>
    <s v="Dine In (vikash sir)"/>
    <s v="Dine In"/>
    <m/>
    <m/>
    <m/>
    <m/>
    <m/>
    <m/>
    <s v="Pesto Sandwich, Thukpa Chicken"/>
    <n v="0"/>
    <n v="0"/>
    <n v="0"/>
    <n v="0"/>
    <n v="0"/>
    <n v="0"/>
    <x v="1"/>
    <m/>
    <s v="Printed"/>
    <x v="18"/>
    <x v="360"/>
  </r>
  <r>
    <n v="694"/>
    <s v="Dine In (4)"/>
    <s v="Dine In"/>
    <m/>
    <m/>
    <m/>
    <m/>
    <m/>
    <m/>
    <s v="Espresso Tiramisu, Vanilla And Cocoa Marble Teacakes"/>
    <n v="535"/>
    <n v="0"/>
    <n v="535"/>
    <n v="26.76"/>
    <n v="0.24"/>
    <n v="0"/>
    <x v="3"/>
    <s v="Total : 562.00"/>
    <s v="Printed"/>
    <x v="18"/>
    <x v="361"/>
  </r>
  <r>
    <n v="695"/>
    <s v="Dine In (VIKASH SIR)"/>
    <s v="Dine In"/>
    <m/>
    <m/>
    <m/>
    <m/>
    <m/>
    <m/>
    <s v="Salsa Rose"/>
    <n v="0"/>
    <n v="0"/>
    <n v="0"/>
    <n v="0"/>
    <n v="0"/>
    <n v="0"/>
    <x v="1"/>
    <m/>
    <s v="Printed"/>
    <x v="18"/>
    <x v="362"/>
  </r>
  <r>
    <n v="696"/>
    <s v="Dine In (1)"/>
    <s v="Dine In"/>
    <m/>
    <m/>
    <m/>
    <m/>
    <m/>
    <m/>
    <s v="Chicken Sausages (Nv) 2, Classic Hot Chocolate, Creamy Pesto, Egg French Omelette, Espresso Tiramisu, Extra Garlic Bread, Grilled Meaty Maverick, Ice Latte"/>
    <n v="2353"/>
    <n v="235.3"/>
    <n v="2117.6999999999998"/>
    <n v="101.48"/>
    <n v="-0.18"/>
    <n v="2219"/>
    <x v="2"/>
    <m/>
    <s v="Printed"/>
    <x v="18"/>
    <x v="344"/>
  </r>
  <r>
    <n v="697"/>
    <s v="Dine In (35)"/>
    <s v="Dine In"/>
    <m/>
    <m/>
    <m/>
    <m/>
    <m/>
    <m/>
    <s v="Wild Berry Stuffed French Toast"/>
    <n v="425"/>
    <n v="0"/>
    <n v="425"/>
    <n v="21.26"/>
    <n v="-0.26"/>
    <n v="446"/>
    <x v="0"/>
    <m/>
    <s v="Printed"/>
    <x v="18"/>
    <x v="363"/>
  </r>
  <r>
    <n v="698"/>
    <s v="Dine In (7)"/>
    <s v="Dine In"/>
    <m/>
    <m/>
    <m/>
    <m/>
    <m/>
    <m/>
    <s v="Flat White, Pesto Sandwich, Ratatouille Bunny Chow, Sunny Side Up"/>
    <n v="1495"/>
    <n v="224.25"/>
    <n v="1270.75"/>
    <n v="63.54"/>
    <n v="-0.28999999999999998"/>
    <n v="1334"/>
    <x v="1"/>
    <m/>
    <s v="Printed"/>
    <x v="19"/>
    <x v="364"/>
  </r>
  <r>
    <n v="699"/>
    <s v="Dine In (4)"/>
    <s v="Dine In"/>
    <m/>
    <m/>
    <m/>
    <m/>
    <m/>
    <m/>
    <s v="Avocado Vanguard, Brown Butter Latte, Cappuccino, Classic Hot Chocolate, Grilled Meaty Maverick, Water Bottle"/>
    <n v="1700"/>
    <n v="170"/>
    <n v="1530"/>
    <n v="73.8"/>
    <n v="0.2"/>
    <n v="1604"/>
    <x v="2"/>
    <m/>
    <s v="Printed"/>
    <x v="19"/>
    <x v="365"/>
  </r>
  <r>
    <n v="700"/>
    <s v="Dine In (dipali)"/>
    <s v="Dine In"/>
    <s v="dipali"/>
    <m/>
    <m/>
    <m/>
    <m/>
    <m/>
    <s v="Buffalo Chicken Wings With Ranch Dip, Cafe Latte, Thukpa Chicken"/>
    <n v="950"/>
    <n v="95"/>
    <n v="855"/>
    <n v="42.76"/>
    <n v="0.24"/>
    <n v="898"/>
    <x v="0"/>
    <m/>
    <s v="Printed"/>
    <x v="19"/>
    <x v="366"/>
  </r>
  <r>
    <n v="701"/>
    <s v="Dine In (3)"/>
    <s v="Dine In"/>
    <m/>
    <m/>
    <m/>
    <m/>
    <m/>
    <m/>
    <s v="Classic, Extra Sourdough Bread, Thukpa Vegan"/>
    <n v="620"/>
    <n v="0"/>
    <n v="620"/>
    <n v="29"/>
    <n v="0"/>
    <n v="649"/>
    <x v="2"/>
    <m/>
    <s v="Printed"/>
    <x v="19"/>
    <x v="367"/>
  </r>
  <r>
    <n v="702"/>
    <s v="Dine In (KARAN)"/>
    <s v="Dine In"/>
    <m/>
    <m/>
    <m/>
    <m/>
    <m/>
    <m/>
    <s v="Classic Crispy Scouts, Classic Hot Chocolate, Lebanese Chicken Pizza"/>
    <n v="1035"/>
    <n v="103.5"/>
    <n v="931.5"/>
    <n v="46.58"/>
    <n v="-0.08"/>
    <n v="978"/>
    <x v="2"/>
    <m/>
    <s v="Printed"/>
    <x v="19"/>
    <x v="368"/>
  </r>
  <r>
    <n v="703"/>
    <s v="Dine In (VIKAS)"/>
    <s v="Dine In"/>
    <m/>
    <m/>
    <m/>
    <m/>
    <m/>
    <m/>
    <s v="Classic Hot Chocolate"/>
    <n v="325"/>
    <n v="0"/>
    <n v="325"/>
    <n v="16.260000000000002"/>
    <n v="-0.26"/>
    <n v="341"/>
    <x v="0"/>
    <m/>
    <s v="Printed"/>
    <x v="19"/>
    <x v="369"/>
  </r>
  <r>
    <n v="704"/>
    <s v="Dine In (SWATI)"/>
    <s v="Dine In"/>
    <s v="SWATI"/>
    <m/>
    <m/>
    <m/>
    <m/>
    <m/>
    <s v="Chicken Conqueror Burger, Chicken Quesadilla, Phoenix Berry, Pinefire, Rainbow Roll Pizza"/>
    <n v="2425"/>
    <n v="0"/>
    <n v="2425"/>
    <n v="121.26"/>
    <n v="-0.26"/>
    <n v="2546"/>
    <x v="0"/>
    <m/>
    <s v="Printed"/>
    <x v="19"/>
    <x v="370"/>
  </r>
  <r>
    <n v="705"/>
    <s v="Dine In (PRIYANSHI)"/>
    <s v="Dine In"/>
    <s v="PRITANSHI"/>
    <m/>
    <m/>
    <m/>
    <m/>
    <m/>
    <s v="Rainbow Roll Pizza, Water Bottle"/>
    <n v="510"/>
    <n v="76.5"/>
    <n v="433.5"/>
    <n v="19.12"/>
    <n v="0.38"/>
    <n v="453"/>
    <x v="2"/>
    <m/>
    <s v="Printed"/>
    <x v="19"/>
    <x v="371"/>
  </r>
  <r>
    <n v="706"/>
    <s v="Dine In (10)"/>
    <s v="Dine In"/>
    <m/>
    <m/>
    <m/>
    <m/>
    <m/>
    <m/>
    <s v="Cappuccino, Classic Garlic Gambit, Classic Hot Chocolate"/>
    <n v="725"/>
    <n v="0"/>
    <n v="725"/>
    <n v="36.26"/>
    <n v="-0.26"/>
    <n v="761"/>
    <x v="0"/>
    <m/>
    <s v="Printed"/>
    <x v="19"/>
    <x v="372"/>
  </r>
  <r>
    <n v="707"/>
    <s v="Dine In (12)"/>
    <s v="Dine In"/>
    <m/>
    <m/>
    <m/>
    <m/>
    <m/>
    <m/>
    <s v="Cappuccino"/>
    <n v="250"/>
    <n v="0"/>
    <n v="250"/>
    <n v="12.5"/>
    <n v="0.5"/>
    <n v="263"/>
    <x v="0"/>
    <m/>
    <s v="Printed"/>
    <x v="19"/>
    <x v="373"/>
  </r>
  <r>
    <n v="708"/>
    <s v="Dine In (RAJ)"/>
    <s v="Dine In"/>
    <m/>
    <m/>
    <m/>
    <m/>
    <m/>
    <m/>
    <s v="Classic Lemon Ice Tea, Classic Margherita Pizza, Mushroom Marauders Bruschetta, Thukpa Chicken"/>
    <n v="1230"/>
    <n v="0"/>
    <n v="1230"/>
    <n v="61.5"/>
    <n v="0.5"/>
    <n v="1292"/>
    <x v="1"/>
    <m/>
    <s v="Printed"/>
    <x v="19"/>
    <x v="374"/>
  </r>
  <r>
    <n v="709"/>
    <s v="Dine In (KUSH)"/>
    <s v="Dine In"/>
    <s v="KUSH"/>
    <m/>
    <m/>
    <m/>
    <m/>
    <m/>
    <s v="Brown Butter Latte, Buffalo Chicken Wings With Ranch Dip, Chicken Quesadilla, New Classic Hot Chocolate, Peri Peri Crispy Scouts"/>
    <n v="1955"/>
    <n v="195.5"/>
    <n v="1759.5"/>
    <n v="87.98"/>
    <n v="-0.48"/>
    <n v="1847"/>
    <x v="0"/>
    <m/>
    <s v="Printed"/>
    <x v="19"/>
    <x v="375"/>
  </r>
  <r>
    <n v="710"/>
    <s v="Dine In (GAURAV)"/>
    <s v="Dine In"/>
    <s v="GAURAV"/>
    <m/>
    <m/>
    <m/>
    <m/>
    <m/>
    <s v="Avocado Vanguard, Chicken &amp; Cheese On Toast, Cream Of Chicken &amp; Leek, Garlic Pepper Chicken Pizza, Roasted Tomato &amp; Basil"/>
    <n v="1850"/>
    <n v="185"/>
    <n v="1665"/>
    <n v="83.26"/>
    <n v="-0.26"/>
    <n v="1748"/>
    <x v="4"/>
    <m/>
    <s v="Printed"/>
    <x v="19"/>
    <x v="376"/>
  </r>
  <r>
    <n v="711"/>
    <s v="Dine In (dheeraj)"/>
    <s v="Dine In"/>
    <m/>
    <m/>
    <m/>
    <m/>
    <m/>
    <m/>
    <s v="Aglio Olio, Carbonated Water, Classic Margherita Pizza, Grilled Meaty Maverick"/>
    <n v="1660"/>
    <n v="0"/>
    <n v="1660"/>
    <n v="63.5"/>
    <n v="0.5"/>
    <n v="1724"/>
    <x v="0"/>
    <m/>
    <s v="Printed"/>
    <x v="19"/>
    <x v="377"/>
  </r>
  <r>
    <n v="712"/>
    <s v="Dine In (BIRTHDAY PARTY)"/>
    <s v="Dine In"/>
    <m/>
    <m/>
    <m/>
    <m/>
    <m/>
    <m/>
    <s v="Birthday Game Charge, Cafe Mocha, Cappuccino, Claasic Cold Coffee, Classic Bombay Maestro Sandwich, Hot Americano, Non -veg-899, Peri Peri Cottage Cheese Pizza, Roasted Tomato &amp; Basil, The Full House Nachos (Veg), Veg- 799"/>
    <n v="15438"/>
    <n v="2315.6999999999998"/>
    <n v="13122.3"/>
    <n v="921.32"/>
    <n v="0.38"/>
    <n v="14044"/>
    <x v="0"/>
    <m/>
    <s v="Printed"/>
    <x v="19"/>
    <x v="378"/>
  </r>
  <r>
    <n v="713"/>
    <s v="Dine In (SUTHI)"/>
    <s v="Dine In"/>
    <s v="sruti"/>
    <m/>
    <m/>
    <m/>
    <m/>
    <m/>
    <s v="Water Bottle"/>
    <n v="60"/>
    <n v="0"/>
    <n v="60"/>
    <n v="0"/>
    <n v="0"/>
    <n v="60"/>
    <x v="2"/>
    <m/>
    <s v="Printed"/>
    <x v="19"/>
    <x v="379"/>
  </r>
  <r>
    <n v="714"/>
    <s v="Dine In (GOUTUM)"/>
    <s v="Dine In"/>
    <s v="GOUTUM"/>
    <m/>
    <m/>
    <m/>
    <m/>
    <m/>
    <s v="Caesar Commander"/>
    <n v="380"/>
    <n v="0"/>
    <n v="380"/>
    <n v="19"/>
    <n v="0"/>
    <n v="399"/>
    <x v="2"/>
    <m/>
    <s v="Printed"/>
    <x v="19"/>
    <x v="380"/>
  </r>
  <r>
    <n v="715"/>
    <s v="Dine In (SUTHI)"/>
    <s v="Dine In"/>
    <s v="SUTHI"/>
    <m/>
    <m/>
    <m/>
    <m/>
    <m/>
    <s v="Cafe Mocha, Chicken &amp; Cheese On Toast"/>
    <n v="660"/>
    <n v="0"/>
    <n v="660"/>
    <n v="33"/>
    <n v="0"/>
    <n v="693"/>
    <x v="2"/>
    <m/>
    <s v="Printed"/>
    <x v="19"/>
    <x v="381"/>
  </r>
  <r>
    <n v="716"/>
    <s v="Dine In (KRISSH)"/>
    <s v="Dine In"/>
    <s v="KRISSH"/>
    <m/>
    <m/>
    <m/>
    <m/>
    <m/>
    <s v="Butter Garlic Prawns With Sourdough, Cappuccino, Grilled Chicken"/>
    <n v="2065"/>
    <n v="206.5"/>
    <n v="1858.5"/>
    <n v="92.92"/>
    <n v="-0.42"/>
    <n v="1951"/>
    <x v="0"/>
    <m/>
    <s v="Printed"/>
    <x v="19"/>
    <x v="382"/>
  </r>
  <r>
    <n v="717"/>
    <s v="Dine In (AMOL)"/>
    <s v="Dine In"/>
    <m/>
    <m/>
    <m/>
    <m/>
    <m/>
    <m/>
    <s v="Tex-Mex Bowl Grilled Chicken, The Full House Nachos (Veg)"/>
    <n v="875"/>
    <n v="87.5"/>
    <n v="787.5"/>
    <n v="39.380000000000003"/>
    <n v="0.12"/>
    <n v="827"/>
    <x v="0"/>
    <m/>
    <s v="Printed"/>
    <x v="19"/>
    <x v="383"/>
  </r>
  <r>
    <n v="718"/>
    <s v="Dine In (AAKASH)"/>
    <s v="Dine In"/>
    <m/>
    <m/>
    <m/>
    <m/>
    <m/>
    <m/>
    <s v="Ratatouille Bunny Chow, Thukpa Vegan, Truffle Mushroom Arancini"/>
    <n v="1020"/>
    <n v="102"/>
    <n v="918"/>
    <n v="45.9"/>
    <n v="0.1"/>
    <n v="964"/>
    <x v="4"/>
    <m/>
    <s v="Printed"/>
    <x v="19"/>
    <x v="384"/>
  </r>
  <r>
    <n v="719"/>
    <s v="Dine In (RAHUL)"/>
    <s v="Dine In"/>
    <s v="RAHUL"/>
    <m/>
    <m/>
    <m/>
    <m/>
    <m/>
    <s v="Brown Butter Latte, Pinefire"/>
    <n v="495"/>
    <n v="0"/>
    <n v="495"/>
    <n v="24.76"/>
    <n v="0.24"/>
    <n v="520"/>
    <x v="2"/>
    <m/>
    <s v="Printed"/>
    <x v="19"/>
    <x v="385"/>
  </r>
  <r>
    <n v="720"/>
    <s v="Dine In (PARTH)"/>
    <s v="Dine In"/>
    <m/>
    <m/>
    <m/>
    <m/>
    <m/>
    <m/>
    <s v="Egg French Omelette"/>
    <n v="290"/>
    <n v="0"/>
    <n v="290"/>
    <n v="14.5"/>
    <n v="0.5"/>
    <n v="305"/>
    <x v="0"/>
    <m/>
    <s v="Printed"/>
    <x v="19"/>
    <x v="386"/>
  </r>
  <r>
    <n v="721"/>
    <s v="Dine In (SHANIYA)"/>
    <s v="Dine In"/>
    <m/>
    <m/>
    <m/>
    <m/>
    <m/>
    <m/>
    <s v="Rainbow Roll Pizza, Truffle Mushroom Arancini"/>
    <n v="830"/>
    <n v="83"/>
    <n v="747"/>
    <n v="37.36"/>
    <n v="-0.36"/>
    <n v="784"/>
    <x v="4"/>
    <m/>
    <s v="Printed"/>
    <x v="19"/>
    <x v="387"/>
  </r>
  <r>
    <n v="722"/>
    <s v="Dine In (5)"/>
    <s v="Dine In"/>
    <m/>
    <m/>
    <m/>
    <m/>
    <m/>
    <m/>
    <s v="Lebanese Chicken Pizza, Spicy Chicken Tenders, Truffle And Parmesan Crispy Scouts"/>
    <n v="1150"/>
    <n v="115"/>
    <n v="1035"/>
    <n v="51.76"/>
    <n v="0.24"/>
    <n v="0"/>
    <x v="3"/>
    <s v="Total : 1087.00"/>
    <s v="Printed"/>
    <x v="19"/>
    <x v="388"/>
  </r>
  <r>
    <n v="723"/>
    <s v="Dine In (6)"/>
    <s v="Dine In"/>
    <m/>
    <m/>
    <m/>
    <m/>
    <m/>
    <m/>
    <s v="Burnt Garlic &amp; Cauliflower, Creamy Pesto, Rainbow Roll Pizza"/>
    <n v="1155"/>
    <n v="0"/>
    <n v="1155"/>
    <n v="57.76"/>
    <n v="0.24"/>
    <n v="1213"/>
    <x v="2"/>
    <m/>
    <s v="Printed"/>
    <x v="19"/>
    <x v="389"/>
  </r>
  <r>
    <n v="724"/>
    <s v="Dine In (venit)"/>
    <s v="Dine In"/>
    <m/>
    <m/>
    <m/>
    <m/>
    <m/>
    <m/>
    <s v="Classic Bombay Maestro Sandwich, Mushroom Alfredo, Thukpa Vegan"/>
    <n v="1065"/>
    <n v="106.5"/>
    <n v="958.5"/>
    <n v="47.92"/>
    <n v="-0.42"/>
    <n v="1006"/>
    <x v="1"/>
    <m/>
    <s v="Printed"/>
    <x v="19"/>
    <x v="390"/>
  </r>
  <r>
    <n v="725"/>
    <s v="Dine In (reva)"/>
    <s v="Dine In"/>
    <m/>
    <m/>
    <m/>
    <m/>
    <m/>
    <m/>
    <s v="Aglio Olio, Burnt Garlic &amp; Cauliflower, Sour Cream And Onion Crispy Scouts"/>
    <n v="895"/>
    <n v="0"/>
    <n v="895"/>
    <n v="44.76"/>
    <n v="0.24"/>
    <n v="940"/>
    <x v="4"/>
    <m/>
    <s v="Printed"/>
    <x v="19"/>
    <x v="391"/>
  </r>
  <r>
    <n v="726"/>
    <s v="Dine In (KIRTNA)"/>
    <s v="Dine In"/>
    <m/>
    <m/>
    <m/>
    <m/>
    <m/>
    <m/>
    <s v="Brown Butter Latte"/>
    <n v="295"/>
    <n v="0"/>
    <n v="295"/>
    <n v="14.76"/>
    <n v="0.24"/>
    <n v="310"/>
    <x v="0"/>
    <m/>
    <s v="Printed"/>
    <x v="19"/>
    <x v="392"/>
  </r>
  <r>
    <n v="727"/>
    <s v="Dine In (ARPIT)"/>
    <s v="Dine In"/>
    <s v="ARPIT"/>
    <m/>
    <m/>
    <m/>
    <m/>
    <m/>
    <s v="Brown Butter Latte, Peri Peri Crispy Scouts, Rainbow Roll Pizza"/>
    <n v="935"/>
    <n v="93.5"/>
    <n v="841.5"/>
    <n v="42.08"/>
    <n v="0.42"/>
    <n v="884"/>
    <x v="0"/>
    <m/>
    <s v="Printed"/>
    <x v="19"/>
    <x v="393"/>
  </r>
  <r>
    <n v="728"/>
    <s v="Dine In (5)"/>
    <s v="Dine In"/>
    <m/>
    <m/>
    <m/>
    <m/>
    <m/>
    <m/>
    <s v="Brown Butter Latte, Mushroom Marauders Bruschetta, Peri Peri Crispy Scouts, Thukpa Vegan"/>
    <n v="1095"/>
    <n v="0"/>
    <n v="1095"/>
    <n v="54.76"/>
    <n v="0.24"/>
    <n v="1150"/>
    <x v="4"/>
    <m/>
    <s v="Printed"/>
    <x v="19"/>
    <x v="394"/>
  </r>
  <r>
    <n v="729"/>
    <s v="Dine In (RONAK)"/>
    <s v="Dine In"/>
    <m/>
    <m/>
    <m/>
    <m/>
    <m/>
    <m/>
    <s v="Secret Mocha"/>
    <n v="280"/>
    <n v="0"/>
    <n v="280"/>
    <n v="14"/>
    <n v="0"/>
    <n v="294"/>
    <x v="2"/>
    <m/>
    <s v="Printed"/>
    <x v="19"/>
    <x v="395"/>
  </r>
  <r>
    <n v="730"/>
    <s v="Dine In (nikhil)"/>
    <s v="Dine In"/>
    <s v="nikhil"/>
    <m/>
    <m/>
    <m/>
    <m/>
    <m/>
    <s v="Chicken Stroganoff Bunnychow"/>
    <n v="380"/>
    <n v="0"/>
    <n v="380"/>
    <n v="19"/>
    <n v="0"/>
    <n v="399"/>
    <x v="2"/>
    <m/>
    <s v="Printed"/>
    <x v="19"/>
    <x v="396"/>
  </r>
  <r>
    <n v="731"/>
    <s v="Dine In (YES)"/>
    <s v="Dine In"/>
    <s v="YES"/>
    <m/>
    <m/>
    <m/>
    <m/>
    <m/>
    <s v="Classic Lemon Ice Tea"/>
    <n v="165"/>
    <n v="0"/>
    <n v="165"/>
    <n v="8.26"/>
    <n v="-0.26"/>
    <n v="173"/>
    <x v="0"/>
    <m/>
    <s v="Printed"/>
    <x v="19"/>
    <x v="397"/>
  </r>
  <r>
    <n v="732"/>
    <s v="Dine In (ABHAS)"/>
    <s v="Dine In"/>
    <s v="ABHAS"/>
    <m/>
    <m/>
    <m/>
    <m/>
    <m/>
    <s v="Caesar Commander"/>
    <n v="380"/>
    <n v="0"/>
    <n v="380"/>
    <n v="19"/>
    <n v="0"/>
    <n v="399"/>
    <x v="2"/>
    <m/>
    <s v="Printed"/>
    <x v="19"/>
    <x v="398"/>
  </r>
  <r>
    <n v="733"/>
    <s v="Dine In (ANKIT)"/>
    <s v="Dine In"/>
    <m/>
    <m/>
    <m/>
    <m/>
    <m/>
    <m/>
    <s v="Chicken Conqueror Burger, Chicken Stroganoff Bunnychow"/>
    <n v="830"/>
    <n v="0"/>
    <n v="830"/>
    <n v="41.5"/>
    <n v="0.5"/>
    <n v="872"/>
    <x v="2"/>
    <m/>
    <s v="Printed"/>
    <x v="19"/>
    <x v="399"/>
  </r>
  <r>
    <n v="734"/>
    <s v="Dine In (JATIN)"/>
    <s v="Dine In"/>
    <s v="JATIN"/>
    <m/>
    <m/>
    <m/>
    <m/>
    <m/>
    <s v="Aglio Olio"/>
    <n v="425"/>
    <n v="0"/>
    <n v="425"/>
    <n v="21.26"/>
    <n v="-0.26"/>
    <n v="446"/>
    <x v="2"/>
    <m/>
    <s v="Printed"/>
    <x v="19"/>
    <x v="400"/>
  </r>
  <r>
    <n v="735"/>
    <s v="Dine In (ANMOL)"/>
    <s v="Dine In"/>
    <m/>
    <m/>
    <m/>
    <m/>
    <m/>
    <m/>
    <s v="Chicken Conqueror Burger"/>
    <n v="450"/>
    <n v="0"/>
    <n v="450"/>
    <n v="22.5"/>
    <n v="0.5"/>
    <n v="473"/>
    <x v="2"/>
    <m/>
    <s v="Printed"/>
    <x v="19"/>
    <x v="401"/>
  </r>
  <r>
    <n v="736"/>
    <s v="Dine In (SOHAM)"/>
    <s v="Dine In"/>
    <m/>
    <m/>
    <m/>
    <m/>
    <m/>
    <m/>
    <s v="Classical Chicken Stroganoff"/>
    <n v="725"/>
    <n v="72.5"/>
    <n v="652.5"/>
    <n v="32.619999999999997"/>
    <n v="-0.12"/>
    <n v="685"/>
    <x v="0"/>
    <m/>
    <s v="Printed"/>
    <x v="19"/>
    <x v="402"/>
  </r>
  <r>
    <n v="737"/>
    <s v="Dine In (ANIRUDH)"/>
    <s v="Dine In"/>
    <m/>
    <m/>
    <m/>
    <m/>
    <m/>
    <m/>
    <s v="Peri Peri Wrdges Warriors"/>
    <n v="190"/>
    <n v="0"/>
    <n v="190"/>
    <n v="9.5"/>
    <n v="0.5"/>
    <n v="200"/>
    <x v="0"/>
    <m/>
    <s v="Printed"/>
    <x v="19"/>
    <x v="403"/>
  </r>
  <r>
    <n v="738"/>
    <s v="Dine In (DAV)"/>
    <s v="Dine In"/>
    <s v="DAV"/>
    <m/>
    <m/>
    <m/>
    <m/>
    <m/>
    <s v="Ginger Cookie, Tex-Mex Bowl Grilled Chicken"/>
    <n v="554"/>
    <n v="55.4"/>
    <n v="498.6"/>
    <n v="24.94"/>
    <n v="0.46"/>
    <n v="524"/>
    <x v="2"/>
    <m/>
    <s v="Printed"/>
    <x v="19"/>
    <x v="404"/>
  </r>
  <r>
    <n v="739"/>
    <s v="Dine In (ARPIT)"/>
    <s v="Dine In"/>
    <m/>
    <m/>
    <m/>
    <m/>
    <m/>
    <m/>
    <s v="Burnt Garlic &amp; Cauliflower, Ginger Cookie, Middle-East Meetup, Peri Peri Crispy Scouts"/>
    <n v="909"/>
    <n v="90.9"/>
    <n v="818.1"/>
    <n v="40.9"/>
    <n v="0"/>
    <n v="859"/>
    <x v="2"/>
    <m/>
    <s v="Printed"/>
    <x v="19"/>
    <x v="405"/>
  </r>
  <r>
    <n v="740"/>
    <s v="Dine In (5)"/>
    <s v="Dine In"/>
    <m/>
    <m/>
    <m/>
    <m/>
    <m/>
    <m/>
    <s v="Cream Of Chicken &amp; Leek, Peri Peri Wrdges Warriors, Roasted Tomato &amp; Basil"/>
    <n v="790"/>
    <n v="79"/>
    <n v="711"/>
    <n v="35.54"/>
    <n v="0.46"/>
    <n v="747"/>
    <x v="1"/>
    <m/>
    <s v="Printed"/>
    <x v="19"/>
    <x v="406"/>
  </r>
  <r>
    <n v="741"/>
    <s v="Dine In (MR sidhart sir)"/>
    <s v="Dine In"/>
    <s v="MR sidhart sir"/>
    <n v="9536971573"/>
    <m/>
    <m/>
    <m/>
    <m/>
    <s v="Butter Garlic Prawns With Sourdough, Cafe Latte, Cafe Mocha, Cappuccino, Chicken &amp; Cheese On Toast, Classic Hot Chocolate"/>
    <n v="2315"/>
    <n v="0"/>
    <n v="2315"/>
    <n v="115.76"/>
    <n v="0.24"/>
    <n v="2431"/>
    <x v="0"/>
    <m/>
    <s v="Printed"/>
    <x v="19"/>
    <x v="407"/>
  </r>
  <r>
    <n v="742"/>
    <s v="Dine In (RADHIKA MAAM)"/>
    <s v="Dine In"/>
    <m/>
    <m/>
    <m/>
    <m/>
    <m/>
    <m/>
    <s v="Classic Hot Chocolate, Garlic Pepper Chicken Pizza, Iced Coconut Oat Matcha Latte, Red Knight"/>
    <n v="0"/>
    <n v="0"/>
    <n v="0"/>
    <n v="0"/>
    <n v="0"/>
    <n v="0"/>
    <x v="1"/>
    <m/>
    <s v="Printed"/>
    <x v="19"/>
    <x v="408"/>
  </r>
  <r>
    <n v="743"/>
    <s v="Dine In (RANJEET)"/>
    <s v="Dine In"/>
    <m/>
    <m/>
    <m/>
    <m/>
    <m/>
    <m/>
    <s v="Classic Lemon Ice Tea, Grilled Meaty Maverick"/>
    <n v="585"/>
    <n v="0"/>
    <n v="585"/>
    <n v="29.26"/>
    <n v="-0.26"/>
    <n v="614"/>
    <x v="0"/>
    <m/>
    <s v="Printed"/>
    <x v="19"/>
    <x v="409"/>
  </r>
  <r>
    <n v="744"/>
    <s v="Dine In (3)"/>
    <s v="Dine In"/>
    <m/>
    <m/>
    <m/>
    <m/>
    <m/>
    <m/>
    <s v="Avocado Vanguard, Brownie With Ice Cream"/>
    <n v="599"/>
    <n v="89.85"/>
    <n v="509.15"/>
    <n v="25.46"/>
    <n v="0.39"/>
    <n v="535"/>
    <x v="2"/>
    <m/>
    <s v="Printed"/>
    <x v="19"/>
    <x v="410"/>
  </r>
  <r>
    <n v="745"/>
    <s v="Dine In (12)"/>
    <s v="Dine In"/>
    <m/>
    <m/>
    <m/>
    <m/>
    <m/>
    <m/>
    <s v="Banana Caramel Waffles, Hot Americano"/>
    <n v="645"/>
    <n v="64.5"/>
    <n v="580.5"/>
    <n v="29.02"/>
    <n v="0.48"/>
    <n v="610"/>
    <x v="2"/>
    <m/>
    <s v="Printed"/>
    <x v="19"/>
    <x v="411"/>
  </r>
  <r>
    <n v="746"/>
    <s v="Dine In (VIKASH SIR)"/>
    <s v="Dine In"/>
    <m/>
    <m/>
    <m/>
    <m/>
    <m/>
    <m/>
    <s v="Banana Walnut Teacakes, Classic Hot Chocolate, Espresso Tiramisu, Masala Egg Bhurji"/>
    <n v="0"/>
    <n v="0"/>
    <n v="0"/>
    <n v="0"/>
    <n v="0"/>
    <n v="0"/>
    <x v="2"/>
    <m/>
    <s v="Printed"/>
    <x v="19"/>
    <x v="412"/>
  </r>
  <r>
    <n v="747"/>
    <s v="Dine In (3)"/>
    <s v="Dine In"/>
    <m/>
    <m/>
    <m/>
    <m/>
    <m/>
    <m/>
    <s v="Brown Butter Latte, Egg French Omelette, Extra Oat Milk"/>
    <n v="644"/>
    <n v="64.400000000000006"/>
    <n v="579.6"/>
    <n v="26.32"/>
    <n v="0.08"/>
    <n v="606"/>
    <x v="0"/>
    <m/>
    <s v="Printed"/>
    <x v="20"/>
    <x v="413"/>
  </r>
  <r>
    <n v="748"/>
    <s v="Dine In (5)"/>
    <s v="Dine In"/>
    <m/>
    <m/>
    <m/>
    <m/>
    <m/>
    <m/>
    <s v="Hot Americano, Roasted Tomato &amp; Basil"/>
    <n v="500"/>
    <n v="50"/>
    <n v="450"/>
    <n v="22.5"/>
    <n v="0.5"/>
    <n v="473"/>
    <x v="2"/>
    <m/>
    <s v="Printed"/>
    <x v="20"/>
    <x v="414"/>
  </r>
  <r>
    <n v="749"/>
    <s v="Dine In (2)"/>
    <s v="Dine In"/>
    <m/>
    <m/>
    <m/>
    <m/>
    <m/>
    <m/>
    <s v="Cappuccino, Chicken Quesadilla, Mushroom Alfredo, Peri Peri Cottage Cheese Pizza, Thukpa Chicken, Tiramisu Hot Chocolate"/>
    <n v="2690"/>
    <n v="269"/>
    <n v="2421"/>
    <n v="121.06"/>
    <n v="-0.06"/>
    <n v="2542"/>
    <x v="2"/>
    <m/>
    <s v="Printed"/>
    <x v="20"/>
    <x v="415"/>
  </r>
  <r>
    <n v="750"/>
    <s v="Dine In (BIRTHDAY PARTY)"/>
    <s v="Dine In"/>
    <m/>
    <m/>
    <m/>
    <m/>
    <m/>
    <m/>
    <s v="Birthday Game Charge, Biscoff Shake, Cappuccino, Jackfruit Jester Burger, Middle-East Meetup, Party Menu 65, Water Bottle"/>
    <n v="12090"/>
    <n v="1813.5"/>
    <n v="10276.5"/>
    <n v="818.12"/>
    <n v="0.38"/>
    <n v="11095"/>
    <x v="2"/>
    <m/>
    <s v="Printed"/>
    <x v="20"/>
    <x v="416"/>
  </r>
  <r>
    <n v="751"/>
    <s v="Dine In (ANUBHAV)"/>
    <s v="Dine In"/>
    <m/>
    <m/>
    <m/>
    <m/>
    <m/>
    <m/>
    <s v="Caesar Commander, Cafe Latte, Cafe Mocha, Chicken Conqueror Burger, Extra Dip, Rainbow Roll Pizza, Tex-Mex Bowl With Cottage Cheese (V), Vanilla And Cocoa Marble Teacakes, Water Bottle"/>
    <n v="3474"/>
    <n v="347.4"/>
    <n v="3126.6"/>
    <n v="146.91999999999999"/>
    <n v="0.48"/>
    <n v="3274"/>
    <x v="0"/>
    <m/>
    <s v="Printed"/>
    <x v="20"/>
    <x v="417"/>
  </r>
  <r>
    <n v="752"/>
    <s v="Dine In (SONAL)"/>
    <s v="Dine In"/>
    <m/>
    <m/>
    <m/>
    <m/>
    <m/>
    <m/>
    <s v="Chicken &amp; Cheese On Toast, Chicken Stroganoff Bunnychow, Grilled Chicken, Grilled Meaty Maverick, Hot Americano, New Classic Hot Chocolate, The Catalyst, Tokyo Godzilla Frappe"/>
    <n v="3185"/>
    <n v="318.5"/>
    <n v="2866.5"/>
    <n v="143.32"/>
    <n v="0.18"/>
    <n v="3010"/>
    <x v="0"/>
    <m/>
    <s v="Printed"/>
    <x v="20"/>
    <x v="418"/>
  </r>
  <r>
    <n v="753"/>
    <s v="Dine In (ANKIT)"/>
    <s v="Dine In"/>
    <m/>
    <m/>
    <m/>
    <m/>
    <m/>
    <m/>
    <s v="Avocado Vanguard, Secret Mocha, The Catalyst"/>
    <n v="920"/>
    <n v="0"/>
    <n v="920"/>
    <n v="46"/>
    <n v="0"/>
    <n v="966"/>
    <x v="0"/>
    <m/>
    <s v="Printed"/>
    <x v="20"/>
    <x v="419"/>
  </r>
  <r>
    <n v="754"/>
    <s v="Dine In (AISHAN)"/>
    <s v="Dine In"/>
    <s v="AISHAN"/>
    <m/>
    <m/>
    <m/>
    <m/>
    <m/>
    <s v="Brown Butter Latte, Buffalo Chicken Wings With Ranch Dip, Chicken Conqueror Burger, Classic Lemon Ice Tea"/>
    <n v="1300"/>
    <n v="0"/>
    <n v="1300"/>
    <n v="65"/>
    <n v="0"/>
    <n v="1365"/>
    <x v="0"/>
    <m/>
    <s v="Printed"/>
    <x v="20"/>
    <x v="420"/>
  </r>
  <r>
    <n v="755"/>
    <s v="Dine In (12)"/>
    <s v="Dine In"/>
    <m/>
    <m/>
    <m/>
    <m/>
    <m/>
    <m/>
    <s v="Espresso Tiramisu"/>
    <n v="345"/>
    <n v="0"/>
    <n v="345"/>
    <n v="17.260000000000002"/>
    <n v="-0.26"/>
    <n v="362"/>
    <x v="4"/>
    <m/>
    <s v="Printed"/>
    <x v="20"/>
    <x v="421"/>
  </r>
  <r>
    <n v="756"/>
    <s v="Dine In (NIKHIL)"/>
    <s v="Dine In"/>
    <m/>
    <m/>
    <m/>
    <m/>
    <m/>
    <m/>
    <s v="Cappuccino, Classic Crispy Scouts, Classic Garlic Gambit, Tiramisu Hot Chocolate"/>
    <n v="1015"/>
    <n v="101.5"/>
    <n v="913.5"/>
    <n v="45.68"/>
    <n v="-0.18"/>
    <n v="959"/>
    <x v="4"/>
    <m/>
    <s v="Printed"/>
    <x v="20"/>
    <x v="422"/>
  </r>
  <r>
    <n v="757"/>
    <s v="Dine In (VIVEK)"/>
    <s v="Dine In"/>
    <s v="VIVEK"/>
    <m/>
    <m/>
    <m/>
    <m/>
    <m/>
    <s v="Cappuccino, Egg French Omelette"/>
    <n v="540"/>
    <n v="0"/>
    <n v="540"/>
    <n v="27"/>
    <n v="0"/>
    <n v="567"/>
    <x v="1"/>
    <m/>
    <s v="Printed"/>
    <x v="20"/>
    <x v="423"/>
  </r>
  <r>
    <n v="758"/>
    <s v="Dine In (POOJA)"/>
    <s v="Dine In"/>
    <s v="POOJA"/>
    <m/>
    <m/>
    <m/>
    <m/>
    <m/>
    <s v="Banana Walnut Teacakes, Brown Butter Latte, Secret Mocha"/>
    <n v="765"/>
    <n v="0"/>
    <n v="765"/>
    <n v="38.26"/>
    <n v="-0.26"/>
    <n v="803"/>
    <x v="2"/>
    <m/>
    <s v="Printed"/>
    <x v="20"/>
    <x v="424"/>
  </r>
  <r>
    <n v="759"/>
    <s v="Dine In (35)"/>
    <s v="Dine In"/>
    <m/>
    <m/>
    <m/>
    <m/>
    <m/>
    <m/>
    <s v="Claasic Cold Coffee"/>
    <n v="295"/>
    <n v="0"/>
    <n v="295"/>
    <n v="14.76"/>
    <n v="0.24"/>
    <n v="310"/>
    <x v="2"/>
    <m/>
    <s v="Printed"/>
    <x v="20"/>
    <x v="425"/>
  </r>
  <r>
    <n v="760"/>
    <s v="Dine In (sakshi)"/>
    <s v="Dine In"/>
    <m/>
    <m/>
    <m/>
    <m/>
    <m/>
    <m/>
    <s v="Brown Butter Latte, The Bruschetta Bards, The Full House Nachos (Veg)"/>
    <n v="1250"/>
    <n v="187.5"/>
    <n v="1062.5"/>
    <n v="53.12"/>
    <n v="0.38"/>
    <n v="1116"/>
    <x v="0"/>
    <m/>
    <s v="Printed"/>
    <x v="20"/>
    <x v="426"/>
  </r>
  <r>
    <n v="761"/>
    <s v="Dine In (richa)"/>
    <s v="Dine In"/>
    <m/>
    <m/>
    <m/>
    <m/>
    <m/>
    <m/>
    <s v="Banana Caramel Waffles, Burnt Garlic &amp; Cauliflower, Middle-East Meetup"/>
    <n v="1085"/>
    <n v="108.5"/>
    <n v="976.5"/>
    <n v="48.82"/>
    <n v="-0.32"/>
    <n v="1025"/>
    <x v="2"/>
    <m/>
    <s v="Printed"/>
    <x v="20"/>
    <x v="427"/>
  </r>
  <r>
    <n v="762"/>
    <s v="Dine In (anurag)"/>
    <s v="Dine In"/>
    <m/>
    <m/>
    <m/>
    <m/>
    <m/>
    <m/>
    <s v="Cafe Mocha, Peri Peri Wrdges Warriors"/>
    <n v="470"/>
    <n v="47"/>
    <n v="423"/>
    <n v="21.16"/>
    <n v="-0.16"/>
    <n v="444"/>
    <x v="2"/>
    <m/>
    <s v="Printed"/>
    <x v="20"/>
    <x v="428"/>
  </r>
  <r>
    <n v="763"/>
    <s v="Dine In (abhijeet)"/>
    <s v="Dine In"/>
    <m/>
    <m/>
    <m/>
    <m/>
    <m/>
    <m/>
    <s v="Brown Butter Latte, Cappuccino, Classic Lemon Ice Tea"/>
    <n v="710"/>
    <n v="71"/>
    <n v="639"/>
    <n v="31.96"/>
    <n v="0.04"/>
    <n v="671"/>
    <x v="0"/>
    <m/>
    <s v="Printed"/>
    <x v="20"/>
    <x v="429"/>
  </r>
  <r>
    <n v="764"/>
    <s v="Dine In (rajen)"/>
    <s v="Dine In"/>
    <s v="rajen"/>
    <m/>
    <m/>
    <m/>
    <m/>
    <m/>
    <s v="Banana Walnut Teacakes, Cappuccino, Classic Lemon Ice Tea, Secret Mocha"/>
    <n v="885"/>
    <n v="88.5"/>
    <n v="796.5"/>
    <n v="39.82"/>
    <n v="-0.32"/>
    <n v="836"/>
    <x v="0"/>
    <m/>
    <s v="Printed"/>
    <x v="20"/>
    <x v="430"/>
  </r>
  <r>
    <n v="765"/>
    <s v="Dine In (SONALI)"/>
    <s v="Dine In"/>
    <m/>
    <m/>
    <m/>
    <m/>
    <m/>
    <m/>
    <s v="Cafe Mocha, Sour Cream And Onion Crispy Scouts"/>
    <n v="470"/>
    <n v="47"/>
    <n v="423"/>
    <n v="21.16"/>
    <n v="-0.16"/>
    <n v="444"/>
    <x v="2"/>
    <m/>
    <s v="Printed"/>
    <x v="20"/>
    <x v="431"/>
  </r>
  <r>
    <n v="766"/>
    <s v="Dine In (sruthi)"/>
    <s v="Dine In"/>
    <s v="sruthi"/>
    <m/>
    <m/>
    <m/>
    <m/>
    <m/>
    <s v="Grilled Vegetables, Peri Peri Wrdges Warriors, Secret Mocha, Tokyo Godzilla Frappe"/>
    <n v="1480"/>
    <n v="148"/>
    <n v="1332"/>
    <n v="66.599999999999994"/>
    <n v="0.4"/>
    <n v="1399"/>
    <x v="2"/>
    <m/>
    <s v="Printed"/>
    <x v="20"/>
    <x v="432"/>
  </r>
  <r>
    <n v="767"/>
    <s v="Dine In (7)"/>
    <s v="Dine In"/>
    <m/>
    <m/>
    <m/>
    <m/>
    <m/>
    <m/>
    <s v="The Catalyst"/>
    <n v="290"/>
    <n v="29"/>
    <n v="261"/>
    <n v="13.06"/>
    <n v="-0.06"/>
    <n v="274"/>
    <x v="2"/>
    <m/>
    <s v="Printed"/>
    <x v="20"/>
    <x v="433"/>
  </r>
  <r>
    <n v="768"/>
    <s v="Dine In (2)"/>
    <s v="Dine In"/>
    <m/>
    <m/>
    <m/>
    <m/>
    <m/>
    <m/>
    <s v="Brownie With Ice Cream, Cafe Mocha"/>
    <n v="529"/>
    <n v="0"/>
    <n v="529"/>
    <n v="26.46"/>
    <n v="-0.46"/>
    <n v="555"/>
    <x v="2"/>
    <m/>
    <s v="Printed"/>
    <x v="20"/>
    <x v="434"/>
  </r>
  <r>
    <n v="769"/>
    <s v="Dine In (Soham)"/>
    <s v="Dine In"/>
    <s v="soham"/>
    <m/>
    <m/>
    <m/>
    <m/>
    <m/>
    <s v="Wild Berry Stuffed French Toast"/>
    <n v="425"/>
    <n v="42.5"/>
    <n v="382.5"/>
    <n v="19.12"/>
    <n v="0.38"/>
    <n v="402"/>
    <x v="0"/>
    <m/>
    <s v="Printed"/>
    <x v="20"/>
    <x v="435"/>
  </r>
  <r>
    <n v="770"/>
    <s v="Dine In (mayur)"/>
    <s v="Dine In"/>
    <m/>
    <m/>
    <m/>
    <m/>
    <m/>
    <m/>
    <s v="Burnt Garlic &amp; Cauliflower, Mushroom Alfredo, Roasted Tomato &amp; Basil"/>
    <n v="985"/>
    <n v="98.5"/>
    <n v="886.5"/>
    <n v="44.32"/>
    <n v="0.18"/>
    <n v="931"/>
    <x v="2"/>
    <m/>
    <s v="Printed"/>
    <x v="20"/>
    <x v="436"/>
  </r>
  <r>
    <n v="771"/>
    <s v="Dine In (pertham)"/>
    <s v="Dine In"/>
    <m/>
    <m/>
    <m/>
    <m/>
    <m/>
    <m/>
    <s v="Peri Peri Crispy Scouts, Sour Cream And Onion Wrdges Warriors"/>
    <n v="380"/>
    <n v="0"/>
    <n v="380"/>
    <n v="19"/>
    <n v="0"/>
    <n v="399"/>
    <x v="2"/>
    <m/>
    <s v="Printed"/>
    <x v="20"/>
    <x v="437"/>
  </r>
  <r>
    <n v="772"/>
    <s v="Dine In (sakashi)"/>
    <s v="Dine In"/>
    <m/>
    <m/>
    <m/>
    <m/>
    <m/>
    <m/>
    <s v="Roasted Tomato &amp; Basil"/>
    <n v="280"/>
    <n v="0"/>
    <n v="280"/>
    <n v="14"/>
    <n v="0"/>
    <n v="294"/>
    <x v="2"/>
    <m/>
    <s v="Printed"/>
    <x v="20"/>
    <x v="438"/>
  </r>
  <r>
    <n v="773"/>
    <s v="Dine In (AKANSHA)"/>
    <s v="Dine In"/>
    <m/>
    <m/>
    <m/>
    <m/>
    <m/>
    <m/>
    <s v="Brown Butter Latte, Pesto Sandwich"/>
    <n v="670"/>
    <n v="0"/>
    <n v="670"/>
    <n v="33.5"/>
    <n v="0.5"/>
    <n v="704"/>
    <x v="0"/>
    <m/>
    <s v="Printed"/>
    <x v="20"/>
    <x v="439"/>
  </r>
  <r>
    <n v="774"/>
    <s v="Dine In (gagan)"/>
    <s v="Dine In"/>
    <m/>
    <m/>
    <m/>
    <m/>
    <m/>
    <m/>
    <s v="Cappuccino, The Full House Nachos (Veg)"/>
    <n v="630"/>
    <n v="63"/>
    <n v="567"/>
    <n v="28.36"/>
    <n v="-0.36"/>
    <n v="595"/>
    <x v="2"/>
    <m/>
    <s v="Printed"/>
    <x v="20"/>
    <x v="440"/>
  </r>
  <r>
    <n v="775"/>
    <s v="Dine In (3arshita)"/>
    <s v="Dine In"/>
    <m/>
    <m/>
    <m/>
    <m/>
    <m/>
    <m/>
    <s v="Cream Of Chicken &amp; Leek"/>
    <n v="320"/>
    <n v="0"/>
    <n v="320"/>
    <n v="16"/>
    <n v="0"/>
    <n v="336"/>
    <x v="2"/>
    <m/>
    <s v="Printed"/>
    <x v="20"/>
    <x v="441"/>
  </r>
  <r>
    <n v="776"/>
    <s v="Dine In (apurva)"/>
    <s v="Dine In"/>
    <m/>
    <m/>
    <m/>
    <m/>
    <m/>
    <m/>
    <s v="Cafe Latte, Roasted Tomato &amp; Basil"/>
    <n v="520"/>
    <n v="0"/>
    <n v="520"/>
    <n v="26"/>
    <n v="0"/>
    <n v="546"/>
    <x v="2"/>
    <m/>
    <s v="Printed"/>
    <x v="20"/>
    <x v="442"/>
  </r>
  <r>
    <n v="777"/>
    <s v="Dine In (HARSIT)"/>
    <s v="Dine In"/>
    <m/>
    <m/>
    <m/>
    <m/>
    <m/>
    <m/>
    <s v="Water Bottle"/>
    <n v="60"/>
    <n v="0"/>
    <n v="60"/>
    <n v="0"/>
    <n v="0"/>
    <n v="60"/>
    <x v="2"/>
    <m/>
    <s v="Printed"/>
    <x v="20"/>
    <x v="443"/>
  </r>
  <r>
    <n v="778"/>
    <s v="Dine In (1)"/>
    <s v="Dine In"/>
    <s v="VIPUL"/>
    <m/>
    <m/>
    <m/>
    <m/>
    <m/>
    <s v="Gaming Charges (1_hr)"/>
    <n v="122"/>
    <n v="0"/>
    <n v="122"/>
    <n v="21.96"/>
    <n v="0.04"/>
    <n v="144"/>
    <x v="2"/>
    <m/>
    <s v="Printed"/>
    <x v="20"/>
    <x v="444"/>
  </r>
  <r>
    <n v="779"/>
    <s v="Dine In (AAYUSH)"/>
    <s v="Dine In"/>
    <m/>
    <m/>
    <m/>
    <m/>
    <m/>
    <m/>
    <s v="Thukpa Vegan"/>
    <n v="290"/>
    <n v="0"/>
    <n v="290"/>
    <n v="14.5"/>
    <n v="0.5"/>
    <n v="305"/>
    <x v="2"/>
    <m/>
    <s v="Printed"/>
    <x v="20"/>
    <x v="445"/>
  </r>
  <r>
    <n v="780"/>
    <s v="Dine In (YES)"/>
    <s v="Dine In"/>
    <m/>
    <m/>
    <m/>
    <m/>
    <m/>
    <m/>
    <s v="Classic Lemon Ice Tea, Egg French Omelette"/>
    <n v="455"/>
    <n v="0"/>
    <n v="455"/>
    <n v="22.76"/>
    <n v="0.24"/>
    <n v="478"/>
    <x v="2"/>
    <m/>
    <s v="Printed"/>
    <x v="20"/>
    <x v="446"/>
  </r>
  <r>
    <n v="781"/>
    <s v="Dine In (JATIN)"/>
    <s v="Dine In"/>
    <m/>
    <m/>
    <m/>
    <m/>
    <m/>
    <m/>
    <s v="Classic Lemon Ice Tea"/>
    <n v="165"/>
    <n v="0"/>
    <n v="165"/>
    <n v="8.26"/>
    <n v="-0.26"/>
    <n v="173"/>
    <x v="2"/>
    <m/>
    <s v="Printed"/>
    <x v="20"/>
    <x v="447"/>
  </r>
  <r>
    <n v="782"/>
    <s v="Dine In (2KRISSH)"/>
    <s v="Dine In"/>
    <m/>
    <m/>
    <m/>
    <m/>
    <m/>
    <m/>
    <s v="Classic Hot Chocolate, Classical Chicken Stroganoff, Peri Peri Crispy Scouts, Tex-Mex Bowl With Cottage Cheese (V)"/>
    <n v="1665"/>
    <n v="0"/>
    <n v="1665"/>
    <n v="83.26"/>
    <n v="-0.26"/>
    <n v="1748"/>
    <x v="0"/>
    <m/>
    <s v="Printed"/>
    <x v="20"/>
    <x v="448"/>
  </r>
  <r>
    <n v="783"/>
    <s v="Dine In (RADHIKA MAAM)"/>
    <s v="Dine In"/>
    <m/>
    <m/>
    <m/>
    <m/>
    <m/>
    <m/>
    <s v="Classic Hot Chocolate, Classic Vanilla Stuffed French Toast, Extra Chicken, Pesto Sandwich"/>
    <n v="0"/>
    <n v="0"/>
    <n v="0"/>
    <n v="0"/>
    <n v="0"/>
    <n v="0"/>
    <x v="1"/>
    <m/>
    <s v="Printed"/>
    <x v="20"/>
    <x v="449"/>
  </r>
  <r>
    <n v="784"/>
    <s v="Dine In (VIKAS)"/>
    <s v="Dine In"/>
    <m/>
    <m/>
    <m/>
    <m/>
    <m/>
    <m/>
    <s v="Buffalo Chicken Wings With Ranch Dip"/>
    <n v="0"/>
    <n v="0"/>
    <n v="0"/>
    <n v="0"/>
    <n v="0"/>
    <n v="0"/>
    <x v="1"/>
    <m/>
    <s v="Printed"/>
    <x v="20"/>
    <x v="11"/>
  </r>
  <r>
    <n v="785"/>
    <s v="Dine In (SIDHANT)"/>
    <s v="Dine In"/>
    <m/>
    <m/>
    <m/>
    <m/>
    <m/>
    <m/>
    <s v="Cappuccino, Sour Cream And Onion Crispy Scouts"/>
    <n v="690"/>
    <n v="0"/>
    <n v="690"/>
    <n v="34.5"/>
    <n v="0.5"/>
    <n v="725"/>
    <x v="0"/>
    <m/>
    <s v="Printed"/>
    <x v="20"/>
    <x v="307"/>
  </r>
  <r>
    <n v="786"/>
    <s v="Dine In (SNEHA)"/>
    <s v="Dine In"/>
    <m/>
    <m/>
    <m/>
    <m/>
    <m/>
    <m/>
    <s v="Classic Hot Chocolate"/>
    <n v="325"/>
    <n v="32.5"/>
    <n v="292.5"/>
    <n v="14.62"/>
    <n v="-0.12"/>
    <n v="307"/>
    <x v="0"/>
    <m/>
    <s v="Printed"/>
    <x v="20"/>
    <x v="450"/>
  </r>
  <r>
    <n v="787"/>
    <s v="Dine In (8)"/>
    <s v="Dine In"/>
    <m/>
    <m/>
    <m/>
    <m/>
    <m/>
    <m/>
    <s v="Buffalo Chicken Wings With Ranch Dip, Classic Lemon Ice Tea, Golden Tiramisu, Mushroom Alfredo"/>
    <n v="1325"/>
    <n v="0"/>
    <n v="1325"/>
    <n v="66.260000000000005"/>
    <n v="-0.26"/>
    <n v="1391"/>
    <x v="4"/>
    <m/>
    <s v="Printed"/>
    <x v="21"/>
    <x v="451"/>
  </r>
  <r>
    <n v="788"/>
    <s v="Dine In (5)"/>
    <s v="Dine In"/>
    <m/>
    <m/>
    <m/>
    <m/>
    <m/>
    <m/>
    <s v="Aurora Engine, Brown Butter Latte, Chicken &amp; Cheese On Toast"/>
    <n v="940"/>
    <n v="0"/>
    <n v="940"/>
    <n v="47"/>
    <n v="0"/>
    <n v="987"/>
    <x v="1"/>
    <m/>
    <s v="Printed"/>
    <x v="21"/>
    <x v="452"/>
  </r>
  <r>
    <n v="789"/>
    <s v="Dine In (9)"/>
    <s v="Dine In"/>
    <m/>
    <m/>
    <m/>
    <m/>
    <m/>
    <m/>
    <s v="Flat White, The Bruschetta Bards"/>
    <n v="520"/>
    <n v="52"/>
    <n v="468"/>
    <n v="23.4"/>
    <n v="-0.4"/>
    <n v="491"/>
    <x v="2"/>
    <m/>
    <s v="Printed"/>
    <x v="21"/>
    <x v="453"/>
  </r>
  <r>
    <n v="790"/>
    <s v="Dine In (8)"/>
    <s v="Dine In"/>
    <m/>
    <m/>
    <m/>
    <m/>
    <m/>
    <m/>
    <s v="Cafe Latte, Flat White, Pesto Sandwich"/>
    <n v="855"/>
    <n v="0"/>
    <n v="855"/>
    <n v="42.76"/>
    <n v="0.24"/>
    <n v="898"/>
    <x v="0"/>
    <m/>
    <s v="Printed"/>
    <x v="21"/>
    <x v="454"/>
  </r>
  <r>
    <n v="791"/>
    <s v="Dine In (7)"/>
    <s v="Dine In"/>
    <m/>
    <m/>
    <m/>
    <m/>
    <m/>
    <m/>
    <s v="Cafe Latte, Hot Americano"/>
    <n v="460"/>
    <n v="0"/>
    <n v="460"/>
    <n v="23"/>
    <n v="0"/>
    <n v="483"/>
    <x v="1"/>
    <m/>
    <s v="Printed"/>
    <x v="21"/>
    <x v="455"/>
  </r>
  <r>
    <n v="792"/>
    <s v="Dine In (1)"/>
    <s v="Dine In"/>
    <m/>
    <m/>
    <m/>
    <m/>
    <m/>
    <m/>
    <s v="Avocado Vanguard, Roasted Tomato &amp; Basil, Salsa Rose, The Full House Nachos (Veg)"/>
    <n v="1715"/>
    <n v="171.5"/>
    <n v="1543.5"/>
    <n v="77.180000000000007"/>
    <n v="0.32"/>
    <n v="1621"/>
    <x v="0"/>
    <m/>
    <s v="Printed"/>
    <x v="21"/>
    <x v="456"/>
  </r>
  <r>
    <n v="793"/>
    <s v="Dine In (4)"/>
    <s v="Dine In"/>
    <m/>
    <m/>
    <m/>
    <m/>
    <m/>
    <m/>
    <s v="Brown Butter Latte, Classic Bombay Maestro Sandwich, Golden Tiramisu, Iced Americano, Roasted Tomato &amp; Basil"/>
    <n v="1520"/>
    <n v="152"/>
    <n v="1368"/>
    <n v="68.400000000000006"/>
    <n v="-0.4"/>
    <n v="1436"/>
    <x v="2"/>
    <m/>
    <s v="Printed"/>
    <x v="21"/>
    <x v="457"/>
  </r>
  <r>
    <n v="794"/>
    <s v="Dine In (35)"/>
    <s v="Dine In"/>
    <m/>
    <m/>
    <m/>
    <m/>
    <m/>
    <m/>
    <s v="Water Bottle"/>
    <n v="60"/>
    <n v="0"/>
    <n v="60"/>
    <n v="0"/>
    <n v="0"/>
    <n v="60"/>
    <x v="2"/>
    <m/>
    <s v="Printed"/>
    <x v="21"/>
    <x v="458"/>
  </r>
  <r>
    <n v="795"/>
    <s v="Dine In (5)"/>
    <s v="Dine In"/>
    <m/>
    <m/>
    <m/>
    <m/>
    <m/>
    <m/>
    <s v="Classic Margherita Pizza, Extra Burrata, Tex-Mex Bowl With Cottage Cheese (V)"/>
    <n v="1099"/>
    <n v="109.9"/>
    <n v="989.1"/>
    <n v="38.26"/>
    <n v="-0.36"/>
    <n v="1027"/>
    <x v="0"/>
    <m/>
    <s v="Printed"/>
    <x v="21"/>
    <x v="459"/>
  </r>
  <r>
    <n v="796"/>
    <s v="Dine In (7)"/>
    <s v="Dine In"/>
    <m/>
    <m/>
    <m/>
    <m/>
    <m/>
    <m/>
    <s v="Pinefire, Stained Sagrada, Truffle Mushroom Arancini"/>
    <n v="865"/>
    <n v="86.5"/>
    <n v="778.5"/>
    <n v="38.92"/>
    <n v="-0.42"/>
    <n v="817"/>
    <x v="2"/>
    <m/>
    <s v="Printed"/>
    <x v="21"/>
    <x v="460"/>
  </r>
  <r>
    <n v="797"/>
    <s v="Dine In (vikas sir)"/>
    <s v="Dine In"/>
    <m/>
    <m/>
    <m/>
    <m/>
    <m/>
    <m/>
    <s v="Masala Egg Bhurji"/>
    <n v="0"/>
    <n v="0"/>
    <n v="0"/>
    <n v="0"/>
    <n v="0"/>
    <n v="0"/>
    <x v="1"/>
    <m/>
    <s v="Printed"/>
    <x v="21"/>
    <x v="461"/>
  </r>
  <r>
    <n v="798"/>
    <s v="Dine In (RADHIKA MAAM)"/>
    <s v="Dine In"/>
    <m/>
    <m/>
    <m/>
    <m/>
    <m/>
    <m/>
    <s v="Classic Hot Chocolate, Classic Vanilla Stuffed French Toast, Grilled Chicken, Pistachio Latte"/>
    <n v="0"/>
    <n v="0"/>
    <n v="0"/>
    <n v="0"/>
    <n v="0"/>
    <n v="0"/>
    <x v="1"/>
    <m/>
    <s v="Printed"/>
    <x v="21"/>
    <x v="462"/>
  </r>
  <r>
    <n v="799"/>
    <s v="Dine In (6)"/>
    <s v="Dine In"/>
    <m/>
    <m/>
    <m/>
    <m/>
    <m/>
    <m/>
    <s v="Aurora Engine, Brown Butter Latte, Claasic Cold Coffee, Grilled Chicken, Water Bottle"/>
    <n v="1935"/>
    <n v="193.5"/>
    <n v="1741.5"/>
    <n v="84.38"/>
    <n v="0.12"/>
    <n v="1826"/>
    <x v="2"/>
    <m/>
    <s v="Printed"/>
    <x v="21"/>
    <x v="463"/>
  </r>
  <r>
    <n v="800"/>
    <s v="Dine In (7)"/>
    <s v="Dine In"/>
    <m/>
    <m/>
    <m/>
    <m/>
    <m/>
    <m/>
    <s v="Cinnamon Hot Chocolate, New Classic Hot Chocolate, Peri Peri Crispy Scouts"/>
    <n v="1000"/>
    <n v="100"/>
    <n v="900"/>
    <n v="45"/>
    <n v="0"/>
    <n v="945"/>
    <x v="1"/>
    <m/>
    <s v="Printed"/>
    <x v="21"/>
    <x v="464"/>
  </r>
  <r>
    <n v="801"/>
    <s v="Dine In (SIDHANT SIR)"/>
    <s v="Dine In"/>
    <m/>
    <m/>
    <m/>
    <m/>
    <m/>
    <m/>
    <s v="Banana Caramel Stuffed French Toast, Cappuccino, Extra Chicken, Extra Vegetables, Ginger Cookie, Grilled Chicken"/>
    <n v="1847"/>
    <n v="0"/>
    <n v="1847"/>
    <n v="78.84"/>
    <n v="0.16"/>
    <n v="1926"/>
    <x v="0"/>
    <m/>
    <s v="Printed"/>
    <x v="21"/>
    <x v="115"/>
  </r>
  <r>
    <n v="802"/>
    <s v="Dine In (1)"/>
    <s v="Dine In"/>
    <m/>
    <m/>
    <m/>
    <m/>
    <m/>
    <m/>
    <s v="Classic Lemon Ice Tea, Oink Oink  (pepperoni ) Pizza"/>
    <n v="910"/>
    <n v="0"/>
    <n v="910"/>
    <n v="45.5"/>
    <n v="0.5"/>
    <n v="956"/>
    <x v="2"/>
    <m/>
    <s v="Printed"/>
    <x v="22"/>
    <x v="465"/>
  </r>
  <r>
    <n v="803"/>
    <s v="Dine In (1)"/>
    <s v="Dine In"/>
    <m/>
    <m/>
    <m/>
    <m/>
    <m/>
    <m/>
    <s v="Cafe Mocha, Espresso, Ice Latte, Mushroom Alfredo, Rainbow Roll Pizza"/>
    <n v="1635"/>
    <n v="163.5"/>
    <n v="1471.5"/>
    <n v="73.58"/>
    <n v="-0.08"/>
    <n v="1545"/>
    <x v="2"/>
    <m/>
    <s v="Printed"/>
    <x v="22"/>
    <x v="466"/>
  </r>
  <r>
    <n v="804"/>
    <s v="Dine In (5)"/>
    <s v="Dine In"/>
    <m/>
    <m/>
    <m/>
    <m/>
    <m/>
    <m/>
    <s v="Semolina And Pistachio Teacakes, Sour Cream And Onion Crispy Scouts, Tex-Mex Bowl With Cottage Cheese (V), Thukpa Vegan"/>
    <n v="1095"/>
    <n v="109.5"/>
    <n v="985.5"/>
    <n v="49.28"/>
    <n v="0.22"/>
    <n v="1035"/>
    <x v="2"/>
    <m/>
    <s v="Printed"/>
    <x v="22"/>
    <x v="467"/>
  </r>
  <r>
    <n v="805"/>
    <s v="Dine In (20)"/>
    <s v="Dine In"/>
    <m/>
    <m/>
    <m/>
    <m/>
    <m/>
    <m/>
    <s v="Burnt Garlic &amp; Cauliflower"/>
    <n v="280"/>
    <n v="0"/>
    <n v="280"/>
    <n v="14"/>
    <n v="0"/>
    <n v="294"/>
    <x v="2"/>
    <m/>
    <s v="Printed"/>
    <x v="22"/>
    <x v="468"/>
  </r>
  <r>
    <n v="806"/>
    <s v="Dine In (8)"/>
    <s v="Dine In"/>
    <m/>
    <m/>
    <m/>
    <m/>
    <m/>
    <m/>
    <s v="Captain Fish Fingers, Lebanese Chicken Pizza"/>
    <n v="930"/>
    <n v="93"/>
    <n v="837"/>
    <n v="41.86"/>
    <n v="0.14000000000000001"/>
    <n v="879"/>
    <x v="2"/>
    <m/>
    <s v="Printed"/>
    <x v="22"/>
    <x v="469"/>
  </r>
  <r>
    <n v="807"/>
    <s v="Dine In (4)"/>
    <s v="Dine In"/>
    <m/>
    <m/>
    <m/>
    <m/>
    <m/>
    <m/>
    <s v="Cafe Mocha, Grilled Chicken, Mushroom Alfredo, Rainbow Roll Pizza, Truffle Mushroom Arancini"/>
    <n v="2260"/>
    <n v="226"/>
    <n v="2034"/>
    <n v="101.7"/>
    <n v="0.3"/>
    <n v="2136"/>
    <x v="0"/>
    <m/>
    <s v="Printed"/>
    <x v="22"/>
    <x v="470"/>
  </r>
  <r>
    <n v="808"/>
    <s v="Dine In (20)"/>
    <s v="Dine In"/>
    <m/>
    <m/>
    <m/>
    <m/>
    <m/>
    <m/>
    <s v="Chicken &amp; Cheese On Toast, Classic Hot Chocolate, Peri Peri Crispy Scouts"/>
    <n v="895"/>
    <n v="89.5"/>
    <n v="805.5"/>
    <n v="40.28"/>
    <n v="0.22"/>
    <n v="846"/>
    <x v="2"/>
    <m/>
    <s v="Printed"/>
    <x v="22"/>
    <x v="471"/>
  </r>
  <r>
    <n v="809"/>
    <s v="Dine In (5)"/>
    <s v="Dine In"/>
    <m/>
    <m/>
    <m/>
    <m/>
    <m/>
    <m/>
    <s v="Espresso Tiramisu, Thukpa Vegan"/>
    <n v="635"/>
    <n v="63.5"/>
    <n v="571.5"/>
    <n v="28.58"/>
    <n v="-0.08"/>
    <n v="600"/>
    <x v="0"/>
    <m/>
    <s v="Printed"/>
    <x v="22"/>
    <x v="386"/>
  </r>
  <r>
    <n v="810"/>
    <s v="Dine In (12)"/>
    <s v="Dine In"/>
    <m/>
    <m/>
    <m/>
    <m/>
    <m/>
    <m/>
    <s v="Extra Dip, Extra Vegetables, Jackfruit Jester Burger, Peri Peri Crispy Scouts, Salsa Rose, Veg Quesadilla"/>
    <n v="1769"/>
    <n v="0"/>
    <n v="1769"/>
    <n v="81"/>
    <n v="0"/>
    <n v="0"/>
    <x v="3"/>
    <s v="Total : 1850.00"/>
    <s v="Printed"/>
    <x v="22"/>
    <x v="472"/>
  </r>
  <r>
    <n v="811"/>
    <s v="Dine In (35)"/>
    <s v="Dine In"/>
    <m/>
    <m/>
    <m/>
    <m/>
    <m/>
    <m/>
    <s v="Gaming Charges (1_hr)"/>
    <n v="122"/>
    <n v="0"/>
    <n v="122"/>
    <n v="21.96"/>
    <n v="0.04"/>
    <n v="144"/>
    <x v="2"/>
    <m/>
    <s v="Printed"/>
    <x v="22"/>
    <x v="473"/>
  </r>
  <r>
    <n v="812"/>
    <s v="Dine In (3)"/>
    <s v="Dine In"/>
    <m/>
    <m/>
    <m/>
    <m/>
    <m/>
    <m/>
    <s v="Cappuccino, Chicken &amp; Cheese On Toast, Chicken Stroganoff Bunnychow, Cinnamon Hot Chocolate, Peri Peri Crispy Scouts"/>
    <n v="1605"/>
    <n v="321"/>
    <n v="1284"/>
    <n v="64.2"/>
    <n v="-0.2"/>
    <n v="1348"/>
    <x v="1"/>
    <m/>
    <s v="Printed"/>
    <x v="22"/>
    <x v="474"/>
  </r>
  <r>
    <n v="813"/>
    <s v="Dine In (shivangi)"/>
    <s v="Dine In"/>
    <m/>
    <m/>
    <m/>
    <m/>
    <m/>
    <m/>
    <s v="Brown Butter Latte, Gaming Charges (1_hr)"/>
    <n v="417"/>
    <n v="0"/>
    <n v="417"/>
    <n v="36.72"/>
    <n v="0.28000000000000003"/>
    <n v="454"/>
    <x v="2"/>
    <m/>
    <s v="Printed"/>
    <x v="22"/>
    <x v="475"/>
  </r>
  <r>
    <n v="814"/>
    <s v="Dine In (jatin)"/>
    <s v="Dine In"/>
    <m/>
    <m/>
    <m/>
    <m/>
    <m/>
    <m/>
    <s v="Classic Crispy Scouts"/>
    <n v="190"/>
    <n v="0"/>
    <n v="190"/>
    <n v="9.5"/>
    <n v="0.5"/>
    <n v="200"/>
    <x v="2"/>
    <m/>
    <s v="Printed"/>
    <x v="22"/>
    <x v="476"/>
  </r>
  <r>
    <n v="815"/>
    <s v="Dine In (anmol)"/>
    <s v="Dine In"/>
    <m/>
    <m/>
    <m/>
    <m/>
    <m/>
    <m/>
    <s v="Creamy Pesto"/>
    <n v="425"/>
    <n v="0"/>
    <n v="425"/>
    <n v="21.26"/>
    <n v="-0.26"/>
    <n v="446"/>
    <x v="2"/>
    <m/>
    <s v="Printed"/>
    <x v="22"/>
    <x v="477"/>
  </r>
  <r>
    <n v="816"/>
    <s v="Dine In (avind)"/>
    <s v="Dine In"/>
    <m/>
    <m/>
    <m/>
    <m/>
    <m/>
    <m/>
    <s v="Chicken Stroganoff Bunnychow, Crimson Hex, Tex-Mex Bowl With Cottage Cheese (V)"/>
    <n v="1030"/>
    <n v="0"/>
    <n v="1030"/>
    <n v="51.5"/>
    <n v="0.5"/>
    <n v="1082"/>
    <x v="4"/>
    <m/>
    <s v="Printed"/>
    <x v="22"/>
    <x v="478"/>
  </r>
  <r>
    <n v="817"/>
    <s v="Dine In (3)"/>
    <s v="Dine In"/>
    <m/>
    <m/>
    <m/>
    <m/>
    <m/>
    <m/>
    <s v="Classic Hot Chocolate, New York Baked Cheese Cake"/>
    <n v="670"/>
    <n v="0"/>
    <n v="670"/>
    <n v="33.5"/>
    <n v="0.5"/>
    <n v="704"/>
    <x v="4"/>
    <m/>
    <s v="Printed"/>
    <x v="22"/>
    <x v="479"/>
  </r>
  <r>
    <n v="818"/>
    <s v="Dine In (dev chef)"/>
    <s v="Dine In"/>
    <m/>
    <m/>
    <m/>
    <m/>
    <m/>
    <m/>
    <s v="Extra Chicken, Ginger Cookie, Semolina And Pistachio Teacakes, Super Green Risotto"/>
    <n v="933"/>
    <n v="93.3"/>
    <n v="839.7"/>
    <n v="35.24"/>
    <n v="0.06"/>
    <n v="875"/>
    <x v="2"/>
    <m/>
    <s v="Printed"/>
    <x v="22"/>
    <x v="480"/>
  </r>
  <r>
    <n v="819"/>
    <s v="Dine In (SIDHANT SIR)"/>
    <s v="Dine In"/>
    <m/>
    <m/>
    <m/>
    <m/>
    <m/>
    <m/>
    <s v="Chicken &amp; Cheese On Toast, Extra Prawns, Grilled Chicken, Wild Berry Stuffed French Toast"/>
    <n v="1890"/>
    <n v="0"/>
    <n v="1890"/>
    <n v="76.5"/>
    <n v="0.5"/>
    <n v="1967"/>
    <x v="0"/>
    <m/>
    <s v="Printed"/>
    <x v="22"/>
    <x v="463"/>
  </r>
  <r>
    <n v="820"/>
    <s v="Dine In (RADHIKA MAAM)"/>
    <s v="Dine In"/>
    <m/>
    <m/>
    <m/>
    <m/>
    <m/>
    <m/>
    <s v="Creamy Pesto, Grilled Meaty Maverick"/>
    <n v="0"/>
    <n v="0"/>
    <n v="0"/>
    <n v="0"/>
    <n v="0"/>
    <n v="0"/>
    <x v="1"/>
    <m/>
    <s v="Printed"/>
    <x v="22"/>
    <x v="481"/>
  </r>
  <r>
    <n v="821"/>
    <s v="Dine In (VIKASH SIR)"/>
    <s v="Dine In"/>
    <m/>
    <m/>
    <m/>
    <m/>
    <m/>
    <m/>
    <s v="Brownie With Ice Cream, Coconut Noir, New York Baked Cheese Cake, Tex-Mex Bowl Grilled Chicken"/>
    <n v="0"/>
    <n v="0"/>
    <n v="0"/>
    <n v="0"/>
    <n v="0"/>
    <n v="0"/>
    <x v="1"/>
    <m/>
    <s v="Printed"/>
    <x v="22"/>
    <x v="482"/>
  </r>
  <r>
    <n v="822"/>
    <s v="Dine In (rahul)"/>
    <s v="Dine In"/>
    <m/>
    <m/>
    <m/>
    <m/>
    <m/>
    <m/>
    <s v="Phoenix Berry"/>
    <n v="325"/>
    <n v="32.5"/>
    <n v="292.5"/>
    <n v="14.62"/>
    <n v="-0.12"/>
    <n v="307"/>
    <x v="2"/>
    <m/>
    <s v="Printed"/>
    <x v="22"/>
    <x v="483"/>
  </r>
  <r>
    <n v="823"/>
    <s v="Dine In (1)"/>
    <s v="Dine In"/>
    <m/>
    <m/>
    <m/>
    <m/>
    <m/>
    <m/>
    <s v="Grilled Meaty Maverick, Pistachio Latte"/>
    <n v="715"/>
    <n v="71.5"/>
    <n v="643.5"/>
    <n v="32.18"/>
    <n v="0.32"/>
    <n v="676"/>
    <x v="2"/>
    <m/>
    <s v="Printed"/>
    <x v="23"/>
    <x v="484"/>
  </r>
  <r>
    <n v="824"/>
    <s v="Dine In (35)"/>
    <s v="Dine In"/>
    <m/>
    <m/>
    <m/>
    <m/>
    <m/>
    <m/>
    <s v="Cappuccino, Extra Dip, Peri Peri Crispy Scouts, Pistachio Latte, The Full House Nachos (Veg)"/>
    <n v="1644"/>
    <n v="0"/>
    <n v="1644"/>
    <n v="80.760000000000005"/>
    <n v="0.24"/>
    <n v="1725"/>
    <x v="2"/>
    <m/>
    <s v="Printed"/>
    <x v="23"/>
    <x v="485"/>
  </r>
  <r>
    <n v="825"/>
    <s v="Dine In (5)"/>
    <s v="Dine In"/>
    <m/>
    <m/>
    <m/>
    <m/>
    <m/>
    <m/>
    <s v="Brown Butter Latte, Cappuccino, Classic Margherita Pizza, Truffle And Parmesan Crispy Scouts"/>
    <n v="1210"/>
    <n v="121"/>
    <n v="1089"/>
    <n v="54.46"/>
    <n v="-0.46"/>
    <n v="1143"/>
    <x v="1"/>
    <m/>
    <s v="Printed"/>
    <x v="23"/>
    <x v="486"/>
  </r>
  <r>
    <n v="826"/>
    <s v="Dine In (15)"/>
    <s v="Dine In"/>
    <m/>
    <m/>
    <m/>
    <m/>
    <m/>
    <m/>
    <s v="Avocado Vanguard, Brown Butter Latte, The Catalyst"/>
    <n v="935"/>
    <n v="0"/>
    <n v="935"/>
    <n v="46.76"/>
    <n v="0.24"/>
    <n v="982"/>
    <x v="0"/>
    <m/>
    <s v="Printed"/>
    <x v="23"/>
    <x v="487"/>
  </r>
  <r>
    <n v="827"/>
    <s v="Dine In (4)"/>
    <s v="Dine In"/>
    <s v="mr ankit m3m"/>
    <n v="9990699415"/>
    <m/>
    <m/>
    <m/>
    <m/>
    <s v="Avocado Vanguard, Classic Crispy Scouts, Grilled Meaty Maverick"/>
    <n v="960"/>
    <n v="144"/>
    <n v="816"/>
    <n v="40.799999999999997"/>
    <n v="0.2"/>
    <n v="857"/>
    <x v="0"/>
    <m/>
    <s v="Printed"/>
    <x v="23"/>
    <x v="488"/>
  </r>
  <r>
    <n v="828"/>
    <s v="Dine In (anurag)"/>
    <s v="Dine In"/>
    <m/>
    <m/>
    <m/>
    <m/>
    <m/>
    <m/>
    <s v="Classic, Classic Bombay Maestro Sandwich, Extra Sourdough Bread, Spicy Chicken Tenders"/>
    <n v="1070"/>
    <n v="107"/>
    <n v="963"/>
    <n v="46.36"/>
    <n v="-0.36"/>
    <n v="1009"/>
    <x v="0"/>
    <m/>
    <s v="Printed"/>
    <x v="23"/>
    <x v="489"/>
  </r>
  <r>
    <n v="829"/>
    <s v="Dine In (3)"/>
    <s v="Dine In"/>
    <m/>
    <m/>
    <m/>
    <m/>
    <m/>
    <m/>
    <s v="Classic Margherita Pizza, Ginger Cookie, New Classic Hot Chocolate"/>
    <n v="889"/>
    <n v="88.9"/>
    <n v="800.1"/>
    <n v="40"/>
    <n v="-0.1"/>
    <n v="840"/>
    <x v="2"/>
    <m/>
    <s v="Printed"/>
    <x v="23"/>
    <x v="490"/>
  </r>
  <r>
    <n v="830"/>
    <s v="Dine In (5)"/>
    <s v="Dine In"/>
    <m/>
    <m/>
    <m/>
    <m/>
    <m/>
    <m/>
    <s v="Ginger Cookie, Pistachio Latte, The Full House Nachos (Veg)"/>
    <n v="734"/>
    <n v="73.400000000000006"/>
    <n v="660.6"/>
    <n v="33.04"/>
    <n v="0.36"/>
    <n v="694"/>
    <x v="2"/>
    <m/>
    <s v="Printed"/>
    <x v="23"/>
    <x v="491"/>
  </r>
  <r>
    <n v="831"/>
    <s v="Dine In (11)"/>
    <s v="Dine In"/>
    <m/>
    <m/>
    <m/>
    <m/>
    <m/>
    <m/>
    <s v="Classic Hot Chocolate, The Bruschetta Bards, Tiramisu Hot Chocolate, Veg Quesadilla"/>
    <n v="1655"/>
    <n v="165.5"/>
    <n v="1489.5"/>
    <n v="74.48"/>
    <n v="0.02"/>
    <n v="1564"/>
    <x v="0"/>
    <m/>
    <s v="Printed"/>
    <x v="23"/>
    <x v="492"/>
  </r>
  <r>
    <n v="832"/>
    <s v="Dine In (SHAKHINA)"/>
    <s v="Dine In"/>
    <m/>
    <m/>
    <m/>
    <m/>
    <m/>
    <m/>
    <s v="Mushroom Alfredo, Tex-Mex Bowl Grilled Chicken"/>
    <n v="920"/>
    <n v="0"/>
    <n v="920"/>
    <n v="46"/>
    <n v="0"/>
    <n v="966"/>
    <x v="2"/>
    <m/>
    <s v="Printed"/>
    <x v="23"/>
    <x v="493"/>
  </r>
  <r>
    <n v="833"/>
    <s v="Dine In (5)"/>
    <s v="Dine In"/>
    <m/>
    <m/>
    <m/>
    <m/>
    <m/>
    <m/>
    <s v="Aglio Olio, Chicken Conqueror Burger, Roasted Tomato &amp; Basil"/>
    <n v="1155"/>
    <n v="115.5"/>
    <n v="1039.5"/>
    <n v="51.98"/>
    <n v="-0.48"/>
    <n v="1091"/>
    <x v="2"/>
    <m/>
    <s v="Printed"/>
    <x v="23"/>
    <x v="494"/>
  </r>
  <r>
    <n v="834"/>
    <s v="Dine In (6)"/>
    <s v="Dine In"/>
    <m/>
    <m/>
    <m/>
    <m/>
    <m/>
    <m/>
    <s v="Cappuccino, Chocolate Chip Pancakes, Claasic Cold Coffee, Classic Bombay Maestro Sandwich, Classic Scrambled Eggs, Cream Of Chicken &amp; Leek, Ratatouille Bunny Chow, Salsa Rose"/>
    <n v="3295"/>
    <n v="329.5"/>
    <n v="2965.5"/>
    <n v="148.28"/>
    <n v="0.22"/>
    <n v="3114"/>
    <x v="0"/>
    <m/>
    <s v="Printed"/>
    <x v="23"/>
    <x v="495"/>
  </r>
  <r>
    <n v="835"/>
    <s v="Dine In (4)"/>
    <s v="Dine In"/>
    <m/>
    <m/>
    <m/>
    <m/>
    <m/>
    <m/>
    <s v="Aglio Olio, Burrata Baron Pizza, Classic Hot Chocolate, Middle-East Meetup"/>
    <n v="1880"/>
    <n v="188"/>
    <n v="1692"/>
    <n v="84.6"/>
    <n v="0.4"/>
    <n v="1777"/>
    <x v="1"/>
    <m/>
    <s v="Printed"/>
    <x v="23"/>
    <x v="496"/>
  </r>
  <r>
    <n v="836"/>
    <s v="Dine In (15)"/>
    <s v="Dine In"/>
    <m/>
    <m/>
    <m/>
    <m/>
    <m/>
    <m/>
    <s v="Gaming Charges (1_hr)"/>
    <n v="244"/>
    <n v="0"/>
    <n v="244"/>
    <n v="43.92"/>
    <n v="0.08"/>
    <n v="288"/>
    <x v="2"/>
    <m/>
    <s v="Printed"/>
    <x v="23"/>
    <x v="318"/>
  </r>
  <r>
    <n v="837"/>
    <s v="Dine In (12)"/>
    <s v="Dine In"/>
    <m/>
    <m/>
    <m/>
    <m/>
    <m/>
    <m/>
    <s v="Brown Butter Latte, Classic Crispy Scouts, Extra Oat Milk, Middle-East Meetup, New York Baked Cheese Cake, Sunny Side Up, The Full House Nachos (Veg), Water Bottle"/>
    <n v="2649"/>
    <n v="264.89999999999998"/>
    <n v="2384.1"/>
    <n v="111.16"/>
    <n v="-0.26"/>
    <n v="2495"/>
    <x v="4"/>
    <m/>
    <s v="Printed"/>
    <x v="23"/>
    <x v="497"/>
  </r>
  <r>
    <n v="838"/>
    <s v="Dine In (SNEHA)"/>
    <s v="Dine In"/>
    <m/>
    <m/>
    <m/>
    <m/>
    <m/>
    <m/>
    <s v="Cream Of Chicken &amp; Leek"/>
    <n v="320"/>
    <n v="0"/>
    <n v="320"/>
    <n v="16"/>
    <n v="0"/>
    <n v="336"/>
    <x v="2"/>
    <m/>
    <s v="Printed"/>
    <x v="23"/>
    <x v="498"/>
  </r>
  <r>
    <n v="839"/>
    <s v="Dine In (NIKHIL)"/>
    <s v="Dine In"/>
    <m/>
    <m/>
    <m/>
    <m/>
    <m/>
    <m/>
    <s v="Secret Mocha"/>
    <n v="280"/>
    <n v="0"/>
    <n v="280"/>
    <n v="14"/>
    <n v="0"/>
    <n v="294"/>
    <x v="0"/>
    <m/>
    <s v="Printed"/>
    <x v="23"/>
    <x v="499"/>
  </r>
  <r>
    <n v="840"/>
    <s v="Dine In (15)"/>
    <s v="Dine In"/>
    <m/>
    <m/>
    <m/>
    <m/>
    <m/>
    <m/>
    <s v="Gaming Charges (1_hr)"/>
    <n v="122"/>
    <n v="0"/>
    <n v="122"/>
    <n v="21.96"/>
    <n v="0.04"/>
    <n v="144"/>
    <x v="2"/>
    <m/>
    <s v="Printed"/>
    <x v="23"/>
    <x v="500"/>
  </r>
  <r>
    <n v="841"/>
    <s v="Dine In (14)"/>
    <s v="Dine In"/>
    <m/>
    <m/>
    <m/>
    <m/>
    <m/>
    <m/>
    <s v="Gaming Charges (1_hr)"/>
    <n v="122"/>
    <n v="0"/>
    <n v="122"/>
    <n v="21.96"/>
    <n v="0.04"/>
    <n v="144"/>
    <x v="2"/>
    <m/>
    <s v="Printed"/>
    <x v="23"/>
    <x v="340"/>
  </r>
  <r>
    <n v="842"/>
    <s v="Dine In (jay)"/>
    <s v="Dine In"/>
    <m/>
    <m/>
    <m/>
    <m/>
    <m/>
    <m/>
    <s v="Cappuccino, Peri Peri Crispy Scouts"/>
    <n v="440"/>
    <n v="0"/>
    <n v="440"/>
    <n v="22"/>
    <n v="0"/>
    <n v="462"/>
    <x v="2"/>
    <m/>
    <s v="Printed"/>
    <x v="23"/>
    <x v="501"/>
  </r>
  <r>
    <n v="843"/>
    <s v="Dine In (PARTIK)"/>
    <s v="Dine In"/>
    <m/>
    <m/>
    <m/>
    <m/>
    <m/>
    <m/>
    <s v="New Classic Hot Chocolate"/>
    <n v="405"/>
    <n v="0"/>
    <n v="405"/>
    <n v="20.260000000000002"/>
    <n v="-0.26"/>
    <n v="425"/>
    <x v="0"/>
    <m/>
    <s v="Printed"/>
    <x v="23"/>
    <x v="35"/>
  </r>
  <r>
    <n v="844"/>
    <s v="Dine In (3)"/>
    <s v="Dine In"/>
    <m/>
    <m/>
    <m/>
    <m/>
    <m/>
    <m/>
    <s v="Brownie With Ice Cream, Chicken Stroganoff Bunnychow, Grilled Chicken, Roasted Tomato &amp; Basil, Thukpa Chicken"/>
    <n v="3059"/>
    <n v="305.89999999999998"/>
    <n v="2753.1"/>
    <n v="137.66"/>
    <n v="0.24"/>
    <n v="2891"/>
    <x v="0"/>
    <m/>
    <s v="Printed"/>
    <x v="23"/>
    <x v="502"/>
  </r>
  <r>
    <n v="845"/>
    <s v="Dine In (10)"/>
    <s v="Dine In"/>
    <m/>
    <m/>
    <m/>
    <m/>
    <m/>
    <m/>
    <s v="Cinnamon Hot Chocolate, Classic Margherita Pizza, Mushroom Alfredo, New Classic Hot Chocolate, Peri Peri Crispy Scouts, Pinefire, Rainbow Roll Pizza, Tiramisu Hot Chocolate, Veg Quesadilla, Water Bottle"/>
    <n v="4520"/>
    <n v="0"/>
    <n v="4520"/>
    <n v="220"/>
    <n v="0"/>
    <n v="4740"/>
    <x v="4"/>
    <m/>
    <s v="Printed"/>
    <x v="23"/>
    <x v="503"/>
  </r>
  <r>
    <n v="846"/>
    <s v="Dine In (12)"/>
    <s v="Dine In"/>
    <m/>
    <m/>
    <m/>
    <m/>
    <m/>
    <m/>
    <s v="Brown Butter Latte, Grilled Meaty Maverick, Mushroom Alfredo"/>
    <n v="1140"/>
    <n v="0"/>
    <n v="1140"/>
    <n v="57"/>
    <n v="0"/>
    <n v="1197"/>
    <x v="4"/>
    <m/>
    <s v="Printed"/>
    <x v="23"/>
    <x v="504"/>
  </r>
  <r>
    <n v="847"/>
    <s v="Dine In (sidhant sir)"/>
    <s v="Dine In"/>
    <m/>
    <m/>
    <m/>
    <m/>
    <m/>
    <m/>
    <s v="Cappuccino, Classic Hot Chocolate, Cookies - Cookie Of The Week, Extra Prawns, Ginger Cookie, Grilled Chicken"/>
    <n v="1982"/>
    <n v="0"/>
    <n v="1982"/>
    <n v="81.099999999999994"/>
    <n v="-0.1"/>
    <n v="2063"/>
    <x v="0"/>
    <m/>
    <s v="Printed"/>
    <x v="23"/>
    <x v="505"/>
  </r>
  <r>
    <n v="848"/>
    <s v="Dine In (radhika maam)"/>
    <s v="Dine In"/>
    <m/>
    <m/>
    <m/>
    <m/>
    <m/>
    <m/>
    <s v="Classic Hot Chocolate, Mushroom Marauders Bruschetta"/>
    <n v="0"/>
    <n v="0"/>
    <n v="0"/>
    <n v="0"/>
    <n v="0"/>
    <n v="0"/>
    <x v="1"/>
    <m/>
    <s v="Printed"/>
    <x v="23"/>
    <x v="506"/>
  </r>
  <r>
    <n v="849"/>
    <s v="Dine In (VIKASH SIR)"/>
    <s v="Dine In"/>
    <m/>
    <m/>
    <m/>
    <m/>
    <m/>
    <m/>
    <s v="Cappuccino, Classic Hot Chocolate, Extra Prawns, Grilled Chicken"/>
    <n v="0"/>
    <n v="0"/>
    <n v="0"/>
    <n v="0"/>
    <n v="0"/>
    <n v="0"/>
    <x v="1"/>
    <m/>
    <s v="Printed"/>
    <x v="23"/>
    <x v="507"/>
  </r>
  <r>
    <n v="850"/>
    <s v="Dine In (1)"/>
    <s v="Dine In"/>
    <m/>
    <m/>
    <m/>
    <m/>
    <m/>
    <m/>
    <s v="Asian Bowl Hot Garlic Stir Fry Chicken, Brownie With Ice Cream, Caesar Commander, Cafe Mocha, Carbonara, Classic Garlic Gambit, Classic Lemon Ice Tea, Cream Of Chicken &amp; Leek, Garlic Pepper Chicken Pizza, Grilled Meaty Maverick, Peri Peri Crispy Scouts, The Full House Nachos (Chicken), Thukpa Chicken"/>
    <n v="5694"/>
    <n v="854.1"/>
    <n v="4839.8999999999996"/>
    <n v="242"/>
    <n v="0.1"/>
    <n v="0"/>
    <x v="3"/>
    <s v="Total : 5082.00"/>
    <s v="Printed"/>
    <x v="24"/>
    <x v="508"/>
  </r>
  <r>
    <n v="851"/>
    <s v="Dine In (2)"/>
    <s v="Dine In"/>
    <m/>
    <m/>
    <m/>
    <m/>
    <m/>
    <m/>
    <s v="Aglio Olio, Brown Butter Latte, Classic Hot Chocolate, Classic Margherita Pizza, Lebanese Chicken Pizza, Pinefire"/>
    <n v="2190"/>
    <n v="219"/>
    <n v="1971"/>
    <n v="98.56"/>
    <n v="0.44"/>
    <n v="2070"/>
    <x v="0"/>
    <m/>
    <s v="Printed"/>
    <x v="24"/>
    <x v="509"/>
  </r>
  <r>
    <n v="852"/>
    <s v="Dine In (5)"/>
    <s v="Dine In"/>
    <m/>
    <m/>
    <m/>
    <m/>
    <m/>
    <m/>
    <s v="Aurora Engine, Buffalo Chicken Wings With Ranch Dip, Grilled Chicken, Iced Americano, Iced Mocha"/>
    <n v="1970"/>
    <n v="197"/>
    <n v="1773"/>
    <n v="88.66"/>
    <n v="0.34"/>
    <n v="1862"/>
    <x v="1"/>
    <m/>
    <s v="Printed"/>
    <x v="24"/>
    <x v="510"/>
  </r>
  <r>
    <n v="853"/>
    <s v="Dine In (umesh)"/>
    <s v="Dine In"/>
    <s v="umesh"/>
    <m/>
    <m/>
    <m/>
    <m/>
    <m/>
    <s v="Cafe Mocha, Middle-East Meetup"/>
    <n v="660"/>
    <n v="0"/>
    <n v="660"/>
    <n v="33"/>
    <n v="0"/>
    <n v="693"/>
    <x v="2"/>
    <m/>
    <s v="Printed"/>
    <x v="24"/>
    <x v="511"/>
  </r>
  <r>
    <n v="854"/>
    <s v="Dine In (6)"/>
    <s v="Dine In"/>
    <m/>
    <m/>
    <m/>
    <m/>
    <m/>
    <m/>
    <s v="Brown Butter Latte, Captain Fish Fingers, Egg French Omelette, Jackfruit Jester Burger, Mana Mint, Red Knight"/>
    <n v="1910"/>
    <n v="191"/>
    <n v="1719"/>
    <n v="85.96"/>
    <n v="0.04"/>
    <n v="1805"/>
    <x v="2"/>
    <m/>
    <s v="Printed"/>
    <x v="24"/>
    <x v="512"/>
  </r>
  <r>
    <n v="855"/>
    <s v="Dine In (3)"/>
    <s v="Dine In"/>
    <m/>
    <m/>
    <m/>
    <m/>
    <m/>
    <m/>
    <s v="Cafe Mocha, Crimson Hex, Peri Peri Crispy Scouts, Salsa Rose, The Bruschetta Bards"/>
    <n v="1400"/>
    <n v="0"/>
    <n v="1400"/>
    <n v="70"/>
    <n v="0"/>
    <n v="1470"/>
    <x v="0"/>
    <m/>
    <s v="Printed"/>
    <x v="24"/>
    <x v="513"/>
  </r>
  <r>
    <n v="856"/>
    <s v="Dine In (unati)"/>
    <s v="Dine In"/>
    <s v="unati"/>
    <m/>
    <m/>
    <m/>
    <m/>
    <m/>
    <s v="Roasted Tomato &amp; Basil, Salsa Rose, Veg Quesadilla"/>
    <n v="1330"/>
    <n v="133"/>
    <n v="1197"/>
    <n v="59.86"/>
    <n v="0.14000000000000001"/>
    <n v="1257"/>
    <x v="2"/>
    <m/>
    <s v="Printed"/>
    <x v="24"/>
    <x v="514"/>
  </r>
  <r>
    <n v="857"/>
    <s v="Dine In (6)"/>
    <s v="Dine In"/>
    <m/>
    <m/>
    <m/>
    <m/>
    <m/>
    <m/>
    <s v="Creamy Pesto, Pesto Sandwich"/>
    <n v="800"/>
    <n v="80"/>
    <n v="720"/>
    <n v="36"/>
    <n v="0"/>
    <n v="756"/>
    <x v="1"/>
    <m/>
    <s v="Printed"/>
    <x v="24"/>
    <x v="515"/>
  </r>
  <r>
    <n v="858"/>
    <s v="Dine In (1)"/>
    <s v="Dine In"/>
    <m/>
    <m/>
    <m/>
    <m/>
    <m/>
    <m/>
    <s v="Brown Butter Latte, Claasic Cold Coffee, Classic Hot Chocolate, Jackfruit Jester Burger, New York Baked Cheese Cake, Peri Peri Crispy Scouts, Pinefire, Salsa Rose, Secret Mocha, Tex-Mex Bowl With Cottage Cheese (V), Veg Quesadilla"/>
    <n v="4705"/>
    <n v="470.5"/>
    <n v="4234.5"/>
    <n v="211.72"/>
    <n v="-0.22"/>
    <n v="4446"/>
    <x v="0"/>
    <m/>
    <s v="Printed"/>
    <x v="24"/>
    <x v="516"/>
  </r>
  <r>
    <n v="859"/>
    <s v="Dine In (2)"/>
    <s v="Dine In"/>
    <m/>
    <m/>
    <m/>
    <m/>
    <m/>
    <m/>
    <s v="Classic Hot Chocolate, Garlic Pepper Chicken Pizza, Spicy Chicken Tenders"/>
    <n v="1235"/>
    <n v="0"/>
    <n v="1235"/>
    <n v="61.76"/>
    <n v="0.24"/>
    <n v="1297"/>
    <x v="2"/>
    <m/>
    <s v="Printed"/>
    <x v="24"/>
    <x v="517"/>
  </r>
  <r>
    <n v="860"/>
    <s v="Dine In (5)"/>
    <s v="Dine In"/>
    <m/>
    <m/>
    <m/>
    <m/>
    <m/>
    <m/>
    <s v="Phoenix Berry, Salsa Rose"/>
    <n v="750"/>
    <n v="0"/>
    <n v="750"/>
    <n v="37.5"/>
    <n v="0.5"/>
    <n v="788"/>
    <x v="0"/>
    <m/>
    <s v="Printed"/>
    <x v="24"/>
    <x v="518"/>
  </r>
  <r>
    <n v="861"/>
    <s v="Dine In (4)"/>
    <s v="Dine In"/>
    <m/>
    <m/>
    <m/>
    <m/>
    <m/>
    <m/>
    <s v="Cappuccino, Grilled Meaty Maverick, Peri Peri Cottage Cheese Pizza"/>
    <n v="1265"/>
    <n v="0"/>
    <n v="1265"/>
    <n v="63.26"/>
    <n v="-0.26"/>
    <n v="1328"/>
    <x v="2"/>
    <m/>
    <s v="Printed"/>
    <x v="24"/>
    <x v="519"/>
  </r>
  <r>
    <n v="862"/>
    <s v="Dine In (15)"/>
    <s v="Dine In"/>
    <m/>
    <m/>
    <m/>
    <m/>
    <m/>
    <m/>
    <s v="Mushroom Alfredo"/>
    <n v="425"/>
    <n v="0"/>
    <n v="425"/>
    <n v="21.26"/>
    <n v="-0.26"/>
    <n v="446"/>
    <x v="1"/>
    <m/>
    <s v="Printed"/>
    <x v="24"/>
    <x v="520"/>
  </r>
  <r>
    <n v="863"/>
    <s v="Dine In (sinilika)"/>
    <s v="Dine In"/>
    <s v="sinilika"/>
    <m/>
    <m/>
    <m/>
    <m/>
    <m/>
    <s v="Cappuccino, Rainbow Roll Pizza, Tiramisu Hot Chocolate, Water Bottle"/>
    <n v="1185"/>
    <n v="0"/>
    <n v="1185"/>
    <n v="56.26"/>
    <n v="-0.26"/>
    <n v="1241"/>
    <x v="1"/>
    <m/>
    <s v="Printed"/>
    <x v="24"/>
    <x v="521"/>
  </r>
  <r>
    <n v="864"/>
    <s v="Dine In (7)"/>
    <s v="Dine In"/>
    <m/>
    <m/>
    <m/>
    <m/>
    <m/>
    <m/>
    <s v="New Classic Hot Chocolate, Rainbow Roll Pizza, Tiramisu Hot Chocolate"/>
    <n v="1280"/>
    <n v="0"/>
    <n v="1280"/>
    <n v="64"/>
    <n v="0"/>
    <n v="1344"/>
    <x v="0"/>
    <m/>
    <s v="Printed"/>
    <x v="24"/>
    <x v="522"/>
  </r>
  <r>
    <n v="865"/>
    <s v="Dine In (garden)"/>
    <s v="Dine In"/>
    <m/>
    <m/>
    <m/>
    <m/>
    <m/>
    <m/>
    <s v="Hot Americano, Secret Mocha"/>
    <n v="500"/>
    <n v="0"/>
    <n v="500"/>
    <n v="25"/>
    <n v="0"/>
    <n v="525"/>
    <x v="0"/>
    <m/>
    <s v="Printed"/>
    <x v="24"/>
    <x v="523"/>
  </r>
  <r>
    <n v="866"/>
    <s v="Dine In (5)"/>
    <s v="Dine In"/>
    <m/>
    <m/>
    <m/>
    <m/>
    <m/>
    <m/>
    <s v="Cappuccino, Classic Garlic Gambit, Iced Coconut Oat Matcha Latte"/>
    <n v="745"/>
    <n v="0"/>
    <n v="745"/>
    <n v="37.26"/>
    <n v="-0.26"/>
    <n v="782"/>
    <x v="2"/>
    <m/>
    <s v="Printed"/>
    <x v="24"/>
    <x v="524"/>
  </r>
  <r>
    <n v="867"/>
    <s v="Dine In (4)"/>
    <s v="Dine In"/>
    <m/>
    <m/>
    <m/>
    <m/>
    <m/>
    <m/>
    <s v="Cappuccino, Chicken &amp; Cheese On Toast, Cream Of Chicken &amp; Leek"/>
    <n v="950"/>
    <n v="95"/>
    <n v="855"/>
    <n v="42.76"/>
    <n v="0.24"/>
    <n v="898"/>
    <x v="0"/>
    <m/>
    <s v="Printed"/>
    <x v="24"/>
    <x v="525"/>
  </r>
  <r>
    <n v="868"/>
    <s v="Dine In (9)"/>
    <s v="Dine In"/>
    <m/>
    <m/>
    <m/>
    <m/>
    <m/>
    <m/>
    <s v="Cappuccino, Lebanese Chicken Pizza"/>
    <n v="1020"/>
    <n v="0"/>
    <n v="1020"/>
    <n v="51"/>
    <n v="0"/>
    <n v="1071"/>
    <x v="2"/>
    <m/>
    <s v="Printed"/>
    <x v="24"/>
    <x v="526"/>
  </r>
  <r>
    <n v="869"/>
    <s v="Dine In (1)"/>
    <s v="Dine In"/>
    <m/>
    <m/>
    <m/>
    <m/>
    <m/>
    <m/>
    <s v="Captain Fish Fingers, Classic Garlic Gambit, Classic Hot Chocolate, Egg French Omelette, Ice Latte, Iced Mocha"/>
    <n v="1785"/>
    <n v="178.5"/>
    <n v="1606.5"/>
    <n v="80.319999999999993"/>
    <n v="0.18"/>
    <n v="1687"/>
    <x v="2"/>
    <m/>
    <s v="Printed"/>
    <x v="24"/>
    <x v="527"/>
  </r>
  <r>
    <n v="870"/>
    <s v="Dine In (6)"/>
    <s v="Dine In"/>
    <m/>
    <m/>
    <m/>
    <m/>
    <m/>
    <m/>
    <s v="Classic Hot Chocolate, Peri Peri Crispy Scouts, Rainbow Roll Pizza, Roasted Tomato &amp; Basil"/>
    <n v="1245"/>
    <n v="124.5"/>
    <n v="1120.5"/>
    <n v="56.02"/>
    <n v="0.48"/>
    <n v="1177"/>
    <x v="0"/>
    <m/>
    <s v="Printed"/>
    <x v="24"/>
    <x v="528"/>
  </r>
  <r>
    <n v="871"/>
    <s v="Dine In (5)"/>
    <s v="Dine In"/>
    <m/>
    <m/>
    <m/>
    <m/>
    <m/>
    <m/>
    <s v="Biscoff Shake, Secret Mocha"/>
    <n v="640"/>
    <n v="0"/>
    <n v="640"/>
    <n v="32"/>
    <n v="0"/>
    <n v="672"/>
    <x v="4"/>
    <m/>
    <s v="Printed"/>
    <x v="24"/>
    <x v="529"/>
  </r>
  <r>
    <n v="872"/>
    <s v="Dine In (GEETIKA)"/>
    <s v="Dine In"/>
    <m/>
    <m/>
    <m/>
    <m/>
    <m/>
    <m/>
    <s v="Mushroom Alfredo, Semolina And Pistachio Teacakes, Sour Cream And Onion Crispy Scouts"/>
    <n v="805"/>
    <n v="0"/>
    <n v="805"/>
    <n v="40.26"/>
    <n v="-0.26"/>
    <n v="845"/>
    <x v="2"/>
    <m/>
    <s v="Printed"/>
    <x v="24"/>
    <x v="530"/>
  </r>
  <r>
    <n v="873"/>
    <s v="Dine In (10)"/>
    <s v="Dine In"/>
    <m/>
    <m/>
    <m/>
    <m/>
    <m/>
    <m/>
    <s v="Cafe Mocha, Mushroom Marauders Bruschetta"/>
    <n v="600"/>
    <n v="60"/>
    <n v="540"/>
    <n v="27"/>
    <n v="0"/>
    <n v="567"/>
    <x v="0"/>
    <m/>
    <s v="Printed"/>
    <x v="24"/>
    <x v="531"/>
  </r>
  <r>
    <n v="874"/>
    <s v="Dine In (5)"/>
    <s v="Dine In"/>
    <m/>
    <m/>
    <m/>
    <m/>
    <m/>
    <m/>
    <s v="Burnt Garlic &amp; Cauliflower, Truffle Mushroom Arancini"/>
    <n v="660"/>
    <n v="66"/>
    <n v="594"/>
    <n v="29.7"/>
    <n v="0.3"/>
    <n v="624"/>
    <x v="2"/>
    <m/>
    <s v="Printed"/>
    <x v="24"/>
    <x v="532"/>
  </r>
  <r>
    <n v="875"/>
    <s v="Dine In (6)"/>
    <s v="Dine In"/>
    <m/>
    <m/>
    <m/>
    <m/>
    <m/>
    <m/>
    <s v="Aglio Olio, Claasic Cold Coffee"/>
    <n v="720"/>
    <n v="72"/>
    <n v="648"/>
    <n v="32.4"/>
    <n v="-0.4"/>
    <n v="680"/>
    <x v="2"/>
    <m/>
    <s v="Printed"/>
    <x v="24"/>
    <x v="533"/>
  </r>
  <r>
    <n v="876"/>
    <s v="Dine In (2)"/>
    <s v="Dine In"/>
    <m/>
    <m/>
    <m/>
    <m/>
    <m/>
    <m/>
    <s v="Buffalo Chicken Wings With Ranch Dip, Captain Fish Fingers, Classic Hot Chocolate, North Sea Storm, Peri Peri Crispy Scouts"/>
    <n v="1940"/>
    <n v="0"/>
    <n v="1940"/>
    <n v="97"/>
    <n v="0"/>
    <n v="2037"/>
    <x v="2"/>
    <m/>
    <s v="Printed"/>
    <x v="24"/>
    <x v="534"/>
  </r>
  <r>
    <n v="877"/>
    <s v="Dine In (4)"/>
    <s v="Dine In"/>
    <m/>
    <m/>
    <m/>
    <m/>
    <m/>
    <m/>
    <s v="Aglio Olio, Sour Cream And Onion Crispy Scouts"/>
    <n v="615"/>
    <n v="0"/>
    <n v="615"/>
    <n v="30.76"/>
    <n v="0.24"/>
    <n v="646"/>
    <x v="2"/>
    <m/>
    <s v="Printed"/>
    <x v="24"/>
    <x v="535"/>
  </r>
  <r>
    <n v="878"/>
    <s v="Dine In (11)"/>
    <s v="Dine In"/>
    <m/>
    <m/>
    <m/>
    <m/>
    <m/>
    <m/>
    <s v="Banana Caramel Waffles, Captain Fish Fingers, Crimson Hex, Hot Americano, Pistachio Latte, Sour Cream And Onion Wrdges Warriors, The Catalyst, Thukpa Chicken"/>
    <n v="2375"/>
    <n v="0"/>
    <n v="2375"/>
    <n v="118.76"/>
    <n v="0.24"/>
    <n v="2494"/>
    <x v="0"/>
    <m/>
    <s v="Printed"/>
    <x v="24"/>
    <x v="536"/>
  </r>
  <r>
    <n v="879"/>
    <s v="Dine In (akshay)"/>
    <s v="Dine In"/>
    <m/>
    <m/>
    <m/>
    <m/>
    <m/>
    <m/>
    <s v="Brown Butter Latte"/>
    <n v="295"/>
    <n v="0"/>
    <n v="295"/>
    <n v="14.76"/>
    <n v="0.24"/>
    <n v="310"/>
    <x v="4"/>
    <m/>
    <s v="Printed"/>
    <x v="24"/>
    <x v="537"/>
  </r>
  <r>
    <n v="880"/>
    <s v="Dine In (3)"/>
    <s v="Dine In"/>
    <m/>
    <m/>
    <m/>
    <m/>
    <m/>
    <m/>
    <s v="Classic Bombay Maestro Sandwich, Peri Peri Cottage Cheese Pizza, Phoenix Berry, Salsa Rose, The Bruschetta Bards, Truffle Mushroom Arancini"/>
    <n v="2355"/>
    <n v="0"/>
    <n v="2355"/>
    <n v="117.76"/>
    <n v="0.24"/>
    <n v="2473"/>
    <x v="4"/>
    <m/>
    <s v="Printed"/>
    <x v="24"/>
    <x v="331"/>
  </r>
  <r>
    <n v="881"/>
    <s v="Dine In (1)"/>
    <s v="Dine In"/>
    <m/>
    <m/>
    <m/>
    <m/>
    <m/>
    <m/>
    <s v="Espresso Tiramisu, New Classic Hot Chocolate, Thukpa Vegan, Vanilla And Cocoa Marble Teacakes"/>
    <n v="1635"/>
    <n v="163.5"/>
    <n v="1471.5"/>
    <n v="73.58"/>
    <n v="-0.08"/>
    <n v="1545"/>
    <x v="1"/>
    <m/>
    <s v="Printed"/>
    <x v="24"/>
    <x v="538"/>
  </r>
  <r>
    <n v="882"/>
    <s v="Dine In (tapan)"/>
    <s v="Dine In"/>
    <m/>
    <m/>
    <m/>
    <m/>
    <m/>
    <m/>
    <s v="Classic Hot Chocolate"/>
    <n v="325"/>
    <n v="32.5"/>
    <n v="292.5"/>
    <n v="14.62"/>
    <n v="-0.12"/>
    <n v="307"/>
    <x v="2"/>
    <m/>
    <s v="Printed"/>
    <x v="24"/>
    <x v="539"/>
  </r>
  <r>
    <n v="883"/>
    <s v="Dine In (NEHA)"/>
    <s v="Dine In"/>
    <m/>
    <m/>
    <m/>
    <m/>
    <m/>
    <m/>
    <s v="Cafe Latte"/>
    <n v="480"/>
    <n v="0"/>
    <n v="480"/>
    <n v="24"/>
    <n v="0"/>
    <n v="504"/>
    <x v="1"/>
    <m/>
    <s v="Printed"/>
    <x v="24"/>
    <x v="540"/>
  </r>
  <r>
    <n v="884"/>
    <s v="Dine In (aakash)"/>
    <s v="Dine In"/>
    <m/>
    <m/>
    <m/>
    <m/>
    <m/>
    <m/>
    <s v="Cappuccino, Mushroom Alfredo, Pesto Sandwich"/>
    <n v="1050"/>
    <n v="105"/>
    <n v="945"/>
    <n v="47.26"/>
    <n v="-0.26"/>
    <n v="992"/>
    <x v="2"/>
    <m/>
    <s v="Printed"/>
    <x v="24"/>
    <x v="541"/>
  </r>
  <r>
    <n v="885"/>
    <s v="Dine In (ranjeet)"/>
    <s v="Dine In"/>
    <s v="ranjeet"/>
    <m/>
    <m/>
    <m/>
    <m/>
    <m/>
    <s v="Cafe Latte, Grilled Fish"/>
    <n v="1035"/>
    <n v="103.5"/>
    <n v="931.5"/>
    <n v="46.58"/>
    <n v="-0.08"/>
    <n v="978"/>
    <x v="2"/>
    <m/>
    <s v="Printed"/>
    <x v="24"/>
    <x v="542"/>
  </r>
  <r>
    <n v="886"/>
    <s v="Dine In (SHRUTI)"/>
    <s v="Dine In"/>
    <m/>
    <m/>
    <m/>
    <m/>
    <m/>
    <m/>
    <s v="Classic Bombay Maestro Sandwich, Classic Garlic Gambit, Classic Hot Chocolate, Middle-East Meetup, Secret Mocha"/>
    <n v="1485"/>
    <n v="148.5"/>
    <n v="1336.5"/>
    <n v="66.819999999999993"/>
    <n v="-0.32"/>
    <n v="1403"/>
    <x v="2"/>
    <m/>
    <s v="Printed"/>
    <x v="24"/>
    <x v="543"/>
  </r>
  <r>
    <n v="887"/>
    <s v="Dine In (bahar ka order)"/>
    <s v="Dine In"/>
    <m/>
    <m/>
    <m/>
    <m/>
    <m/>
    <m/>
    <s v="Chicken &amp; Cheese On Toast, Claasic Cold Coffee, Classic Margherita Pizza"/>
    <n v="1100"/>
    <n v="110"/>
    <n v="990"/>
    <n v="49.5"/>
    <n v="0.5"/>
    <n v="1040"/>
    <x v="1"/>
    <m/>
    <s v="Printed"/>
    <x v="24"/>
    <x v="544"/>
  </r>
  <r>
    <n v="888"/>
    <s v="Dine In (5)"/>
    <s v="Dine In"/>
    <m/>
    <m/>
    <m/>
    <m/>
    <m/>
    <m/>
    <s v="Jackfruit Jester Burger, Mushroom Alfredo, Tex-Mex Bowl With Cottage Cheese (V)"/>
    <n v="1230"/>
    <n v="0"/>
    <n v="1230"/>
    <n v="61.5"/>
    <n v="0.5"/>
    <n v="1292"/>
    <x v="4"/>
    <m/>
    <s v="Printed"/>
    <x v="24"/>
    <x v="545"/>
  </r>
  <r>
    <n v="889"/>
    <s v="Dine In (sivangi)"/>
    <s v="Dine In"/>
    <s v="sivangi"/>
    <m/>
    <m/>
    <m/>
    <m/>
    <m/>
    <s v="Classic Crispy Scouts, Classic Hot Chocolate, Mushroom Alfredo"/>
    <n v="940"/>
    <n v="0"/>
    <n v="940"/>
    <n v="47"/>
    <n v="0"/>
    <n v="987"/>
    <x v="0"/>
    <m/>
    <s v="Printed"/>
    <x v="24"/>
    <x v="546"/>
  </r>
  <r>
    <n v="890"/>
    <s v="Dine In (krish)"/>
    <s v="Dine In"/>
    <m/>
    <m/>
    <m/>
    <m/>
    <m/>
    <m/>
    <s v="Cappuccino, Grilled Fish, Pesto Sandwich"/>
    <n v="1420"/>
    <n v="142"/>
    <n v="1278"/>
    <n v="63.9"/>
    <n v="0.1"/>
    <n v="1342"/>
    <x v="0"/>
    <m/>
    <s v="Printed"/>
    <x v="24"/>
    <x v="547"/>
  </r>
  <r>
    <n v="891"/>
    <s v="Dine In (paaras)"/>
    <s v="Dine In"/>
    <m/>
    <m/>
    <m/>
    <m/>
    <m/>
    <m/>
    <s v="Biscoff Shake"/>
    <n v="360"/>
    <n v="0"/>
    <n v="360"/>
    <n v="18"/>
    <n v="0"/>
    <n v="378"/>
    <x v="2"/>
    <m/>
    <s v="Printed"/>
    <x v="24"/>
    <x v="548"/>
  </r>
  <r>
    <n v="892"/>
    <s v="Dine In (1)"/>
    <s v="Dine In"/>
    <m/>
    <m/>
    <m/>
    <m/>
    <m/>
    <m/>
    <s v="Claasic Cold Coffee, Classic Crispy Scouts, Mushroom Alfredo, Rainbow Roll Pizza"/>
    <n v="1360"/>
    <n v="136"/>
    <n v="1224"/>
    <n v="61.2"/>
    <n v="-0.2"/>
    <n v="1285"/>
    <x v="0"/>
    <m/>
    <s v="Printed"/>
    <x v="24"/>
    <x v="549"/>
  </r>
  <r>
    <n v="893"/>
    <s v="Dine In (VIKASH)"/>
    <s v="Dine In"/>
    <m/>
    <m/>
    <m/>
    <m/>
    <m/>
    <m/>
    <s v="Brownie With Ice Cream, Burnt Garlic &amp; Cauliflower, Mushroom Alfredo, Peri Peri Cottage Cheese Pizza, Peri Peri Crispy Scouts, The Melty Mischief, Veg Quesadilla"/>
    <n v="2814"/>
    <n v="0"/>
    <n v="2814"/>
    <n v="140.69999999999999"/>
    <n v="0.3"/>
    <n v="2955"/>
    <x v="1"/>
    <m/>
    <s v="Printed"/>
    <x v="24"/>
    <x v="550"/>
  </r>
  <r>
    <n v="894"/>
    <s v="Dine In (KARAN)"/>
    <s v="Dine In"/>
    <m/>
    <m/>
    <m/>
    <m/>
    <m/>
    <m/>
    <s v="Arrabbiata Ambush"/>
    <n v="425"/>
    <n v="0"/>
    <n v="425"/>
    <n v="21.26"/>
    <n v="-0.26"/>
    <n v="446"/>
    <x v="0"/>
    <m/>
    <s v="Printed"/>
    <x v="24"/>
    <x v="182"/>
  </r>
  <r>
    <n v="895"/>
    <s v="Dine In (6)"/>
    <s v="Dine In"/>
    <m/>
    <m/>
    <m/>
    <m/>
    <m/>
    <m/>
    <s v="Classic Margherita Pizza"/>
    <n v="425"/>
    <n v="0"/>
    <n v="425"/>
    <n v="21.26"/>
    <n v="-0.26"/>
    <n v="446"/>
    <x v="2"/>
    <m/>
    <s v="Printed"/>
    <x v="24"/>
    <x v="551"/>
  </r>
  <r>
    <n v="896"/>
    <s v="Dine In (YES)"/>
    <s v="Dine In"/>
    <m/>
    <m/>
    <m/>
    <m/>
    <m/>
    <m/>
    <s v="Classic Lemon Ice Tea"/>
    <n v="165"/>
    <n v="0"/>
    <n v="165"/>
    <n v="8.26"/>
    <n v="-0.26"/>
    <n v="173"/>
    <x v="2"/>
    <m/>
    <s v="Printed"/>
    <x v="24"/>
    <x v="552"/>
  </r>
  <r>
    <n v="897"/>
    <s v="Dine In (TARAN)"/>
    <s v="Dine In"/>
    <m/>
    <m/>
    <m/>
    <m/>
    <m/>
    <m/>
    <s v="Classic Lemon Ice Tea, Sour Cream And Onion Crispy Scouts"/>
    <n v="355"/>
    <n v="0"/>
    <n v="355"/>
    <n v="17.760000000000002"/>
    <n v="0.24"/>
    <n v="373"/>
    <x v="0"/>
    <m/>
    <s v="Printed"/>
    <x v="24"/>
    <x v="553"/>
  </r>
  <r>
    <n v="898"/>
    <s v="Dine In (ANKIT)"/>
    <s v="Dine In"/>
    <m/>
    <m/>
    <m/>
    <m/>
    <m/>
    <m/>
    <s v="Chicken Stroganoff Bunnychow, Cream Of Chicken &amp; Leek"/>
    <n v="700"/>
    <n v="70"/>
    <n v="630"/>
    <n v="31.5"/>
    <n v="0.5"/>
    <n v="662"/>
    <x v="2"/>
    <m/>
    <s v="Printed"/>
    <x v="24"/>
    <x v="554"/>
  </r>
  <r>
    <n v="899"/>
    <s v="Dine In (rakesh)"/>
    <s v="Dine In"/>
    <m/>
    <m/>
    <m/>
    <m/>
    <m/>
    <m/>
    <s v="Cappuccino"/>
    <n v="250"/>
    <n v="0"/>
    <n v="250"/>
    <n v="12.5"/>
    <n v="0.5"/>
    <n v="263"/>
    <x v="2"/>
    <m/>
    <s v="Printed"/>
    <x v="24"/>
    <x v="555"/>
  </r>
  <r>
    <n v="900"/>
    <s v="Dine In (jay)"/>
    <s v="Dine In"/>
    <m/>
    <m/>
    <m/>
    <m/>
    <m/>
    <m/>
    <s v="Cappuccino, Middle-East Meetup"/>
    <n v="630"/>
    <n v="0"/>
    <n v="630"/>
    <n v="31.5"/>
    <n v="0.5"/>
    <n v="662"/>
    <x v="2"/>
    <m/>
    <s v="Printed"/>
    <x v="24"/>
    <x v="556"/>
  </r>
  <r>
    <n v="901"/>
    <s v="Dine In (megha)"/>
    <s v="Dine In"/>
    <m/>
    <m/>
    <m/>
    <m/>
    <m/>
    <m/>
    <s v="Cottage Cheese Steak"/>
    <n v="695"/>
    <n v="0"/>
    <n v="695"/>
    <n v="34.76"/>
    <n v="0.24"/>
    <n v="730"/>
    <x v="4"/>
    <m/>
    <s v="Printed"/>
    <x v="24"/>
    <x v="557"/>
  </r>
  <r>
    <n v="902"/>
    <s v="Dine In (TRIPTI)"/>
    <s v="Dine In"/>
    <m/>
    <m/>
    <m/>
    <m/>
    <m/>
    <m/>
    <s v="Thukpa Chicken"/>
    <n v="320"/>
    <n v="0"/>
    <n v="320"/>
    <n v="16"/>
    <n v="0"/>
    <n v="336"/>
    <x v="2"/>
    <m/>
    <s v="Printed"/>
    <x v="24"/>
    <x v="558"/>
  </r>
  <r>
    <n v="903"/>
    <s v="Dine In (LAKSHAY)"/>
    <s v="Dine In"/>
    <m/>
    <m/>
    <m/>
    <m/>
    <m/>
    <m/>
    <s v="Creamy Pesto, Oink Oink  (pepperoni ) Pizza, Stained Sagrada"/>
    <n v="1290"/>
    <n v="0"/>
    <n v="1290"/>
    <n v="64.5"/>
    <n v="0.5"/>
    <n v="1355"/>
    <x v="2"/>
    <m/>
    <s v="Printed"/>
    <x v="24"/>
    <x v="559"/>
  </r>
  <r>
    <n v="904"/>
    <s v="Dine In (rishab)"/>
    <s v="Dine In"/>
    <m/>
    <m/>
    <m/>
    <m/>
    <m/>
    <m/>
    <s v="Cappuccino"/>
    <n v="250"/>
    <n v="0"/>
    <n v="250"/>
    <n v="12.5"/>
    <n v="0.5"/>
    <n v="263"/>
    <x v="2"/>
    <m/>
    <s v="Printed"/>
    <x v="24"/>
    <x v="560"/>
  </r>
  <r>
    <n v="905"/>
    <s v="Dine In (5)"/>
    <s v="Dine In"/>
    <m/>
    <m/>
    <m/>
    <m/>
    <m/>
    <m/>
    <s v="Avocado Vanguard, Brown Butter Latte, Hot Americano, Water Bottle"/>
    <n v="925"/>
    <n v="0"/>
    <n v="925"/>
    <n v="43.26"/>
    <n v="-0.26"/>
    <n v="968"/>
    <x v="4"/>
    <m/>
    <s v="Printed"/>
    <x v="24"/>
    <x v="561"/>
  </r>
  <r>
    <n v="906"/>
    <s v="Dine In (4)"/>
    <s v="Dine In"/>
    <m/>
    <m/>
    <m/>
    <m/>
    <m/>
    <m/>
    <s v="Arrabbiata Ambush, Classical Chicken Stroganoff, Creamy Pesto, Crimson Hex, Pinefire"/>
    <n v="2330"/>
    <n v="349.5"/>
    <n v="1980.5"/>
    <n v="99.02"/>
    <n v="0.48"/>
    <n v="2080"/>
    <x v="2"/>
    <m/>
    <s v="Printed"/>
    <x v="24"/>
    <x v="562"/>
  </r>
  <r>
    <n v="907"/>
    <s v="Dine In (3)"/>
    <s v="Dine In"/>
    <m/>
    <m/>
    <m/>
    <m/>
    <m/>
    <m/>
    <s v="Espresso Tiramisu"/>
    <n v="345"/>
    <n v="0"/>
    <n v="345"/>
    <n v="17.260000000000002"/>
    <n v="-0.26"/>
    <n v="362"/>
    <x v="2"/>
    <m/>
    <s v="Printed"/>
    <x v="24"/>
    <x v="483"/>
  </r>
  <r>
    <n v="908"/>
    <s v="Dine In (dhruv)"/>
    <s v="Dine In"/>
    <m/>
    <m/>
    <m/>
    <m/>
    <m/>
    <m/>
    <s v="Peri Peri Crispy Scouts"/>
    <n v="190"/>
    <n v="0"/>
    <n v="190"/>
    <n v="9.5"/>
    <n v="0.5"/>
    <n v="200"/>
    <x v="2"/>
    <m/>
    <s v="Printed"/>
    <x v="24"/>
    <x v="563"/>
  </r>
  <r>
    <n v="909"/>
    <s v="Dine In (arpit)"/>
    <s v="Dine In"/>
    <m/>
    <m/>
    <m/>
    <m/>
    <m/>
    <m/>
    <s v="Mana Mint"/>
    <n v="315"/>
    <n v="0"/>
    <n v="315"/>
    <n v="15.76"/>
    <n v="0.24"/>
    <n v="331"/>
    <x v="0"/>
    <m/>
    <s v="Printed"/>
    <x v="24"/>
    <x v="564"/>
  </r>
  <r>
    <n v="910"/>
    <s v="Dine In (6)"/>
    <s v="Dine In"/>
    <m/>
    <m/>
    <m/>
    <m/>
    <m/>
    <m/>
    <s v="Aglio Olio, Avocado Vanguard, Classic Wrdges Warriors, Honey Cinnamon Cold Brew, New York Baked Cheese Cake, The Feta Scribe"/>
    <n v="1910"/>
    <n v="191"/>
    <n v="1719"/>
    <n v="85.96"/>
    <n v="0.04"/>
    <n v="1805"/>
    <x v="1"/>
    <m/>
    <s v="Printed"/>
    <x v="24"/>
    <x v="565"/>
  </r>
  <r>
    <n v="911"/>
    <s v="Dine In (MR sidhart sir)"/>
    <s v="Dine In"/>
    <s v="MR sidhart sir"/>
    <n v="9536971573"/>
    <m/>
    <m/>
    <m/>
    <m/>
    <s v="Chicken &amp; Cheese On Toast, Chicken Stroganoff Bunnychow, Honey Cinnamon Cold Brew, Iced Americano, Salsa Rose, Stained Sagrada, The Full House Nachos (Veg)"/>
    <n v="2750"/>
    <n v="0"/>
    <n v="2750"/>
    <n v="137.5"/>
    <n v="0.5"/>
    <n v="2888"/>
    <x v="0"/>
    <m/>
    <s v="Printed"/>
    <x v="24"/>
    <x v="566"/>
  </r>
  <r>
    <n v="912"/>
    <s v="Dine In (FOOD BLOGGER)"/>
    <s v="Dine In"/>
    <s v="PHOTO SURT"/>
    <m/>
    <m/>
    <m/>
    <m/>
    <m/>
    <s v="Honey Cinnamon Cold Brew, Ratatouille Bunny Chow"/>
    <n v="0"/>
    <n v="0"/>
    <n v="0"/>
    <n v="0"/>
    <n v="0"/>
    <n v="0"/>
    <x v="1"/>
    <m/>
    <s v="Printed"/>
    <x v="24"/>
    <x v="567"/>
  </r>
  <r>
    <n v="913"/>
    <s v="Dine In (VIKASH SIR)"/>
    <s v="Dine In"/>
    <m/>
    <m/>
    <m/>
    <m/>
    <m/>
    <m/>
    <s v="Cappuccino"/>
    <n v="0"/>
    <n v="0"/>
    <n v="0"/>
    <n v="0"/>
    <n v="0"/>
    <n v="0"/>
    <x v="1"/>
    <m/>
    <s v="Printed"/>
    <x v="24"/>
    <x v="568"/>
  </r>
  <r>
    <n v="914"/>
    <s v="Dine In (VISAKHA)"/>
    <s v="Dine In"/>
    <s v="VISAKHA"/>
    <m/>
    <m/>
    <m/>
    <m/>
    <m/>
    <s v="Avocado Vanguard, Cinnamon Hot Chocolate, Rainbow Roll Pizza, Salsa Rose, Tex-Mex Bowl Grilled Chicken"/>
    <n v="0"/>
    <n v="0"/>
    <n v="0"/>
    <n v="0"/>
    <n v="0"/>
    <n v="0"/>
    <x v="1"/>
    <m/>
    <s v="Printed"/>
    <x v="24"/>
    <x v="569"/>
  </r>
  <r>
    <n v="915"/>
    <s v="Dine In (radhika mem)"/>
    <s v="Dine In"/>
    <m/>
    <m/>
    <m/>
    <m/>
    <m/>
    <m/>
    <s v="Cottage Cheese Steak"/>
    <n v="0"/>
    <n v="0"/>
    <n v="0"/>
    <n v="0"/>
    <n v="0"/>
    <n v="0"/>
    <x v="1"/>
    <m/>
    <s v="Printed"/>
    <x v="24"/>
    <x v="570"/>
  </r>
  <r>
    <n v="916"/>
    <s v="Dine In (1)"/>
    <s v="Dine In"/>
    <m/>
    <m/>
    <m/>
    <m/>
    <m/>
    <m/>
    <s v="Gaming Charge"/>
    <n v="169"/>
    <n v="0"/>
    <n v="169"/>
    <n v="30.42"/>
    <n v="-0.42"/>
    <n v="199"/>
    <x v="2"/>
    <m/>
    <s v="Printed"/>
    <x v="24"/>
    <x v="571"/>
  </r>
  <r>
    <n v="917"/>
    <s v="Dine In (5)"/>
    <s v="Dine In"/>
    <m/>
    <m/>
    <m/>
    <m/>
    <m/>
    <m/>
    <s v="Hot Americano, Iced Americano, Spicy Chicken Tenders"/>
    <n v="860"/>
    <n v="0"/>
    <n v="860"/>
    <n v="43"/>
    <n v="0"/>
    <n v="903"/>
    <x v="2"/>
    <m/>
    <s v="Printed"/>
    <x v="25"/>
    <x v="572"/>
  </r>
  <r>
    <n v="918"/>
    <s v="Dine In (1)"/>
    <s v="Dine In"/>
    <m/>
    <m/>
    <m/>
    <m/>
    <m/>
    <m/>
    <s v="Cafe Latte, Cafe Mocha, Cappuccino, Grilled Fish"/>
    <n v="1565"/>
    <n v="0"/>
    <n v="1565"/>
    <n v="78.260000000000005"/>
    <n v="-0.26"/>
    <n v="1643"/>
    <x v="0"/>
    <m/>
    <s v="Printed"/>
    <x v="25"/>
    <x v="573"/>
  </r>
  <r>
    <n v="919"/>
    <s v="Dine In (10)"/>
    <s v="Dine In"/>
    <m/>
    <m/>
    <m/>
    <m/>
    <m/>
    <m/>
    <s v="Egg French Omelette, Roasted Tomato &amp; Basil"/>
    <n v="570"/>
    <n v="0"/>
    <n v="570"/>
    <n v="28.5"/>
    <n v="0.5"/>
    <n v="599"/>
    <x v="2"/>
    <m/>
    <s v="Printed"/>
    <x v="25"/>
    <x v="574"/>
  </r>
  <r>
    <n v="920"/>
    <s v="Dine In (12)"/>
    <s v="Dine In"/>
    <m/>
    <m/>
    <m/>
    <m/>
    <m/>
    <m/>
    <s v="Golden Tiramisu, Mushroom Alfredo, Tokyo Godzilla Frappe, Truffle And Parmesan Crispy Scouts"/>
    <n v="1375"/>
    <n v="0"/>
    <n v="1375"/>
    <n v="68.760000000000005"/>
    <n v="0.24"/>
    <n v="1444"/>
    <x v="2"/>
    <m/>
    <s v="Printed"/>
    <x v="25"/>
    <x v="575"/>
  </r>
  <r>
    <n v="921"/>
    <s v="Dine In (2)"/>
    <s v="Dine In"/>
    <m/>
    <m/>
    <m/>
    <m/>
    <m/>
    <m/>
    <s v="Creamy Pesto, Mushroom Alfredo, Tex-Mex Bowl With Cottage Cheese (V), Truffle And Parmesan Crispy Scouts"/>
    <n v="1665"/>
    <n v="0"/>
    <n v="1665"/>
    <n v="83.26"/>
    <n v="-0.26"/>
    <n v="1748"/>
    <x v="2"/>
    <m/>
    <s v="Printed"/>
    <x v="25"/>
    <x v="576"/>
  </r>
  <r>
    <n v="922"/>
    <s v="Dine In (4)"/>
    <s v="Dine In"/>
    <m/>
    <m/>
    <m/>
    <m/>
    <m/>
    <m/>
    <s v="Creamy Pesto, Middle-East Meetup, Pinefire, Truffle Mushroom Arancini"/>
    <n v="1385"/>
    <n v="0"/>
    <n v="1385"/>
    <n v="69.260000000000005"/>
    <n v="-0.26"/>
    <n v="1454"/>
    <x v="2"/>
    <m/>
    <s v="Printed"/>
    <x v="25"/>
    <x v="577"/>
  </r>
  <r>
    <n v="923"/>
    <s v="Dine In (5)"/>
    <s v="Dine In"/>
    <m/>
    <m/>
    <m/>
    <m/>
    <m/>
    <m/>
    <s v="Brownie With Ice Cream, Crimson Hex, Grilled Chicken, Water Bottle"/>
    <n v="1259"/>
    <n v="0"/>
    <n v="1259"/>
    <n v="59.96"/>
    <n v="0.04"/>
    <n v="1319"/>
    <x v="2"/>
    <m/>
    <s v="Printed"/>
    <x v="25"/>
    <x v="578"/>
  </r>
  <r>
    <n v="924"/>
    <s v="Dine In (11)"/>
    <s v="Dine In"/>
    <m/>
    <m/>
    <m/>
    <m/>
    <m/>
    <m/>
    <s v="Claasic Cold Coffee, Tex-Mex Bowl With Cottage Cheese (V)"/>
    <n v="720"/>
    <n v="0"/>
    <n v="720"/>
    <n v="36"/>
    <n v="0"/>
    <n v="756"/>
    <x v="2"/>
    <m/>
    <s v="Printed"/>
    <x v="25"/>
    <x v="579"/>
  </r>
  <r>
    <n v="925"/>
    <s v="Dine In (1)"/>
    <s v="Dine In"/>
    <m/>
    <m/>
    <m/>
    <m/>
    <m/>
    <m/>
    <s v="Cafe Latte, Mushroom Alfredo, Rainbow Roll Pizza"/>
    <n v="1475"/>
    <n v="221.25"/>
    <n v="1253.75"/>
    <n v="62.68"/>
    <n v="-0.43"/>
    <n v="1316"/>
    <x v="2"/>
    <m/>
    <s v="Printed"/>
    <x v="25"/>
    <x v="580"/>
  </r>
  <r>
    <n v="926"/>
    <s v="Dine In (2)"/>
    <s v="Dine In"/>
    <m/>
    <m/>
    <m/>
    <m/>
    <m/>
    <m/>
    <s v="Water Bottle"/>
    <n v="60"/>
    <n v="0"/>
    <n v="60"/>
    <n v="0"/>
    <n v="0"/>
    <n v="60"/>
    <x v="1"/>
    <m/>
    <s v="Printed"/>
    <x v="25"/>
    <x v="581"/>
  </r>
  <r>
    <n v="927"/>
    <s v="Dine In (11)"/>
    <s v="Dine In"/>
    <m/>
    <m/>
    <m/>
    <m/>
    <m/>
    <m/>
    <s v="Cafe Latte, Classic Margherita Pizza, Classic Pancakes"/>
    <n v="1090"/>
    <n v="0"/>
    <n v="1090"/>
    <n v="54.5"/>
    <n v="0.5"/>
    <n v="1145"/>
    <x v="2"/>
    <m/>
    <s v="Printed"/>
    <x v="25"/>
    <x v="582"/>
  </r>
  <r>
    <n v="928"/>
    <s v="Dine In (3)"/>
    <s v="Dine In"/>
    <m/>
    <m/>
    <m/>
    <m/>
    <m/>
    <m/>
    <s v="Aglio Olio, Mushroom Marauders Bruschetta, Tex-Mex Bowl With Cottage Cheese (V)"/>
    <n v="1170"/>
    <n v="0"/>
    <n v="1170"/>
    <n v="58.5"/>
    <n v="0.5"/>
    <n v="1229"/>
    <x v="1"/>
    <m/>
    <s v="Printed"/>
    <x v="25"/>
    <x v="583"/>
  </r>
  <r>
    <n v="929"/>
    <s v="Dine In (6)"/>
    <s v="Dine In"/>
    <m/>
    <m/>
    <m/>
    <m/>
    <m/>
    <m/>
    <s v="Banana Walnut Teacakes, Cafe Latte, Iced Mocha"/>
    <n v="770"/>
    <n v="0"/>
    <n v="770"/>
    <n v="38.5"/>
    <n v="0.5"/>
    <n v="809"/>
    <x v="1"/>
    <m/>
    <s v="Printed"/>
    <x v="25"/>
    <x v="584"/>
  </r>
  <r>
    <n v="930"/>
    <s v="Dine In (5)"/>
    <s v="Dine In"/>
    <m/>
    <m/>
    <m/>
    <m/>
    <m/>
    <m/>
    <s v="Avocado Vanguard, Thukpa Vegan"/>
    <n v="990"/>
    <n v="0"/>
    <n v="990"/>
    <n v="49.5"/>
    <n v="0.5"/>
    <n v="1040"/>
    <x v="1"/>
    <m/>
    <s v="Printed"/>
    <x v="25"/>
    <x v="585"/>
  </r>
  <r>
    <n v="931"/>
    <s v="Dine In (15)"/>
    <s v="Dine In"/>
    <m/>
    <m/>
    <m/>
    <m/>
    <m/>
    <m/>
    <s v="Espresso Tiramisu"/>
    <n v="345"/>
    <n v="0"/>
    <n v="345"/>
    <n v="17.260000000000002"/>
    <n v="-0.26"/>
    <n v="362"/>
    <x v="0"/>
    <m/>
    <s v="Printed"/>
    <x v="25"/>
    <x v="586"/>
  </r>
  <r>
    <n v="932"/>
    <s v="Dine In (4)"/>
    <s v="Dine In"/>
    <m/>
    <m/>
    <m/>
    <m/>
    <m/>
    <m/>
    <s v="Avocado Vanguard, Classic Hot Chocolate, London Fog, Pesto Sandwich, Tiramisu Hot Chocolate, Water Bottle"/>
    <n v="1735"/>
    <n v="0"/>
    <n v="1735"/>
    <n v="83.76"/>
    <n v="0.24"/>
    <n v="1819"/>
    <x v="4"/>
    <m/>
    <s v="Printed"/>
    <x v="25"/>
    <x v="587"/>
  </r>
  <r>
    <n v="933"/>
    <s v="Dine In (11)"/>
    <s v="Dine In"/>
    <m/>
    <m/>
    <m/>
    <m/>
    <m/>
    <m/>
    <s v="Chicken Sausages (nv) 2, Classic Bombay Maestro Sandwich, Classic Hot Chocolate, Pistachio Latte, Roasted Tomato &amp; Basil, Secret Mocha, Spicy Chicken Tenders"/>
    <n v="2100"/>
    <n v="210"/>
    <n v="1890"/>
    <n v="94.5"/>
    <n v="0.5"/>
    <n v="1985"/>
    <x v="0"/>
    <m/>
    <s v="Printed"/>
    <x v="25"/>
    <x v="588"/>
  </r>
  <r>
    <n v="934"/>
    <s v="Dine In (11)"/>
    <s v="Dine In"/>
    <m/>
    <m/>
    <m/>
    <m/>
    <m/>
    <m/>
    <s v="Burrata Baron Pizza, Cappuccino"/>
    <n v="1250"/>
    <n v="0"/>
    <n v="1250"/>
    <n v="62.5"/>
    <n v="0.5"/>
    <n v="1313"/>
    <x v="2"/>
    <m/>
    <s v="Printed"/>
    <x v="25"/>
    <x v="589"/>
  </r>
  <r>
    <n v="935"/>
    <s v="Dine In (TANIKSHA)"/>
    <s v="Dine In"/>
    <m/>
    <m/>
    <m/>
    <m/>
    <m/>
    <m/>
    <s v="Classic Margherita Pizza, London Fog, Peri Peri Crispy Scouts"/>
    <n v="815"/>
    <n v="0"/>
    <n v="815"/>
    <n v="40.76"/>
    <n v="0.24"/>
    <n v="856"/>
    <x v="2"/>
    <m/>
    <s v="Printed"/>
    <x v="25"/>
    <x v="590"/>
  </r>
  <r>
    <n v="936"/>
    <s v="Dine In (jatin)"/>
    <s v="Dine In"/>
    <m/>
    <m/>
    <m/>
    <m/>
    <m/>
    <m/>
    <s v="Aglio Olio"/>
    <n v="425"/>
    <n v="0"/>
    <n v="425"/>
    <n v="21.26"/>
    <n v="-0.26"/>
    <n v="446"/>
    <x v="2"/>
    <m/>
    <s v="Printed"/>
    <x v="25"/>
    <x v="591"/>
  </r>
  <r>
    <n v="937"/>
    <s v="Dine In (YASH)"/>
    <s v="Dine In"/>
    <m/>
    <m/>
    <m/>
    <m/>
    <m/>
    <m/>
    <s v="Classic Lemon Ice Tea"/>
    <n v="165"/>
    <n v="0"/>
    <n v="165"/>
    <n v="8.26"/>
    <n v="-0.26"/>
    <n v="173"/>
    <x v="2"/>
    <m/>
    <s v="Printed"/>
    <x v="25"/>
    <x v="592"/>
  </r>
  <r>
    <n v="938"/>
    <s v="Dine In (RANJEET)"/>
    <s v="Dine In"/>
    <m/>
    <m/>
    <m/>
    <m/>
    <m/>
    <m/>
    <s v="Cafe Latte, Grilled Chicken"/>
    <n v="965"/>
    <n v="96.5"/>
    <n v="868.5"/>
    <n v="43.42"/>
    <n v="0.08"/>
    <n v="912"/>
    <x v="2"/>
    <m/>
    <s v="Printed"/>
    <x v="25"/>
    <x v="593"/>
  </r>
  <r>
    <n v="939"/>
    <s v="Dine In (adit)"/>
    <s v="Dine In"/>
    <s v="adit"/>
    <m/>
    <m/>
    <m/>
    <m/>
    <m/>
    <s v="Classic Wrdges Warriors, Gaming Charges (1_hr), Rainbow Roll Pizza, The Full House Nachos (Veg)"/>
    <n v="1264"/>
    <n v="0"/>
    <n v="1264"/>
    <n v="94.92"/>
    <n v="0.08"/>
    <n v="1359"/>
    <x v="2"/>
    <m/>
    <s v="Printed"/>
    <x v="25"/>
    <x v="594"/>
  </r>
  <r>
    <n v="940"/>
    <s v="Dine In (JAY)"/>
    <s v="Dine In"/>
    <m/>
    <m/>
    <m/>
    <m/>
    <m/>
    <m/>
    <s v="Extra Garlic Bread, Secret Mocha, Turn Over"/>
    <n v="668"/>
    <n v="0"/>
    <n v="668"/>
    <n v="28.5"/>
    <n v="0.5"/>
    <n v="697"/>
    <x v="2"/>
    <m/>
    <s v="Printed"/>
    <x v="25"/>
    <x v="595"/>
  </r>
  <r>
    <n v="941"/>
    <s v="Dine In (11)"/>
    <s v="Dine In"/>
    <m/>
    <m/>
    <m/>
    <m/>
    <m/>
    <m/>
    <s v="Cappuccino, New York Baked Cheese Cake"/>
    <n v="845"/>
    <n v="0"/>
    <n v="845"/>
    <n v="42.26"/>
    <n v="-0.26"/>
    <n v="887"/>
    <x v="0"/>
    <m/>
    <s v="Printed"/>
    <x v="25"/>
    <x v="596"/>
  </r>
  <r>
    <n v="942"/>
    <s v="Dine In (pranab)"/>
    <s v="Dine In"/>
    <s v="pranab"/>
    <m/>
    <m/>
    <m/>
    <m/>
    <m/>
    <s v="Gaming Charges (1_hr), Mushroom Alfredo"/>
    <n v="547"/>
    <n v="0"/>
    <n v="547"/>
    <n v="43.22"/>
    <n v="-0.22"/>
    <n v="590"/>
    <x v="2"/>
    <m/>
    <s v="Printed"/>
    <x v="25"/>
    <x v="597"/>
  </r>
  <r>
    <n v="943"/>
    <s v="Dine In (1)"/>
    <s v="Dine In"/>
    <m/>
    <m/>
    <m/>
    <m/>
    <m/>
    <m/>
    <s v="Gaming Charges (1_hr)"/>
    <n v="122"/>
    <n v="0"/>
    <n v="122"/>
    <n v="21.96"/>
    <n v="0.04"/>
    <n v="144"/>
    <x v="2"/>
    <m/>
    <s v="Printed"/>
    <x v="25"/>
    <x v="598"/>
  </r>
  <r>
    <n v="944"/>
    <s v="Dine In (1)"/>
    <s v="Dine In"/>
    <m/>
    <m/>
    <m/>
    <m/>
    <m/>
    <m/>
    <s v="The Bruschetta Bards"/>
    <n v="280"/>
    <n v="0"/>
    <n v="280"/>
    <n v="14"/>
    <n v="0"/>
    <n v="294"/>
    <x v="2"/>
    <m/>
    <s v="Printed"/>
    <x v="25"/>
    <x v="599"/>
  </r>
  <r>
    <n v="945"/>
    <s v="Dine In (2)"/>
    <s v="Dine In"/>
    <m/>
    <m/>
    <m/>
    <m/>
    <m/>
    <m/>
    <s v="Middle-East Meetup"/>
    <n v="380"/>
    <n v="0"/>
    <n v="380"/>
    <n v="19"/>
    <n v="0"/>
    <n v="399"/>
    <x v="0"/>
    <m/>
    <s v="Printed"/>
    <x v="25"/>
    <x v="600"/>
  </r>
  <r>
    <n v="946"/>
    <s v="Dine In (3)"/>
    <s v="Dine In"/>
    <m/>
    <m/>
    <m/>
    <m/>
    <m/>
    <m/>
    <s v="Classic Bombay Maestro Sandwich, Gaming Charges (1_hr), Golden Tiramisu, Mana Mint, Mushroom Alfredo"/>
    <n v="2167"/>
    <n v="0"/>
    <n v="2167"/>
    <n v="203.52"/>
    <n v="0.48"/>
    <n v="2371"/>
    <x v="0"/>
    <m/>
    <s v="Printed"/>
    <x v="25"/>
    <x v="601"/>
  </r>
  <r>
    <n v="947"/>
    <s v="Dine In (LAKSHIT)"/>
    <s v="Dine In"/>
    <m/>
    <m/>
    <m/>
    <m/>
    <m/>
    <m/>
    <s v="Creamy Pesto, Salsa Rose, Stained Sagrada"/>
    <n v="1135"/>
    <n v="0"/>
    <n v="1135"/>
    <n v="56.76"/>
    <n v="0.24"/>
    <n v="1192"/>
    <x v="2"/>
    <m/>
    <s v="Printed"/>
    <x v="25"/>
    <x v="602"/>
  </r>
  <r>
    <n v="948"/>
    <s v="Dine In (SANCHIT)"/>
    <s v="Dine In"/>
    <m/>
    <m/>
    <m/>
    <m/>
    <m/>
    <m/>
    <s v="Burnt Garlic &amp; Cauliflower, Cappuccino, Creamy Pesto"/>
    <n v="955"/>
    <n v="0"/>
    <n v="955"/>
    <n v="47.76"/>
    <n v="0.24"/>
    <n v="1003"/>
    <x v="1"/>
    <m/>
    <s v="Printed"/>
    <x v="25"/>
    <x v="603"/>
  </r>
  <r>
    <n v="949"/>
    <s v="Dine In (12)"/>
    <s v="Dine In"/>
    <m/>
    <m/>
    <m/>
    <m/>
    <m/>
    <m/>
    <s v="Buffalo Chicken Wings With Ranch Dip, Cafe Mocha, Classic Hot Chocolate, Cream Of Chicken &amp; Leek, Mushroom Marauders Bruschetta, Peri Peri Cottage Cheese Pizza, Roasted Tomato &amp; Basil, Secret Mocha, Spicy Chicken Tenders, The Full House Nachos (Veg), Tiramisu Hot Chocolate, Veg Quesadilla"/>
    <n v="4610"/>
    <n v="0"/>
    <n v="4610"/>
    <n v="230.5"/>
    <n v="0.5"/>
    <n v="4841"/>
    <x v="4"/>
    <m/>
    <s v="Printed"/>
    <x v="25"/>
    <x v="305"/>
  </r>
  <r>
    <n v="950"/>
    <s v="Dine In (sidhant sir)"/>
    <s v="Dine In"/>
    <m/>
    <m/>
    <m/>
    <m/>
    <m/>
    <m/>
    <s v="Butter Garlic Prawns With Sourdough, Cappuccino, Egg French Omelette, Grilled Chicken"/>
    <n v="1855"/>
    <n v="0"/>
    <n v="1855"/>
    <n v="92.76"/>
    <n v="0.24"/>
    <n v="1948"/>
    <x v="0"/>
    <m/>
    <s v="Printed"/>
    <x v="25"/>
    <x v="604"/>
  </r>
  <r>
    <n v="951"/>
    <s v="Dine In (vikash sir)"/>
    <s v="Dine In"/>
    <m/>
    <m/>
    <m/>
    <m/>
    <m/>
    <m/>
    <s v="Brown Butter Latte, Chicken &amp; Cheese On Toast, Spicy Chicken Tenders, The Chlorophyll Mage"/>
    <n v="0"/>
    <n v="0"/>
    <n v="0"/>
    <n v="0"/>
    <n v="0"/>
    <n v="0"/>
    <x v="1"/>
    <m/>
    <s v="Printed"/>
    <x v="25"/>
    <x v="605"/>
  </r>
  <r>
    <n v="952"/>
    <s v="Dine In (10)"/>
    <s v="Dine In"/>
    <m/>
    <m/>
    <m/>
    <m/>
    <m/>
    <m/>
    <s v="Brown Butter Latte"/>
    <n v="295"/>
    <n v="0"/>
    <n v="295"/>
    <n v="14.76"/>
    <n v="0.24"/>
    <n v="310"/>
    <x v="2"/>
    <m/>
    <s v="Printed"/>
    <x v="25"/>
    <x v="606"/>
  </r>
  <r>
    <n v="953"/>
    <s v="Dine In (DHRUV)"/>
    <s v="Dine In"/>
    <m/>
    <m/>
    <m/>
    <m/>
    <m/>
    <m/>
    <s v="Avocado Vanguard, Classical Chicken Stroganoff"/>
    <n v="1075"/>
    <n v="0"/>
    <n v="1075"/>
    <n v="53.76"/>
    <n v="0.24"/>
    <n v="1129"/>
    <x v="0"/>
    <m/>
    <s v="Printed"/>
    <x v="25"/>
    <x v="607"/>
  </r>
  <r>
    <n v="954"/>
    <s v="Dine In (VIKAS SIR)"/>
    <s v="Dine In"/>
    <m/>
    <m/>
    <m/>
    <m/>
    <m/>
    <m/>
    <s v="Espresso Tiramisu, New York Baked Cheese Cake"/>
    <n v="0"/>
    <n v="0"/>
    <n v="0"/>
    <n v="0"/>
    <n v="0"/>
    <n v="0"/>
    <x v="1"/>
    <m/>
    <s v="Printed"/>
    <x v="25"/>
    <x v="608"/>
  </r>
  <r>
    <n v="955"/>
    <s v="Dine In (4)"/>
    <s v="Dine In"/>
    <m/>
    <m/>
    <m/>
    <m/>
    <m/>
    <m/>
    <s v="Classic Bombay Maestro Sandwich, Grilled Chicken, Matcha Latte, Thukpa Chicken"/>
    <n v="1730"/>
    <n v="259.5"/>
    <n v="1470.5"/>
    <n v="73.52"/>
    <n v="-0.02"/>
    <n v="1544"/>
    <x v="0"/>
    <m/>
    <s v="Printed"/>
    <x v="26"/>
    <x v="609"/>
  </r>
  <r>
    <n v="956"/>
    <s v="Dine In (7)"/>
    <s v="Dine In"/>
    <m/>
    <m/>
    <m/>
    <m/>
    <m/>
    <m/>
    <s v="Avocado Vanguard, Banana Walnut Teacakes, Cappuccino, Extra Sourdough Bread, Masala Egg Bhurji"/>
    <n v="1370"/>
    <n v="0"/>
    <n v="1370"/>
    <n v="66.5"/>
    <n v="0.5"/>
    <n v="1437"/>
    <x v="2"/>
    <m/>
    <s v="Printed"/>
    <x v="26"/>
    <x v="610"/>
  </r>
  <r>
    <n v="957"/>
    <s v="Dine In (5)"/>
    <s v="Dine In"/>
    <m/>
    <m/>
    <m/>
    <m/>
    <m/>
    <m/>
    <s v="Classic Lemon Ice Tea, Iced Americano, Truffle And Parmesan Crispy Scouts"/>
    <n v="655"/>
    <n v="0"/>
    <n v="655"/>
    <n v="32.76"/>
    <n v="0.24"/>
    <n v="688"/>
    <x v="1"/>
    <m/>
    <s v="Printed"/>
    <x v="26"/>
    <x v="611"/>
  </r>
  <r>
    <n v="958"/>
    <s v="Dine In (11)"/>
    <s v="Dine In"/>
    <m/>
    <m/>
    <m/>
    <m/>
    <m/>
    <m/>
    <s v="Roasted Tomato &amp; Basil"/>
    <n v="280"/>
    <n v="0"/>
    <n v="280"/>
    <n v="14"/>
    <n v="0"/>
    <n v="294"/>
    <x v="2"/>
    <m/>
    <s v="Printed"/>
    <x v="26"/>
    <x v="612"/>
  </r>
  <r>
    <n v="959"/>
    <s v="Dine In (5)"/>
    <s v="Dine In"/>
    <m/>
    <m/>
    <m/>
    <m/>
    <m/>
    <m/>
    <s v="Cappuccino, Roasted Tomato &amp; Basil"/>
    <n v="530"/>
    <n v="0"/>
    <n v="530"/>
    <n v="26.5"/>
    <n v="0.5"/>
    <n v="557"/>
    <x v="1"/>
    <m/>
    <s v="Printed"/>
    <x v="26"/>
    <x v="613"/>
  </r>
  <r>
    <n v="960"/>
    <s v="Dine In (10)"/>
    <s v="Dine In"/>
    <m/>
    <m/>
    <m/>
    <m/>
    <m/>
    <m/>
    <s v="Asian Bowl Hot Garlic Stir Fry Chicken, Ginger Cookie, Spicy Chicken Tenders"/>
    <n v="944"/>
    <n v="94.4"/>
    <n v="849.6"/>
    <n v="42.48"/>
    <n v="-0.08"/>
    <n v="892"/>
    <x v="2"/>
    <m/>
    <s v="Printed"/>
    <x v="26"/>
    <x v="614"/>
  </r>
  <r>
    <n v="961"/>
    <s v="Dine In (6)"/>
    <s v="Dine In"/>
    <m/>
    <m/>
    <m/>
    <m/>
    <m/>
    <m/>
    <s v="Avacado Dip, Classic Lemon Ice Tea, Extra Dip, Tex-Mex Bowl Grilled Chicken, Truffle Mushroom Arancini"/>
    <n v="1137"/>
    <n v="113.7"/>
    <n v="1023.3"/>
    <n v="46.8"/>
    <n v="-0.1"/>
    <n v="1070"/>
    <x v="0"/>
    <m/>
    <s v="Printed"/>
    <x v="26"/>
    <x v="615"/>
  </r>
  <r>
    <n v="962"/>
    <s v="Dine In (5)"/>
    <s v="Dine In"/>
    <m/>
    <m/>
    <m/>
    <m/>
    <m/>
    <m/>
    <s v="Chicken Conqueror Burger, Flat White, Grilled Chicken"/>
    <n v="1415"/>
    <n v="141.5"/>
    <n v="1273.5"/>
    <n v="63.68"/>
    <n v="-0.18"/>
    <n v="1337"/>
    <x v="0"/>
    <m/>
    <s v="Printed"/>
    <x v="26"/>
    <x v="616"/>
  </r>
  <r>
    <n v="963"/>
    <s v="Dine In (2)"/>
    <s v="Dine In"/>
    <m/>
    <m/>
    <m/>
    <m/>
    <m/>
    <m/>
    <s v="Cappuccino, Tex-Mex Bowl With Cottage Cheese (V)"/>
    <n v="675"/>
    <n v="67.5"/>
    <n v="607.5"/>
    <n v="30.38"/>
    <n v="0.12"/>
    <n v="638"/>
    <x v="0"/>
    <m/>
    <s v="Printed"/>
    <x v="26"/>
    <x v="617"/>
  </r>
  <r>
    <n v="964"/>
    <s v="Dine In (4)"/>
    <s v="Dine In"/>
    <m/>
    <m/>
    <m/>
    <m/>
    <m/>
    <m/>
    <s v="Cinnamon Hot Chocolate, Classic Hot Chocolate, Hot Americano, Iced Americano, Iced Mocha, Middle-East Meetup"/>
    <n v="2170"/>
    <n v="217"/>
    <n v="1953"/>
    <n v="97.66"/>
    <n v="0.34"/>
    <n v="2051"/>
    <x v="0"/>
    <m/>
    <s v="Printed"/>
    <x v="26"/>
    <x v="618"/>
  </r>
  <r>
    <n v="965"/>
    <s v="Dine In (7)"/>
    <s v="Dine In"/>
    <m/>
    <m/>
    <m/>
    <m/>
    <m/>
    <m/>
    <s v="Extra Dip, The Catalyst, The Full House Nachos (Veg), The Melty Mischief"/>
    <n v="1149"/>
    <n v="0"/>
    <n v="1149"/>
    <n v="56"/>
    <n v="0"/>
    <n v="1205"/>
    <x v="2"/>
    <m/>
    <s v="Printed"/>
    <x v="26"/>
    <x v="619"/>
  </r>
  <r>
    <n v="966"/>
    <s v="Dine In (3)"/>
    <s v="Dine In"/>
    <m/>
    <m/>
    <m/>
    <m/>
    <m/>
    <m/>
    <s v="Avocado Vanguard, Espresso"/>
    <n v="560"/>
    <n v="0"/>
    <n v="560"/>
    <n v="28"/>
    <n v="0"/>
    <n v="588"/>
    <x v="2"/>
    <m/>
    <s v="Printed"/>
    <x v="26"/>
    <x v="620"/>
  </r>
  <r>
    <n v="967"/>
    <s v="Dine In (4)"/>
    <s v="Dine In"/>
    <m/>
    <m/>
    <m/>
    <m/>
    <m/>
    <m/>
    <s v="Cinnamon Hot Chocolate, The Catalyst"/>
    <n v="1100"/>
    <n v="110"/>
    <n v="990"/>
    <n v="49.5"/>
    <n v="0.5"/>
    <n v="1040"/>
    <x v="2"/>
    <m/>
    <s v="Printed"/>
    <x v="26"/>
    <x v="621"/>
  </r>
  <r>
    <n v="968"/>
    <s v="Dine In (jai)"/>
    <s v="Dine In"/>
    <m/>
    <m/>
    <m/>
    <m/>
    <m/>
    <m/>
    <s v="Cappuccino, Extra Garlic Bread, Flat White, Masala Egg Bhurji, Turn Over"/>
    <n v="1217"/>
    <n v="121.7"/>
    <n v="1095.3"/>
    <n v="48.16"/>
    <n v="-0.46"/>
    <n v="1143"/>
    <x v="0"/>
    <m/>
    <s v="Printed"/>
    <x v="26"/>
    <x v="622"/>
  </r>
  <r>
    <n v="969"/>
    <s v="Dine In (3)"/>
    <s v="Dine In"/>
    <m/>
    <m/>
    <m/>
    <m/>
    <m/>
    <m/>
    <s v="Claasic Cold Coffee, Classic Garlic Gambit, Classic Wrdges Warriors"/>
    <n v="930"/>
    <n v="0"/>
    <n v="930"/>
    <n v="46.5"/>
    <n v="0.5"/>
    <n v="977"/>
    <x v="0"/>
    <m/>
    <s v="Printed"/>
    <x v="26"/>
    <x v="623"/>
  </r>
  <r>
    <n v="970"/>
    <s v="Dine In (6)"/>
    <s v="Dine In"/>
    <m/>
    <m/>
    <m/>
    <m/>
    <m/>
    <m/>
    <s v="Claasic Cold Coffee, Classic Bombay Maestro Sandwich, Rainbow Roll Pizza, Thukpa Vegan"/>
    <n v="1385"/>
    <n v="0"/>
    <n v="1385"/>
    <n v="69.260000000000005"/>
    <n v="-0.26"/>
    <n v="1454"/>
    <x v="1"/>
    <m/>
    <s v="Printed"/>
    <x v="26"/>
    <x v="624"/>
  </r>
  <r>
    <n v="971"/>
    <s v="Dine In (1)"/>
    <s v="Dine In"/>
    <m/>
    <m/>
    <m/>
    <m/>
    <m/>
    <m/>
    <s v="Aurora Engine, Lebanese Chicken Pizza, Peri Peri Crispy Scouts, Spicy Chicken Tenders, Water Bottle"/>
    <n v="1425"/>
    <n v="0"/>
    <n v="1425"/>
    <n v="68.260000000000005"/>
    <n v="-0.26"/>
    <n v="1493"/>
    <x v="0"/>
    <m/>
    <s v="Printed"/>
    <x v="26"/>
    <x v="625"/>
  </r>
  <r>
    <n v="972"/>
    <s v="Dine In (11)"/>
    <s v="Dine In"/>
    <m/>
    <m/>
    <m/>
    <m/>
    <m/>
    <m/>
    <s v="Middle-East Meetup, Rainbow Roll Pizza, Sour Cream And Onion Crispy Scouts, Spicy Chicken Tenders, The Melty Mischief"/>
    <n v="1860"/>
    <n v="0"/>
    <n v="1860"/>
    <n v="93"/>
    <n v="0"/>
    <n v="1953"/>
    <x v="4"/>
    <m/>
    <s v="Printed"/>
    <x v="26"/>
    <x v="626"/>
  </r>
  <r>
    <n v="973"/>
    <s v="Dine In (SIDHART)"/>
    <s v="Dine In"/>
    <m/>
    <m/>
    <m/>
    <m/>
    <m/>
    <m/>
    <s v="Brown Butter Latte"/>
    <n v="590"/>
    <n v="0"/>
    <n v="590"/>
    <n v="29.5"/>
    <n v="0.5"/>
    <n v="620"/>
    <x v="0"/>
    <m/>
    <s v="Printed"/>
    <x v="26"/>
    <x v="627"/>
  </r>
  <r>
    <n v="974"/>
    <s v="Dine In (7)"/>
    <s v="Dine In"/>
    <m/>
    <m/>
    <m/>
    <m/>
    <m/>
    <m/>
    <s v="Claasic Cold Coffee, Classic Crispy Scouts, Rainbow Roll Pizza, Thukpa Vegan"/>
    <n v="1225"/>
    <n v="0"/>
    <n v="1225"/>
    <n v="61.26"/>
    <n v="-0.26"/>
    <n v="1286"/>
    <x v="2"/>
    <m/>
    <s v="Printed"/>
    <x v="26"/>
    <x v="628"/>
  </r>
  <r>
    <n v="975"/>
    <s v="Dine In (3)"/>
    <s v="Dine In"/>
    <m/>
    <m/>
    <m/>
    <m/>
    <m/>
    <m/>
    <s v="Burnt Garlic &amp; Cauliflower, Rainbow Roll Pizza"/>
    <n v="1010"/>
    <n v="0"/>
    <n v="1010"/>
    <n v="50.5"/>
    <n v="0.5"/>
    <n v="1061"/>
    <x v="4"/>
    <m/>
    <s v="Printed"/>
    <x v="26"/>
    <x v="629"/>
  </r>
  <r>
    <n v="976"/>
    <s v="Dine In (1)"/>
    <s v="Dine In"/>
    <m/>
    <m/>
    <m/>
    <m/>
    <m/>
    <m/>
    <s v="Asian Bowl Hot Garlic Stir Fry Bean Curd, Brownie With Ice Cream, Rainbow Roll Pizza, The Full House Nachos (Veg), Water Bottle"/>
    <n v="1564"/>
    <n v="0"/>
    <n v="1564"/>
    <n v="75.2"/>
    <n v="-0.2"/>
    <n v="1639"/>
    <x v="4"/>
    <m/>
    <s v="Printed"/>
    <x v="26"/>
    <x v="630"/>
  </r>
  <r>
    <n v="977"/>
    <s v="Dine In (5)"/>
    <s v="Dine In"/>
    <m/>
    <m/>
    <m/>
    <m/>
    <m/>
    <m/>
    <s v="Arrabbiata Ambush, Claasic Cold Coffee, Peri Peri Crispy Scouts, Pinefire"/>
    <n v="1110"/>
    <n v="0"/>
    <n v="1110"/>
    <n v="55.5"/>
    <n v="0.5"/>
    <n v="0"/>
    <x v="3"/>
    <s v="Total : 1166.00"/>
    <s v="Printed"/>
    <x v="26"/>
    <x v="631"/>
  </r>
  <r>
    <n v="978"/>
    <s v="Dine In (sidhant sir)"/>
    <s v="Dine In"/>
    <m/>
    <m/>
    <m/>
    <m/>
    <m/>
    <m/>
    <s v="Asian Bowl Hot Garlic Stir Fry Chicken, Cappuccino, Egg French Omelette, Extra Sourdough Bread, Iced Americano"/>
    <n v="1575"/>
    <n v="0"/>
    <n v="1575"/>
    <n v="76.760000000000005"/>
    <n v="0.24"/>
    <n v="1652"/>
    <x v="0"/>
    <m/>
    <s v="Printed"/>
    <x v="26"/>
    <x v="632"/>
  </r>
  <r>
    <n v="979"/>
    <s v="Dine In (radhika maa)"/>
    <s v="Dine In"/>
    <m/>
    <m/>
    <m/>
    <m/>
    <m/>
    <m/>
    <s v="Classic Hot Chocolate, Classic Vanilla Stuffed French Toast, Grilled Meaty Maverick, Matcha Latte"/>
    <n v="0"/>
    <n v="0"/>
    <n v="0"/>
    <n v="0"/>
    <n v="0"/>
    <n v="0"/>
    <x v="1"/>
    <m/>
    <s v="Printed"/>
    <x v="26"/>
    <x v="633"/>
  </r>
  <r>
    <n v="980"/>
    <s v="Dine In (vikas sir)"/>
    <s v="Dine In"/>
    <m/>
    <m/>
    <m/>
    <m/>
    <m/>
    <m/>
    <s v="Brownie With Ice Cream, Cappuccino"/>
    <n v="0"/>
    <n v="0"/>
    <n v="0"/>
    <n v="0"/>
    <n v="0"/>
    <n v="0"/>
    <x v="1"/>
    <m/>
    <s v="Printed"/>
    <x v="26"/>
    <x v="634"/>
  </r>
  <r>
    <n v="981"/>
    <s v="Dine In (12)"/>
    <s v="Dine In"/>
    <m/>
    <m/>
    <m/>
    <m/>
    <m/>
    <m/>
    <s v="Avocado Vanguard, Classic Hot Chocolate, Ice Latte"/>
    <n v="945"/>
    <n v="0"/>
    <n v="945"/>
    <n v="47.26"/>
    <n v="-0.26"/>
    <n v="992"/>
    <x v="2"/>
    <m/>
    <s v="Printed"/>
    <x v="26"/>
    <x v="635"/>
  </r>
  <r>
    <n v="982"/>
    <s v="Dine In (11)"/>
    <s v="Dine In"/>
    <m/>
    <m/>
    <m/>
    <m/>
    <m/>
    <m/>
    <s v="Iced Americano"/>
    <n v="250"/>
    <n v="0"/>
    <n v="250"/>
    <n v="12.5"/>
    <n v="0.5"/>
    <n v="263"/>
    <x v="0"/>
    <m/>
    <s v="Printed"/>
    <x v="26"/>
    <x v="636"/>
  </r>
  <r>
    <n v="983"/>
    <s v="Dine In (4)"/>
    <s v="Dine In"/>
    <m/>
    <m/>
    <m/>
    <m/>
    <m/>
    <m/>
    <s v="Brown Butter Latte, Iced Mocha, Pinefire, Pistachio Latte"/>
    <n v="1130"/>
    <n v="0"/>
    <n v="1130"/>
    <n v="56.5"/>
    <n v="0.5"/>
    <n v="1187"/>
    <x v="0"/>
    <m/>
    <s v="Printed"/>
    <x v="26"/>
    <x v="637"/>
  </r>
  <r>
    <n v="984"/>
    <s v="Dine In (6)"/>
    <s v="Dine In"/>
    <m/>
    <m/>
    <m/>
    <m/>
    <m/>
    <m/>
    <s v="Espresso Tiramisu"/>
    <n v="345"/>
    <n v="0"/>
    <n v="345"/>
    <n v="17.260000000000002"/>
    <n v="-0.26"/>
    <n v="362"/>
    <x v="0"/>
    <m/>
    <s v="Printed"/>
    <x v="26"/>
    <x v="638"/>
  </r>
  <r>
    <n v="985"/>
    <s v="Dine In (1)"/>
    <s v="Dine In"/>
    <m/>
    <m/>
    <m/>
    <m/>
    <m/>
    <m/>
    <s v="Classic Bombay Maestro Sandwich, Peri Peri Crispy Scouts"/>
    <n v="540"/>
    <n v="0"/>
    <n v="540"/>
    <n v="27"/>
    <n v="0"/>
    <n v="567"/>
    <x v="2"/>
    <m/>
    <s v="Printed"/>
    <x v="26"/>
    <x v="639"/>
  </r>
  <r>
    <n v="986"/>
    <s v="Dine In (1)"/>
    <s v="Dine In"/>
    <m/>
    <m/>
    <m/>
    <m/>
    <m/>
    <m/>
    <s v="London Fog"/>
    <n v="200"/>
    <n v="0"/>
    <n v="200"/>
    <n v="10"/>
    <n v="0"/>
    <n v="210"/>
    <x v="2"/>
    <m/>
    <s v="Printed"/>
    <x v="26"/>
    <x v="640"/>
  </r>
  <r>
    <n v="987"/>
    <s v="Dine In (5)"/>
    <s v="Dine In"/>
    <m/>
    <m/>
    <m/>
    <m/>
    <m/>
    <m/>
    <s v="The Full House Nachos (Veg)"/>
    <n v="380"/>
    <n v="0"/>
    <n v="380"/>
    <n v="19"/>
    <n v="0"/>
    <n v="399"/>
    <x v="2"/>
    <m/>
    <s v="Printed"/>
    <x v="27"/>
    <x v="641"/>
  </r>
  <r>
    <n v="988"/>
    <s v="Dine In (15)"/>
    <s v="Dine In"/>
    <m/>
    <m/>
    <m/>
    <m/>
    <m/>
    <m/>
    <s v="Asian Bowl Hot Garlic Stir Fry Bean Curd, Claasic Cold Coffee, Tex-Mex Bowl With Cottage Cheese (V)"/>
    <n v="1145"/>
    <n v="0"/>
    <n v="1145"/>
    <n v="57.26"/>
    <n v="-0.26"/>
    <n v="1202"/>
    <x v="2"/>
    <m/>
    <s v="Printed"/>
    <x v="27"/>
    <x v="642"/>
  </r>
  <r>
    <n v="989"/>
    <s v="Dine In (ARJUN)"/>
    <s v="Dine In"/>
    <m/>
    <m/>
    <m/>
    <m/>
    <m/>
    <m/>
    <s v="Brown Butter Latte, Secret Mocha"/>
    <n v="575"/>
    <n v="0"/>
    <n v="575"/>
    <n v="28.76"/>
    <n v="0.24"/>
    <n v="604"/>
    <x v="2"/>
    <m/>
    <s v="Printed"/>
    <x v="27"/>
    <x v="643"/>
  </r>
  <r>
    <n v="990"/>
    <s v="Dine In (6)"/>
    <s v="Dine In"/>
    <m/>
    <m/>
    <m/>
    <m/>
    <m/>
    <m/>
    <s v="Phoenix Berry, Rainbow Roll Pizza"/>
    <n v="775"/>
    <n v="0"/>
    <n v="775"/>
    <n v="38.76"/>
    <n v="0.24"/>
    <n v="814"/>
    <x v="4"/>
    <m/>
    <s v="Printed"/>
    <x v="27"/>
    <x v="644"/>
  </r>
  <r>
    <n v="991"/>
    <s v="Dine In (10)"/>
    <s v="Dine In"/>
    <m/>
    <m/>
    <m/>
    <m/>
    <m/>
    <m/>
    <s v="Cream Of Chicken &amp; Leek, Wild Berry Waffles"/>
    <n v="745"/>
    <n v="74.5"/>
    <n v="670.5"/>
    <n v="33.520000000000003"/>
    <n v="-0.02"/>
    <n v="704"/>
    <x v="0"/>
    <m/>
    <s v="Printed"/>
    <x v="27"/>
    <x v="645"/>
  </r>
  <r>
    <n v="992"/>
    <s v="Dine In (11)"/>
    <s v="Dine In"/>
    <m/>
    <m/>
    <m/>
    <m/>
    <m/>
    <m/>
    <s v="Classic Lemon Ice Tea, Crimson Hex, Rainbow Roll Pizza, The Bruschetta Bards"/>
    <n v="1120"/>
    <n v="0"/>
    <n v="1120"/>
    <n v="56"/>
    <n v="0"/>
    <n v="1176"/>
    <x v="2"/>
    <m/>
    <s v="Printed"/>
    <x v="27"/>
    <x v="646"/>
  </r>
  <r>
    <n v="993"/>
    <s v="Dine In (4)"/>
    <s v="Dine In"/>
    <m/>
    <m/>
    <m/>
    <m/>
    <m/>
    <m/>
    <s v="Burnt Garlic &amp; Cauliflower, Classic Margherita Pizza, Classic Scrambled Eggs, Espresso Tiramisu, Mushroom Alfredo"/>
    <n v="1765"/>
    <n v="0"/>
    <n v="1765"/>
    <n v="88.26"/>
    <n v="-0.26"/>
    <n v="1853"/>
    <x v="0"/>
    <m/>
    <s v="Printed"/>
    <x v="27"/>
    <x v="647"/>
  </r>
  <r>
    <n v="994"/>
    <s v="Dine In (1)"/>
    <s v="Dine In"/>
    <m/>
    <m/>
    <m/>
    <m/>
    <m/>
    <m/>
    <s v="Biscoff Shake, Cappuccino, Classic Lemon Ice Tea, New Classic Hot Chocolate, Peri Peri Crispy Scouts, Salsa Rose, Spicy Chicken Tenders, The Full House Nachos (Veg), Truffle Mushroom Arancini"/>
    <n v="3065"/>
    <n v="0"/>
    <n v="3065"/>
    <n v="153.26"/>
    <n v="-0.26"/>
    <n v="3218"/>
    <x v="4"/>
    <m/>
    <s v="Printed"/>
    <x v="27"/>
    <x v="648"/>
  </r>
  <r>
    <n v="995"/>
    <s v="Dine In (7)"/>
    <s v="Dine In"/>
    <m/>
    <m/>
    <m/>
    <m/>
    <m/>
    <m/>
    <s v="Avocado Vanguard, Rainbow Roll Pizza"/>
    <n v="800"/>
    <n v="0"/>
    <n v="800"/>
    <n v="40"/>
    <n v="0"/>
    <n v="840"/>
    <x v="2"/>
    <m/>
    <s v="Printed"/>
    <x v="27"/>
    <x v="649"/>
  </r>
  <r>
    <n v="996"/>
    <s v="Dine In (15)"/>
    <s v="Dine In"/>
    <m/>
    <m/>
    <m/>
    <m/>
    <m/>
    <m/>
    <s v="Cappuccino, Secret Mocha, Vanilla And Cocoa Marble Teacakes"/>
    <n v="720"/>
    <n v="0"/>
    <n v="720"/>
    <n v="36"/>
    <n v="0"/>
    <n v="756"/>
    <x v="2"/>
    <m/>
    <s v="Printed"/>
    <x v="27"/>
    <x v="650"/>
  </r>
  <r>
    <n v="997"/>
    <s v="Dine In (SHAKSHI)"/>
    <s v="Dine In"/>
    <m/>
    <m/>
    <m/>
    <m/>
    <m/>
    <m/>
    <s v="Brown Butter Latte, Classic Hot Chocolate, Classic Margherita Pizza, Truffle And Parmesan Crispy Scouts"/>
    <n v="1875"/>
    <n v="0"/>
    <n v="1875"/>
    <n v="93.76"/>
    <n v="0.24"/>
    <n v="1969"/>
    <x v="4"/>
    <m/>
    <s v="Printed"/>
    <x v="27"/>
    <x v="651"/>
  </r>
  <r>
    <n v="998"/>
    <s v="Dine In (12)"/>
    <s v="Dine In"/>
    <m/>
    <m/>
    <m/>
    <m/>
    <m/>
    <m/>
    <s v="Chicken Conqueror Burger, Claasic Cold Coffee, London Fog, Pinefire, Roasted Tomato &amp; Basil, The Full House Nachos (Veg), Tiramisu Hot Chocolate, Water Bottle, Wild Berry Pancakes"/>
    <n v="2995"/>
    <n v="299.5"/>
    <n v="2695.5"/>
    <n v="132.08000000000001"/>
    <n v="0.42"/>
    <n v="2828"/>
    <x v="0"/>
    <m/>
    <s v="Printed"/>
    <x v="27"/>
    <x v="652"/>
  </r>
  <r>
    <n v="999"/>
    <s v="Dine In (1)"/>
    <s v="Dine In"/>
    <m/>
    <m/>
    <m/>
    <m/>
    <m/>
    <m/>
    <s v="Brown Butter Latte, Cinnamon Hot Chocolate, Classic Bombay Maestro Sandwich, New Classic Hot Chocolate, Peri Peri Crispy Scouts, Rainbow Roll Pizza, The Full House Nachos (Veg), Tokyo Godzilla Frappe"/>
    <n v="2840"/>
    <n v="568"/>
    <n v="2272"/>
    <n v="113.6"/>
    <n v="0.4"/>
    <n v="2386"/>
    <x v="0"/>
    <m/>
    <s v="Printed"/>
    <x v="27"/>
    <x v="653"/>
  </r>
  <r>
    <n v="1000"/>
    <s v="Dine In (11)"/>
    <s v="Dine In"/>
    <m/>
    <m/>
    <m/>
    <m/>
    <m/>
    <m/>
    <s v="Rainbow Roll Pizza, Spicy Chicken Tenders"/>
    <n v="840"/>
    <n v="0"/>
    <n v="840"/>
    <n v="42"/>
    <n v="0"/>
    <n v="882"/>
    <x v="0"/>
    <m/>
    <s v="Printed"/>
    <x v="27"/>
    <x v="654"/>
  </r>
  <r>
    <n v="1001"/>
    <s v="Dine In (10)"/>
    <s v="Dine In"/>
    <m/>
    <m/>
    <m/>
    <m/>
    <m/>
    <m/>
    <s v="Cappuccino, Classic Vanilla Waffles, London Fog"/>
    <n v="875"/>
    <n v="0"/>
    <n v="875"/>
    <n v="43.76"/>
    <n v="0.24"/>
    <n v="919"/>
    <x v="0"/>
    <m/>
    <s v="Printed"/>
    <x v="27"/>
    <x v="655"/>
  </r>
  <r>
    <n v="1002"/>
    <s v="Dine In (5)"/>
    <s v="Dine In"/>
    <m/>
    <m/>
    <m/>
    <m/>
    <m/>
    <m/>
    <s v="Aglio Olio, Cappuccino, Peri Peri Wrdges Warriors, Rainbow Roll Pizza"/>
    <n v="1315"/>
    <n v="131.5"/>
    <n v="1183.5"/>
    <n v="59.18"/>
    <n v="0.32"/>
    <n v="1243"/>
    <x v="0"/>
    <m/>
    <s v="Printed"/>
    <x v="27"/>
    <x v="656"/>
  </r>
  <r>
    <n v="1003"/>
    <s v="Dine In (manthan)"/>
    <s v="Dine In"/>
    <m/>
    <m/>
    <m/>
    <m/>
    <m/>
    <m/>
    <s v="Classic Crispy Scouts"/>
    <n v="190"/>
    <n v="0"/>
    <n v="190"/>
    <n v="9.5"/>
    <n v="0.5"/>
    <n v="200"/>
    <x v="2"/>
    <m/>
    <s v="Printed"/>
    <x v="27"/>
    <x v="657"/>
  </r>
  <r>
    <n v="1004"/>
    <s v="Dine In (COFFE DROP SHOOT)"/>
    <s v="Dine In"/>
    <s v="drop shot"/>
    <m/>
    <m/>
    <m/>
    <m/>
    <m/>
    <s v="Espresso"/>
    <n v="0"/>
    <n v="0"/>
    <n v="0"/>
    <n v="0"/>
    <n v="0"/>
    <n v="0"/>
    <x v="1"/>
    <m/>
    <s v="Printed"/>
    <x v="27"/>
    <x v="658"/>
  </r>
  <r>
    <n v="1005"/>
    <s v="Dine In (4)"/>
    <s v="Dine In"/>
    <m/>
    <m/>
    <m/>
    <m/>
    <m/>
    <m/>
    <s v="Lebanese Chicken Pizza"/>
    <n v="520"/>
    <n v="0"/>
    <n v="520"/>
    <n v="26"/>
    <n v="0"/>
    <n v="546"/>
    <x v="2"/>
    <m/>
    <s v="Printed"/>
    <x v="27"/>
    <x v="659"/>
  </r>
  <r>
    <n v="1006"/>
    <s v="Dine In (yash)"/>
    <s v="Dine In"/>
    <m/>
    <m/>
    <m/>
    <m/>
    <m/>
    <m/>
    <s v="Classic Lemon Ice Tea"/>
    <n v="165"/>
    <n v="0"/>
    <n v="165"/>
    <n v="8.26"/>
    <n v="-0.26"/>
    <n v="173"/>
    <x v="2"/>
    <m/>
    <s v="Printed"/>
    <x v="27"/>
    <x v="660"/>
  </r>
  <r>
    <n v="1007"/>
    <s v="Dine In (jatin)"/>
    <s v="Dine In"/>
    <m/>
    <m/>
    <m/>
    <m/>
    <m/>
    <m/>
    <s v="Aglio Olio"/>
    <n v="425"/>
    <n v="0"/>
    <n v="425"/>
    <n v="21.26"/>
    <n v="-0.26"/>
    <n v="446"/>
    <x v="2"/>
    <m/>
    <s v="Printed"/>
    <x v="27"/>
    <x v="661"/>
  </r>
  <r>
    <n v="1008"/>
    <s v="Dine In (7)"/>
    <s v="Dine In"/>
    <m/>
    <m/>
    <m/>
    <m/>
    <m/>
    <m/>
    <s v="Cafe Latte, Pesto Sandwich"/>
    <n v="615"/>
    <n v="0"/>
    <n v="615"/>
    <n v="30.76"/>
    <n v="0.24"/>
    <n v="646"/>
    <x v="1"/>
    <m/>
    <s v="Printed"/>
    <x v="27"/>
    <x v="662"/>
  </r>
  <r>
    <n v="1009"/>
    <s v="Dine In (RITIKA)"/>
    <s v="Dine In"/>
    <m/>
    <m/>
    <m/>
    <m/>
    <m/>
    <m/>
    <s v="Masala Egg Bhurji"/>
    <n v="290"/>
    <n v="0"/>
    <n v="290"/>
    <n v="14.5"/>
    <n v="0.5"/>
    <n v="305"/>
    <x v="1"/>
    <m/>
    <s v="Printed"/>
    <x v="27"/>
    <x v="663"/>
  </r>
  <r>
    <n v="1010"/>
    <s v="Dine In (5)"/>
    <s v="Dine In"/>
    <m/>
    <m/>
    <m/>
    <m/>
    <m/>
    <m/>
    <s v="Classic Hot Chocolate, Hot Americano"/>
    <n v="545"/>
    <n v="0"/>
    <n v="545"/>
    <n v="27.26"/>
    <n v="-0.26"/>
    <n v="572"/>
    <x v="2"/>
    <m/>
    <s v="Printed"/>
    <x v="27"/>
    <x v="664"/>
  </r>
  <r>
    <n v="1011"/>
    <s v="Dine In (ARPITA)"/>
    <s v="Dine In"/>
    <m/>
    <m/>
    <m/>
    <m/>
    <m/>
    <m/>
    <s v="Spicy Chicken Tenders"/>
    <n v="390"/>
    <n v="0"/>
    <n v="390"/>
    <n v="19.5"/>
    <n v="0.5"/>
    <n v="410"/>
    <x v="2"/>
    <m/>
    <s v="Printed"/>
    <x v="27"/>
    <x v="665"/>
  </r>
  <r>
    <n v="1012"/>
    <s v="Dine In (12)"/>
    <s v="Dine In"/>
    <m/>
    <m/>
    <m/>
    <m/>
    <m/>
    <m/>
    <s v="Gaming Charge"/>
    <n v="169"/>
    <n v="0"/>
    <n v="169"/>
    <n v="30.42"/>
    <n v="-0.42"/>
    <n v="199"/>
    <x v="2"/>
    <m/>
    <s v="Printed"/>
    <x v="27"/>
    <x v="666"/>
  </r>
  <r>
    <n v="1013"/>
    <s v="Dine In (priyanshi)"/>
    <s v="Dine In"/>
    <m/>
    <m/>
    <m/>
    <m/>
    <m/>
    <m/>
    <s v="Classic Hot Chocolate, Cream Of Chicken &amp; Leek, Thukpa Vegan"/>
    <n v="935"/>
    <n v="0"/>
    <n v="935"/>
    <n v="46.76"/>
    <n v="0.24"/>
    <n v="982"/>
    <x v="2"/>
    <m/>
    <s v="Printed"/>
    <x v="27"/>
    <x v="667"/>
  </r>
  <r>
    <n v="1014"/>
    <s v="Dine In (vinet)"/>
    <s v="Dine In"/>
    <m/>
    <m/>
    <m/>
    <m/>
    <m/>
    <m/>
    <s v="Jackfruit Jester Burger, Phoenix Berry, Ratatouille Bunny Chow, The Full House Nachos (Veg), Truffle Mushroom Arancini"/>
    <n v="1815"/>
    <n v="0"/>
    <n v="1815"/>
    <n v="90.76"/>
    <n v="0.24"/>
    <n v="1906"/>
    <x v="2"/>
    <m/>
    <s v="Printed"/>
    <x v="27"/>
    <x v="668"/>
  </r>
  <r>
    <n v="1015"/>
    <s v="Dine In (11)"/>
    <s v="Dine In"/>
    <m/>
    <m/>
    <m/>
    <m/>
    <m/>
    <m/>
    <s v="Gaming Charge"/>
    <n v="169"/>
    <n v="0"/>
    <n v="169"/>
    <n v="30.42"/>
    <n v="-0.42"/>
    <n v="199"/>
    <x v="2"/>
    <m/>
    <s v="Printed"/>
    <x v="27"/>
    <x v="669"/>
  </r>
  <r>
    <n v="1016"/>
    <s v="Dine In (1)"/>
    <s v="Dine In"/>
    <m/>
    <m/>
    <m/>
    <m/>
    <m/>
    <m/>
    <s v="Classic Garlic Gambit, Iced Mocha"/>
    <n v="490"/>
    <n v="0"/>
    <n v="490"/>
    <n v="24.5"/>
    <n v="0.5"/>
    <n v="515"/>
    <x v="2"/>
    <m/>
    <s v="Printed"/>
    <x v="27"/>
    <x v="670"/>
  </r>
  <r>
    <n v="1017"/>
    <s v="Dine In (ANKIT)"/>
    <s v="Dine In"/>
    <m/>
    <m/>
    <m/>
    <m/>
    <m/>
    <m/>
    <s v="Cream Of Chicken &amp; Leek, Spicy Chicken Tenders, Stained Sagrada, Truffle Mushroom Arancini"/>
    <n v="1375"/>
    <n v="137.5"/>
    <n v="1237.5"/>
    <n v="61.88"/>
    <n v="-0.38"/>
    <n v="1299"/>
    <x v="0"/>
    <m/>
    <s v="Printed"/>
    <x v="27"/>
    <x v="671"/>
  </r>
  <r>
    <n v="1018"/>
    <s v="Dine In (STIVAN)"/>
    <s v="Dine In"/>
    <m/>
    <m/>
    <m/>
    <m/>
    <m/>
    <m/>
    <s v="Chicken Stroganoff Bunnychow, Spicy Chicken Tenders"/>
    <n v="770"/>
    <n v="77"/>
    <n v="693"/>
    <n v="34.659999999999997"/>
    <n v="0.34"/>
    <n v="728"/>
    <x v="1"/>
    <m/>
    <s v="Printed"/>
    <x v="27"/>
    <x v="672"/>
  </r>
  <r>
    <n v="1019"/>
    <s v="Dine In (RADHIKA AAM)"/>
    <s v="Dine In"/>
    <m/>
    <m/>
    <m/>
    <m/>
    <m/>
    <m/>
    <s v="Classic Hot Chocolate, Espresso Tiramisu"/>
    <n v="0"/>
    <n v="0"/>
    <n v="0"/>
    <n v="0"/>
    <n v="0"/>
    <n v="0"/>
    <x v="1"/>
    <m/>
    <s v="Printed"/>
    <x v="27"/>
    <x v="673"/>
  </r>
  <r>
    <n v="1020"/>
    <s v="Dine In (SIDHART SIR)"/>
    <s v="Dine In"/>
    <m/>
    <m/>
    <m/>
    <m/>
    <m/>
    <m/>
    <s v="Cappuccino, Chicken Conqueror Burger, Egg French Omelette, Extra Vegetables, Golden Tiramisu"/>
    <n v="1455"/>
    <n v="0"/>
    <n v="1455"/>
    <n v="66.760000000000005"/>
    <n v="0.24"/>
    <n v="1522"/>
    <x v="0"/>
    <m/>
    <s v="Printed"/>
    <x v="27"/>
    <x v="674"/>
  </r>
  <r>
    <n v="1021"/>
    <s v="Dine In (SIDHART)"/>
    <s v="Dine In"/>
    <m/>
    <m/>
    <m/>
    <m/>
    <m/>
    <m/>
    <s v="Gaming Charge, Sour Cream And Onion Wrdges Warriors"/>
    <n v="359"/>
    <n v="0"/>
    <n v="359"/>
    <n v="39.92"/>
    <n v="0.08"/>
    <n v="399"/>
    <x v="2"/>
    <m/>
    <s v="Printed"/>
    <x v="27"/>
    <x v="675"/>
  </r>
  <r>
    <n v="1022"/>
    <s v="Dine In (sakshi)"/>
    <s v="Dine In"/>
    <m/>
    <m/>
    <m/>
    <m/>
    <m/>
    <m/>
    <s v="Gaming Charge, Rainbow Roll Pizza, Salsa Rose, Water Bottle"/>
    <n v="1273"/>
    <n v="0"/>
    <n v="1273"/>
    <n v="104.6"/>
    <n v="0.4"/>
    <n v="1378"/>
    <x v="2"/>
    <m/>
    <s v="Printed"/>
    <x v="27"/>
    <x v="676"/>
  </r>
  <r>
    <n v="1023"/>
    <s v="Dine In (amit)"/>
    <s v="Dine In"/>
    <m/>
    <m/>
    <m/>
    <m/>
    <m/>
    <m/>
    <s v="Chicken &amp; Cheese On Toast, Classic Hot Chocolate, Iced Mocha"/>
    <n v="1045"/>
    <n v="0"/>
    <n v="1045"/>
    <n v="52.26"/>
    <n v="-0.26"/>
    <n v="1097"/>
    <x v="2"/>
    <m/>
    <s v="Printed"/>
    <x v="27"/>
    <x v="677"/>
  </r>
  <r>
    <n v="1024"/>
    <s v="Dine In (gourav)"/>
    <s v="Dine In"/>
    <m/>
    <m/>
    <m/>
    <m/>
    <m/>
    <m/>
    <s v="Brown Butter Latte, Butter Garlic Prawns With Sourdough, Golden Tiramisu, Grilled Chicken"/>
    <n v="1955"/>
    <n v="195.5"/>
    <n v="1759.5"/>
    <n v="87.98"/>
    <n v="-0.48"/>
    <n v="1847"/>
    <x v="2"/>
    <m/>
    <s v="Printed"/>
    <x v="27"/>
    <x v="44"/>
  </r>
  <r>
    <n v="1025"/>
    <s v="Dine In (sedes)"/>
    <s v="Dine In"/>
    <m/>
    <m/>
    <m/>
    <m/>
    <m/>
    <m/>
    <s v="Chicken &amp; Cheese On Toast"/>
    <n v="380"/>
    <n v="0"/>
    <n v="380"/>
    <n v="19"/>
    <n v="0"/>
    <n v="399"/>
    <x v="2"/>
    <m/>
    <s v="Printed"/>
    <x v="27"/>
    <x v="678"/>
  </r>
  <r>
    <n v="1026"/>
    <s v="Dine In (ABHINAV)"/>
    <s v="Dine In"/>
    <m/>
    <m/>
    <m/>
    <m/>
    <m/>
    <m/>
    <s v="Classic Hot Chocolate"/>
    <n v="325"/>
    <n v="0"/>
    <n v="325"/>
    <n v="16.260000000000002"/>
    <n v="-0.26"/>
    <n v="341"/>
    <x v="2"/>
    <m/>
    <s v="Printed"/>
    <x v="27"/>
    <x v="679"/>
  </r>
  <r>
    <n v="1027"/>
    <s v="Dine In (abhinev)"/>
    <s v="Dine In"/>
    <m/>
    <m/>
    <m/>
    <m/>
    <m/>
    <m/>
    <s v="Chicken Sausages (nv) 2, Classic Hot Chocolate, Egg French Omelette"/>
    <n v="795"/>
    <n v="79.5"/>
    <n v="715.5"/>
    <n v="35.78"/>
    <n v="-0.28000000000000003"/>
    <n v="751"/>
    <x v="2"/>
    <m/>
    <s v="Printed"/>
    <x v="27"/>
    <x v="639"/>
  </r>
  <r>
    <n v="1028"/>
    <s v="Dine In (VIKAS SIR)"/>
    <s v="Dine In"/>
    <m/>
    <m/>
    <m/>
    <m/>
    <m/>
    <m/>
    <s v="Banana Caramel Pancakes, Chicken Conqueror Burger, Classic Wrdges Warriors"/>
    <n v="0"/>
    <n v="0"/>
    <n v="0"/>
    <n v="0"/>
    <n v="0"/>
    <n v="0"/>
    <x v="1"/>
    <m/>
    <s v="Printed"/>
    <x v="27"/>
    <x v="680"/>
  </r>
  <r>
    <n v="1029"/>
    <s v="Dine In (14)"/>
    <s v="Dine In"/>
    <m/>
    <m/>
    <m/>
    <m/>
    <m/>
    <m/>
    <s v="The Full House Nachos (Veg)"/>
    <n v="380"/>
    <n v="0"/>
    <n v="380"/>
    <n v="19"/>
    <n v="0"/>
    <n v="399"/>
    <x v="2"/>
    <m/>
    <s v="Printed"/>
    <x v="27"/>
    <x v="681"/>
  </r>
  <r>
    <n v="1030"/>
    <s v="Dine In (VIKASH SIR)"/>
    <s v="Dine In"/>
    <m/>
    <m/>
    <m/>
    <m/>
    <m/>
    <m/>
    <s v="Cappuccino"/>
    <n v="0"/>
    <n v="0"/>
    <n v="0"/>
    <n v="0"/>
    <n v="0"/>
    <n v="0"/>
    <x v="1"/>
    <m/>
    <s v="Printed"/>
    <x v="27"/>
    <x v="682"/>
  </r>
  <r>
    <n v="1031"/>
    <s v="Dine In (1)"/>
    <s v="Dine In"/>
    <m/>
    <m/>
    <m/>
    <m/>
    <m/>
    <m/>
    <s v="Cappuccino, The Catalyst, Truffle Mushroom Arancini"/>
    <n v="920"/>
    <n v="92"/>
    <n v="828"/>
    <n v="41.4"/>
    <n v="-0.4"/>
    <n v="869"/>
    <x v="2"/>
    <m/>
    <s v="Printed"/>
    <x v="28"/>
    <x v="683"/>
  </r>
  <r>
    <n v="1032"/>
    <s v="Dine In (4)"/>
    <s v="Dine In"/>
    <m/>
    <m/>
    <m/>
    <m/>
    <m/>
    <m/>
    <s v="Cappuccino"/>
    <n v="1000"/>
    <n v="0"/>
    <n v="1000"/>
    <n v="50"/>
    <n v="0"/>
    <n v="1050"/>
    <x v="2"/>
    <m/>
    <s v="Printed"/>
    <x v="28"/>
    <x v="684"/>
  </r>
  <r>
    <n v="1033"/>
    <s v="Dine In (5)"/>
    <s v="Dine In"/>
    <m/>
    <m/>
    <m/>
    <m/>
    <m/>
    <m/>
    <s v="Hot Americano"/>
    <n v="220"/>
    <n v="0"/>
    <n v="220"/>
    <n v="11"/>
    <n v="0"/>
    <n v="231"/>
    <x v="0"/>
    <m/>
    <s v="Printed"/>
    <x v="28"/>
    <x v="685"/>
  </r>
  <r>
    <n v="1034"/>
    <s v="Dine In (10)"/>
    <s v="Dine In"/>
    <m/>
    <m/>
    <m/>
    <m/>
    <m/>
    <m/>
    <s v="Peri Peri Cottage Cheese Pizza"/>
    <n v="595"/>
    <n v="0"/>
    <n v="595"/>
    <n v="29.76"/>
    <n v="0.24"/>
    <n v="625"/>
    <x v="2"/>
    <m/>
    <s v="Printed"/>
    <x v="28"/>
    <x v="686"/>
  </r>
  <r>
    <n v="1035"/>
    <s v="Dine In (3)"/>
    <s v="Dine In"/>
    <m/>
    <m/>
    <m/>
    <m/>
    <m/>
    <m/>
    <s v="Cafe Latte, Cafe Mocha, Cappuccino"/>
    <n v="770"/>
    <n v="0"/>
    <n v="770"/>
    <n v="38.5"/>
    <n v="0.5"/>
    <n v="809"/>
    <x v="4"/>
    <m/>
    <s v="Printed"/>
    <x v="28"/>
    <x v="687"/>
  </r>
  <r>
    <n v="1036"/>
    <s v="Dine In (4)"/>
    <s v="Dine In"/>
    <m/>
    <m/>
    <m/>
    <m/>
    <m/>
    <m/>
    <s v="Brown Butter Latte, Middle-East Meetup, Rainbow Roll Pizza"/>
    <n v="1125"/>
    <n v="112.5"/>
    <n v="1012.5"/>
    <n v="50.62"/>
    <n v="-0.12"/>
    <n v="1063"/>
    <x v="2"/>
    <m/>
    <s v="Printed"/>
    <x v="28"/>
    <x v="688"/>
  </r>
  <r>
    <n v="1037"/>
    <s v="Dine In (5)"/>
    <s v="Dine In"/>
    <m/>
    <m/>
    <m/>
    <m/>
    <m/>
    <m/>
    <s v="Classic Margherita Pizza, Crimson Hex, Pinefire, Truffle And Parmesan Wrdges Warriors"/>
    <n v="1110"/>
    <n v="0"/>
    <n v="1110"/>
    <n v="55.5"/>
    <n v="0.5"/>
    <n v="1166"/>
    <x v="2"/>
    <m/>
    <s v="Printed"/>
    <x v="28"/>
    <x v="689"/>
  </r>
  <r>
    <n v="1038"/>
    <s v="Dine In (3)"/>
    <s v="Dine In"/>
    <m/>
    <m/>
    <m/>
    <m/>
    <m/>
    <m/>
    <s v="Brownie With Ice Cream, Carbonated Water, Classic Hot Chocolate, Classic Lemon Ice Tea, Garlic Pepper Chicken Pizza, Grilled Meaty Maverick, Pinefire"/>
    <n v="2074"/>
    <n v="0"/>
    <n v="2074"/>
    <n v="93.96"/>
    <n v="0.04"/>
    <n v="0"/>
    <x v="3"/>
    <s v="Total : 2168.00"/>
    <s v="Printed"/>
    <x v="28"/>
    <x v="690"/>
  </r>
  <r>
    <n v="1039"/>
    <s v="Dine In (KRISSH)"/>
    <s v="Dine In"/>
    <m/>
    <m/>
    <m/>
    <m/>
    <m/>
    <m/>
    <s v="Flat White"/>
    <n v="480"/>
    <n v="0"/>
    <n v="480"/>
    <n v="24"/>
    <n v="0"/>
    <n v="504"/>
    <x v="1"/>
    <m/>
    <s v="Printed"/>
    <x v="28"/>
    <x v="691"/>
  </r>
  <r>
    <n v="1040"/>
    <s v="Dine In (11)"/>
    <s v="Dine In"/>
    <m/>
    <m/>
    <m/>
    <m/>
    <m/>
    <m/>
    <s v="Middle-East Meetup, Spicy Chicken Tenders"/>
    <n v="770"/>
    <n v="0"/>
    <n v="770"/>
    <n v="38.5"/>
    <n v="0.5"/>
    <n v="809"/>
    <x v="0"/>
    <m/>
    <s v="Printed"/>
    <x v="28"/>
    <x v="692"/>
  </r>
  <r>
    <n v="1041"/>
    <s v="Dine In (neha)"/>
    <s v="Dine In"/>
    <m/>
    <m/>
    <m/>
    <m/>
    <m/>
    <m/>
    <s v="Cookies - Cookie Of The Week, New Classic Hot Chocolate"/>
    <n v="550"/>
    <n v="0"/>
    <n v="550"/>
    <n v="27.5"/>
    <n v="0.5"/>
    <n v="578"/>
    <x v="2"/>
    <m/>
    <s v="Printed"/>
    <x v="28"/>
    <x v="693"/>
  </r>
  <r>
    <n v="1042"/>
    <s v="Dine In (3)"/>
    <s v="Dine In"/>
    <m/>
    <m/>
    <m/>
    <m/>
    <m/>
    <m/>
    <s v="Captain Fish Fingers, Chicken Stroganoff Bunnychow, Cinnamon Hot Chocolate, Creamy Pesto, New Classic Hot Chocolate"/>
    <n v="2025"/>
    <n v="0"/>
    <n v="2025"/>
    <n v="101.26"/>
    <n v="-0.26"/>
    <n v="2126"/>
    <x v="2"/>
    <m/>
    <s v="Printed"/>
    <x v="28"/>
    <x v="694"/>
  </r>
  <r>
    <n v="1043"/>
    <s v="Dine In (7)"/>
    <s v="Dine In"/>
    <m/>
    <m/>
    <m/>
    <m/>
    <m/>
    <m/>
    <s v="Extra Chicken, Tex-Mex Bowl Grilled Chicken"/>
    <n v="645"/>
    <n v="64.5"/>
    <n v="580.5"/>
    <n v="22.28"/>
    <n v="0.22"/>
    <n v="603"/>
    <x v="1"/>
    <m/>
    <s v="Printed"/>
    <x v="28"/>
    <x v="695"/>
  </r>
  <r>
    <n v="1044"/>
    <s v="Dine In (RADHIKA MAA)"/>
    <s v="Dine In"/>
    <m/>
    <m/>
    <m/>
    <m/>
    <m/>
    <m/>
    <s v="Chicken &amp; Cheese On Toast, Classic Hot Chocolate, Classic Vanilla Stuffed French Toast, Masala Egg Bhurji, Matcha Latte"/>
    <n v="0"/>
    <n v="0"/>
    <n v="0"/>
    <n v="0"/>
    <n v="0"/>
    <n v="0"/>
    <x v="1"/>
    <m/>
    <s v="Printed"/>
    <x v="28"/>
    <x v="696"/>
  </r>
  <r>
    <n v="1045"/>
    <s v="Dine In (vikash sir)"/>
    <s v="Dine In"/>
    <m/>
    <m/>
    <m/>
    <m/>
    <m/>
    <m/>
    <s v="Asian Bowl Hot Garlic Stir Fry Chicken, Classic Hot Chocolate, Tex-Mex Bowl With Cottage Cheese (V)"/>
    <n v="0"/>
    <n v="0"/>
    <n v="0"/>
    <n v="0"/>
    <n v="0"/>
    <n v="0"/>
    <x v="1"/>
    <m/>
    <s v="Printed"/>
    <x v="28"/>
    <x v="697"/>
  </r>
  <r>
    <n v="1046"/>
    <s v="Dine In (sidharth)"/>
    <s v="Dine In"/>
    <m/>
    <m/>
    <m/>
    <m/>
    <m/>
    <m/>
    <s v="Egg French Omelette, Extra Vegetables"/>
    <n v="410"/>
    <n v="0"/>
    <n v="410"/>
    <n v="14.5"/>
    <n v="0.5"/>
    <n v="425"/>
    <x v="0"/>
    <m/>
    <s v="Printed"/>
    <x v="28"/>
    <x v="698"/>
  </r>
  <r>
    <n v="1047"/>
    <s v="Dine In (6)"/>
    <s v="Dine In"/>
    <m/>
    <m/>
    <m/>
    <m/>
    <m/>
    <m/>
    <s v="Classic Hot Chocolate, The Catalyst"/>
    <n v="615"/>
    <n v="0"/>
    <n v="615"/>
    <n v="30.76"/>
    <n v="0.24"/>
    <n v="646"/>
    <x v="2"/>
    <m/>
    <s v="Printed"/>
    <x v="29"/>
    <x v="699"/>
  </r>
  <r>
    <n v="1048"/>
    <s v="Dine In (1)"/>
    <s v="Dine In"/>
    <m/>
    <m/>
    <m/>
    <m/>
    <m/>
    <m/>
    <s v="Cinnamon Hot Chocolate, Classic Bombay Maestro Sandwich, Golden Tiramisu, Peri Peri Crispy Scouts, Pinefire, Rainbow Roll Pizza, Salsa Rose, Truffle Mushroom Arancini, Veg Quesadilla"/>
    <n v="3370"/>
    <n v="0"/>
    <n v="3370"/>
    <n v="168.5"/>
    <n v="0.5"/>
    <n v="3539"/>
    <x v="1"/>
    <m/>
    <s v="Printed"/>
    <x v="29"/>
    <x v="700"/>
  </r>
  <r>
    <n v="1049"/>
    <s v="Dine In (3)"/>
    <s v="Dine In"/>
    <m/>
    <m/>
    <m/>
    <m/>
    <m/>
    <m/>
    <s v="Cappuccino, Classic Hot Chocolate"/>
    <n v="575"/>
    <n v="0"/>
    <n v="575"/>
    <n v="28.76"/>
    <n v="0.24"/>
    <n v="604"/>
    <x v="4"/>
    <m/>
    <s v="Printed"/>
    <x v="29"/>
    <x v="701"/>
  </r>
  <r>
    <n v="1050"/>
    <s v="Dine In (4)"/>
    <s v="Dine In"/>
    <m/>
    <m/>
    <m/>
    <m/>
    <m/>
    <m/>
    <s v="Cafe Latte, Classic Hot Chocolate, Classic Wrdges Warriors"/>
    <n v="995"/>
    <n v="0"/>
    <n v="995"/>
    <n v="49.76"/>
    <n v="0.24"/>
    <n v="1045"/>
    <x v="1"/>
    <m/>
    <s v="Printed"/>
    <x v="29"/>
    <x v="702"/>
  </r>
  <r>
    <n v="1051"/>
    <s v="Dine In (11)"/>
    <s v="Dine In"/>
    <m/>
    <m/>
    <m/>
    <m/>
    <m/>
    <m/>
    <s v="Hot Americano, Red Dust Frappe, Secret Mocha, Truffle Mushroom Arancini"/>
    <n v="1245"/>
    <n v="0"/>
    <n v="1245"/>
    <n v="62.26"/>
    <n v="-0.26"/>
    <n v="1307"/>
    <x v="0"/>
    <m/>
    <s v="Printed"/>
    <x v="29"/>
    <x v="703"/>
  </r>
  <r>
    <n v="1052"/>
    <s v="Dine In (12)"/>
    <s v="Dine In"/>
    <m/>
    <m/>
    <m/>
    <m/>
    <m/>
    <m/>
    <s v="Cappuccino"/>
    <n v="250"/>
    <n v="0"/>
    <n v="250"/>
    <n v="12.5"/>
    <n v="0.5"/>
    <n v="263"/>
    <x v="2"/>
    <m/>
    <s v="Printed"/>
    <x v="29"/>
    <x v="704"/>
  </r>
  <r>
    <n v="1053"/>
    <s v="Dine In (5)"/>
    <s v="Dine In"/>
    <m/>
    <m/>
    <m/>
    <m/>
    <m/>
    <m/>
    <s v="Classic Hot Chocolate, Pistachio Latte"/>
    <n v="620"/>
    <n v="0"/>
    <n v="620"/>
    <n v="31"/>
    <n v="0"/>
    <n v="651"/>
    <x v="2"/>
    <m/>
    <s v="Printed"/>
    <x v="29"/>
    <x v="705"/>
  </r>
  <r>
    <n v="1054"/>
    <s v="Dine In (1)"/>
    <s v="Dine In"/>
    <m/>
    <m/>
    <m/>
    <m/>
    <m/>
    <m/>
    <s v="Ginger Cookie"/>
    <n v="59"/>
    <n v="0"/>
    <n v="59"/>
    <n v="2.96"/>
    <n v="0.04"/>
    <n v="62"/>
    <x v="2"/>
    <m/>
    <s v="Printed"/>
    <x v="29"/>
    <x v="706"/>
  </r>
  <r>
    <n v="1055"/>
    <s v="Dine In (josna)"/>
    <s v="Dine In"/>
    <m/>
    <m/>
    <m/>
    <m/>
    <m/>
    <m/>
    <s v="Creamy Pesto"/>
    <n v="425"/>
    <n v="0"/>
    <n v="425"/>
    <n v="21.26"/>
    <n v="-0.26"/>
    <n v="446"/>
    <x v="2"/>
    <m/>
    <s v="Printed"/>
    <x v="29"/>
    <x v="707"/>
  </r>
  <r>
    <n v="1056"/>
    <s v="Dine In (2)"/>
    <s v="Dine In"/>
    <m/>
    <m/>
    <m/>
    <m/>
    <m/>
    <m/>
    <s v="Brownie With Ice Cream, Classic Hot Chocolate, Water Bottle"/>
    <n v="634"/>
    <n v="0"/>
    <n v="634"/>
    <n v="28.7"/>
    <n v="0.3"/>
    <n v="663"/>
    <x v="0"/>
    <m/>
    <s v="Printed"/>
    <x v="29"/>
    <x v="708"/>
  </r>
  <r>
    <n v="1057"/>
    <s v="Dine In (11)"/>
    <s v="Dine In"/>
    <m/>
    <m/>
    <m/>
    <m/>
    <m/>
    <m/>
    <s v="Cappuccino, Peri Peri Crispy Scouts, Salsa Rose, Tex-Mex Bowl With Cottage Cheese (V)"/>
    <n v="1290"/>
    <n v="0"/>
    <n v="1290"/>
    <n v="64.5"/>
    <n v="0.5"/>
    <n v="1355"/>
    <x v="4"/>
    <m/>
    <s v="Printed"/>
    <x v="29"/>
    <x v="709"/>
  </r>
  <r>
    <n v="1058"/>
    <s v="Dine In (10)"/>
    <s v="Dine In"/>
    <m/>
    <m/>
    <m/>
    <m/>
    <m/>
    <m/>
    <s v="Chicken Stroganoff Bunnychow, Golden Tiramisu, Spicy Chicken Tenders"/>
    <n v="1115"/>
    <n v="0"/>
    <n v="1115"/>
    <n v="55.76"/>
    <n v="0.24"/>
    <n v="1171"/>
    <x v="2"/>
    <m/>
    <s v="Printed"/>
    <x v="29"/>
    <x v="710"/>
  </r>
  <r>
    <n v="1059"/>
    <s v="Dine In (shiangi)"/>
    <s v="Dine In"/>
    <m/>
    <m/>
    <m/>
    <m/>
    <m/>
    <m/>
    <s v="Gaming Charge, Hot Americano, Sour Cream And Onion Crispy Scouts"/>
    <n v="579"/>
    <n v="0"/>
    <n v="579"/>
    <n v="50.92"/>
    <n v="0.08"/>
    <n v="630"/>
    <x v="2"/>
    <m/>
    <s v="Printed"/>
    <x v="29"/>
    <x v="711"/>
  </r>
  <r>
    <n v="1060"/>
    <s v="Dine In (15)"/>
    <s v="Dine In"/>
    <m/>
    <m/>
    <m/>
    <m/>
    <m/>
    <m/>
    <s v="Classic Bombay Maestro Sandwich, The Melty Mischief, Water Bottle"/>
    <n v="860"/>
    <n v="86"/>
    <n v="774"/>
    <n v="36"/>
    <n v="0"/>
    <n v="810"/>
    <x v="0"/>
    <m/>
    <s v="Printed"/>
    <x v="29"/>
    <x v="712"/>
  </r>
  <r>
    <n v="1061"/>
    <s v="Dine In (priti)"/>
    <s v="Dine In"/>
    <m/>
    <m/>
    <m/>
    <m/>
    <m/>
    <m/>
    <s v="Aglio Olio, Rainbow Roll Pizza"/>
    <n v="875"/>
    <n v="0"/>
    <n v="875"/>
    <n v="43.76"/>
    <n v="0.24"/>
    <n v="919"/>
    <x v="2"/>
    <m/>
    <s v="Printed"/>
    <x v="29"/>
    <x v="713"/>
  </r>
  <r>
    <n v="1062"/>
    <s v="Dine In (3)"/>
    <s v="Dine In"/>
    <m/>
    <m/>
    <m/>
    <m/>
    <m/>
    <m/>
    <s v="Biscoff Shake, Creamy Pesto, Gaming Charge, Phoenix Berry, Pinefire, Salsa Rose, Tex-Mex Bowl With Cottage Cheese (V), The Full House Nachos (Veg)"/>
    <n v="3816"/>
    <n v="0"/>
    <n v="3816"/>
    <n v="278.68"/>
    <n v="0.32"/>
    <n v="4095"/>
    <x v="4"/>
    <m/>
    <s v="Printed"/>
    <x v="29"/>
    <x v="714"/>
  </r>
  <r>
    <n v="1063"/>
    <s v="Dine In (4)"/>
    <s v="Dine In"/>
    <m/>
    <m/>
    <m/>
    <m/>
    <m/>
    <m/>
    <s v="Cappuccino, Classic Hot Chocolate, Mushroom Alfredo, Peri Peri Cottage Cheese Pizza, Pinefire"/>
    <n v="2640"/>
    <n v="0"/>
    <n v="2640"/>
    <n v="132"/>
    <n v="0"/>
    <n v="2772"/>
    <x v="4"/>
    <m/>
    <s v="Printed"/>
    <x v="29"/>
    <x v="715"/>
  </r>
  <r>
    <n v="1064"/>
    <s v="Dine In (11)"/>
    <s v="Dine In"/>
    <m/>
    <m/>
    <m/>
    <m/>
    <m/>
    <m/>
    <s v="Classic Garlic Gambit, Rainbow Roll Pizza, Secret Mocha"/>
    <n v="880"/>
    <n v="0"/>
    <n v="880"/>
    <n v="44"/>
    <n v="0"/>
    <n v="924"/>
    <x v="1"/>
    <m/>
    <s v="Printed"/>
    <x v="29"/>
    <x v="716"/>
  </r>
  <r>
    <n v="1065"/>
    <s v="Dine In (10)"/>
    <s v="Dine In"/>
    <m/>
    <m/>
    <m/>
    <m/>
    <m/>
    <m/>
    <s v="Claasic Cold Coffee, Pinefire, Rainbow Roll Pizza, Stained Sagrada"/>
    <n v="1230"/>
    <n v="0"/>
    <n v="1230"/>
    <n v="61.5"/>
    <n v="0.5"/>
    <n v="1292"/>
    <x v="4"/>
    <m/>
    <s v="Printed"/>
    <x v="29"/>
    <x v="717"/>
  </r>
  <r>
    <n v="1066"/>
    <s v="Dine In (AMOL)"/>
    <s v="Dine In"/>
    <m/>
    <m/>
    <m/>
    <m/>
    <m/>
    <m/>
    <s v="Add Paneer, Tex-Mex Bowl With Cottage Cheese (V)"/>
    <n v="504"/>
    <n v="75.599999999999994"/>
    <n v="428.4"/>
    <n v="18.059999999999999"/>
    <n v="-0.46"/>
    <n v="446"/>
    <x v="0"/>
    <m/>
    <s v="Printed"/>
    <x v="29"/>
    <x v="718"/>
  </r>
  <r>
    <n v="1067"/>
    <s v="Dine In (SHIVAM)"/>
    <s v="Dine In"/>
    <m/>
    <m/>
    <m/>
    <m/>
    <m/>
    <m/>
    <s v="Classic Hot Chocolate"/>
    <n v="325"/>
    <n v="0"/>
    <n v="325"/>
    <n v="16.260000000000002"/>
    <n v="-0.26"/>
    <n v="341"/>
    <x v="2"/>
    <m/>
    <s v="Printed"/>
    <x v="29"/>
    <x v="719"/>
  </r>
  <r>
    <n v="1068"/>
    <s v="Dine In (3)"/>
    <s v="Dine In"/>
    <m/>
    <m/>
    <m/>
    <m/>
    <m/>
    <m/>
    <s v="Asian Bowl Hot Garlic Stir Fry Bean Curd, Chocolate Chip Pancakes, Salsa Rose"/>
    <n v="1275"/>
    <n v="0"/>
    <n v="1275"/>
    <n v="63.76"/>
    <n v="0.24"/>
    <n v="1339"/>
    <x v="4"/>
    <m/>
    <s v="Printed"/>
    <x v="29"/>
    <x v="720"/>
  </r>
  <r>
    <n v="1069"/>
    <s v="Dine In (4)"/>
    <s v="Dine In"/>
    <m/>
    <m/>
    <m/>
    <m/>
    <m/>
    <m/>
    <s v="Classic Margherita Pizza, Classical Chicken Stroganoff"/>
    <n v="1150"/>
    <n v="0"/>
    <n v="1150"/>
    <n v="57.5"/>
    <n v="0.5"/>
    <n v="1208"/>
    <x v="2"/>
    <m/>
    <s v="Printed"/>
    <x v="29"/>
    <x v="721"/>
  </r>
  <r>
    <n v="1070"/>
    <s v="Dine In (VIKAS)"/>
    <s v="Dine In"/>
    <m/>
    <m/>
    <m/>
    <m/>
    <m/>
    <m/>
    <s v="Masala Egg Bhurji"/>
    <n v="0"/>
    <n v="0"/>
    <n v="0"/>
    <n v="0"/>
    <n v="0"/>
    <n v="0"/>
    <x v="1"/>
    <m/>
    <s v="Printed"/>
    <x v="29"/>
    <x v="722"/>
  </r>
  <r>
    <n v="1071"/>
    <s v="Dine In (YASH)"/>
    <s v="Dine In"/>
    <m/>
    <m/>
    <m/>
    <m/>
    <m/>
    <m/>
    <s v="Classic Lemon Ice Tea"/>
    <n v="165"/>
    <n v="0"/>
    <n v="165"/>
    <n v="8.26"/>
    <n v="-0.26"/>
    <n v="173"/>
    <x v="2"/>
    <m/>
    <s v="Printed"/>
    <x v="29"/>
    <x v="723"/>
  </r>
  <r>
    <n v="1072"/>
    <s v="Dine In (RADHIKA MAAM)"/>
    <s v="Dine In"/>
    <m/>
    <m/>
    <m/>
    <m/>
    <m/>
    <m/>
    <s v="Buffalo Chicken Wings With Ranch Dip, Grilled Chicken"/>
    <n v="0"/>
    <n v="0"/>
    <n v="0"/>
    <n v="0"/>
    <n v="0"/>
    <n v="0"/>
    <x v="1"/>
    <m/>
    <s v="Printed"/>
    <x v="29"/>
    <x v="724"/>
  </r>
  <r>
    <n v="1073"/>
    <s v="Dine In (shivangi)"/>
    <s v="Dine In"/>
    <m/>
    <m/>
    <m/>
    <m/>
    <m/>
    <m/>
    <s v="Classic Hot Chocolate"/>
    <n v="325"/>
    <n v="0"/>
    <n v="325"/>
    <n v="16.260000000000002"/>
    <n v="-0.26"/>
    <n v="341"/>
    <x v="2"/>
    <m/>
    <s v="Printed"/>
    <x v="29"/>
    <x v="725"/>
  </r>
  <r>
    <n v="1074"/>
    <s v="Dine In (RANVEER)"/>
    <s v="Dine In"/>
    <m/>
    <m/>
    <m/>
    <m/>
    <m/>
    <m/>
    <s v="Banana Walnut Teacakes, Grilled Meaty Maverick"/>
    <n v="610"/>
    <n v="91.5"/>
    <n v="518.5"/>
    <n v="25.92"/>
    <n v="-0.42"/>
    <n v="544"/>
    <x v="2"/>
    <m/>
    <s v="Printed"/>
    <x v="29"/>
    <x v="726"/>
  </r>
  <r>
    <n v="1075"/>
    <s v="Dine In (JATIN)"/>
    <s v="Dine In"/>
    <m/>
    <m/>
    <m/>
    <m/>
    <m/>
    <m/>
    <s v="Classic Garlic Gambit"/>
    <n v="150"/>
    <n v="0"/>
    <n v="150"/>
    <n v="7.5"/>
    <n v="0.5"/>
    <n v="158"/>
    <x v="2"/>
    <m/>
    <s v="Printed"/>
    <x v="29"/>
    <x v="727"/>
  </r>
  <r>
    <n v="1076"/>
    <s v="Dine In (VIKASH SIR)"/>
    <s v="Dine In"/>
    <m/>
    <m/>
    <m/>
    <m/>
    <m/>
    <m/>
    <s v="Banana Walnut Teacakes, Espresso Tiramisu"/>
    <n v="0"/>
    <n v="0"/>
    <n v="0"/>
    <n v="0"/>
    <n v="0"/>
    <n v="0"/>
    <x v="1"/>
    <m/>
    <s v="Printed"/>
    <x v="29"/>
    <x v="728"/>
  </r>
  <r>
    <n v="1077"/>
    <s v="Dine In (sidhant sir)"/>
    <s v="Dine In"/>
    <m/>
    <m/>
    <m/>
    <m/>
    <m/>
    <m/>
    <s v="Cinnamon Hot Chocolate, Egg French Omelette, Extra Vegetables"/>
    <n v="815"/>
    <n v="0"/>
    <n v="815"/>
    <n v="34.76"/>
    <n v="0.24"/>
    <n v="850"/>
    <x v="0"/>
    <m/>
    <s v="Printed"/>
    <x v="29"/>
    <x v="729"/>
  </r>
  <r>
    <n v="1078"/>
    <s v="Dine In (JTOTSHNA)"/>
    <s v="Dine In"/>
    <m/>
    <m/>
    <m/>
    <m/>
    <m/>
    <m/>
    <s v="Gaming Charge, The Catalyst"/>
    <n v="459"/>
    <n v="0"/>
    <n v="459"/>
    <n v="44.92"/>
    <n v="0.08"/>
    <n v="504"/>
    <x v="2"/>
    <m/>
    <s v="Printed"/>
    <x v="29"/>
    <x v="730"/>
  </r>
  <r>
    <n v="1079"/>
    <s v="Dine In (DHRUV)"/>
    <s v="Dine In"/>
    <m/>
    <m/>
    <m/>
    <m/>
    <m/>
    <m/>
    <s v="Creamy Pesto, Grilled Chicken"/>
    <n v="1150"/>
    <n v="172.5"/>
    <n v="977.5"/>
    <n v="48.88"/>
    <n v="-0.38"/>
    <n v="1026"/>
    <x v="0"/>
    <m/>
    <s v="Printed"/>
    <x v="29"/>
    <x v="362"/>
  </r>
  <r>
    <n v="1080"/>
    <s v="Dine In (2)"/>
    <s v="Dine In"/>
    <m/>
    <m/>
    <m/>
    <m/>
    <m/>
    <m/>
    <s v="Honey Cinnamon Cold Brew, Salsa Rose"/>
    <n v="675"/>
    <n v="0"/>
    <n v="675"/>
    <n v="33.76"/>
    <n v="0.24"/>
    <n v="709"/>
    <x v="2"/>
    <m/>
    <s v="Printed"/>
    <x v="29"/>
    <x v="149"/>
  </r>
  <r>
    <n v="1081"/>
    <s v="Dine In (5)"/>
    <s v="Dine In"/>
    <m/>
    <m/>
    <m/>
    <m/>
    <m/>
    <m/>
    <s v="Cappuccino"/>
    <n v="500"/>
    <n v="0"/>
    <n v="500"/>
    <n v="25"/>
    <n v="0"/>
    <n v="525"/>
    <x v="2"/>
    <m/>
    <s v="Printed"/>
    <x v="29"/>
    <x v="731"/>
  </r>
  <r>
    <n v="1082"/>
    <s v="Dine In (jai)"/>
    <s v="Dine In"/>
    <m/>
    <m/>
    <m/>
    <m/>
    <m/>
    <m/>
    <s v="Cappuccino"/>
    <n v="250"/>
    <n v="0"/>
    <n v="250"/>
    <n v="12.5"/>
    <n v="0.5"/>
    <n v="263"/>
    <x v="2"/>
    <m/>
    <s v="Printed"/>
    <x v="30"/>
    <x v="732"/>
  </r>
  <r>
    <n v="1083"/>
    <s v="Dine In (4)"/>
    <s v="Dine In"/>
    <m/>
    <m/>
    <m/>
    <m/>
    <m/>
    <m/>
    <s v="Captain Fish Fingers, Cookies - Cookie Of The Week, Middle-East Meetup, Peri Peri Cottage Cheese Pizza, Roasted Tomato &amp; Basil"/>
    <n v="1810"/>
    <n v="0"/>
    <n v="1810"/>
    <n v="90.5"/>
    <n v="0.5"/>
    <n v="1901"/>
    <x v="0"/>
    <m/>
    <s v="Printed"/>
    <x v="30"/>
    <x v="733"/>
  </r>
  <r>
    <n v="1084"/>
    <s v="Dine In (11)"/>
    <s v="Dine In"/>
    <m/>
    <m/>
    <m/>
    <m/>
    <m/>
    <m/>
    <s v="Chicken Quesadilla, Classic Margherita Pizza, Egg French Omelette, Extra Dip, Tex-Mex Bowl Grilled Chicken"/>
    <n v="2409"/>
    <n v="0"/>
    <n v="2409"/>
    <n v="119"/>
    <n v="0"/>
    <n v="2528"/>
    <x v="1"/>
    <m/>
    <s v="Printed"/>
    <x v="30"/>
    <x v="734"/>
  </r>
  <r>
    <n v="1085"/>
    <s v="Dine In (5)"/>
    <s v="Dine In"/>
    <m/>
    <m/>
    <m/>
    <m/>
    <m/>
    <m/>
    <s v="Brown Butter Latte, Burrata Baron Pizza, Captain Fish Fingers, Truffle And Parmesan Crispy Scouts, Truffle Mushroom Arancini"/>
    <n v="2075"/>
    <n v="0"/>
    <n v="2075"/>
    <n v="103.76"/>
    <n v="0.24"/>
    <n v="2179"/>
    <x v="2"/>
    <m/>
    <s v="Printed"/>
    <x v="30"/>
    <x v="735"/>
  </r>
  <r>
    <n v="1086"/>
    <s v="Dine In (15)"/>
    <s v="Dine In"/>
    <m/>
    <m/>
    <m/>
    <m/>
    <m/>
    <m/>
    <s v="Water Bottle"/>
    <n v="60"/>
    <n v="0"/>
    <n v="60"/>
    <n v="0"/>
    <n v="0"/>
    <n v="60"/>
    <x v="2"/>
    <m/>
    <s v="Printed"/>
    <x v="30"/>
    <x v="736"/>
  </r>
  <r>
    <n v="1087"/>
    <s v="Dine In (1)"/>
    <s v="Dine In"/>
    <m/>
    <m/>
    <m/>
    <m/>
    <m/>
    <m/>
    <s v="Asian Bowl Hot Garlic Stir Fry Bean Curd, Brown Butter Latte, Creamy Pesto, Mushroom Marauders Bruschetta, New Classic Hot Chocolate, Pistachio Latte"/>
    <n v="2165"/>
    <n v="0"/>
    <n v="2165"/>
    <n v="108.26"/>
    <n v="-0.26"/>
    <n v="2273"/>
    <x v="0"/>
    <m/>
    <s v="Printed"/>
    <x v="30"/>
    <x v="737"/>
  </r>
  <r>
    <n v="1088"/>
    <s v="Dine In (5)"/>
    <s v="Dine In"/>
    <m/>
    <m/>
    <m/>
    <m/>
    <m/>
    <m/>
    <s v="Avocado Vanguard, Classic Hot Chocolate"/>
    <n v="675"/>
    <n v="0"/>
    <n v="675"/>
    <n v="33.76"/>
    <n v="0.24"/>
    <n v="709"/>
    <x v="4"/>
    <m/>
    <s v="Printed"/>
    <x v="30"/>
    <x v="738"/>
  </r>
  <r>
    <n v="1089"/>
    <s v="Dine In (2)"/>
    <s v="Dine In"/>
    <m/>
    <m/>
    <m/>
    <m/>
    <m/>
    <m/>
    <s v="Rainbow Roll Pizza, Thukpa Vegan"/>
    <n v="1320"/>
    <n v="0"/>
    <n v="1320"/>
    <n v="66"/>
    <n v="0"/>
    <n v="1386"/>
    <x v="1"/>
    <m/>
    <s v="Printed"/>
    <x v="30"/>
    <x v="739"/>
  </r>
  <r>
    <n v="1090"/>
    <s v="Dine In (6)"/>
    <s v="Dine In"/>
    <m/>
    <m/>
    <m/>
    <m/>
    <m/>
    <m/>
    <s v="Banana Caramel Pancakes, Cappuccino, Chicken Conqueror Burger, Classic Margherita Pizza, Ratatouille Bunny Chow"/>
    <n v="1900"/>
    <n v="0"/>
    <n v="1900"/>
    <n v="95"/>
    <n v="0"/>
    <n v="1995"/>
    <x v="4"/>
    <m/>
    <s v="Printed"/>
    <x v="30"/>
    <x v="740"/>
  </r>
  <r>
    <n v="1091"/>
    <s v="Dine In (5)"/>
    <s v="Dine In"/>
    <m/>
    <m/>
    <m/>
    <m/>
    <m/>
    <m/>
    <s v="Flat White"/>
    <n v="480"/>
    <n v="0"/>
    <n v="480"/>
    <n v="24"/>
    <n v="0"/>
    <n v="504"/>
    <x v="2"/>
    <m/>
    <s v="Printed"/>
    <x v="30"/>
    <x v="741"/>
  </r>
  <r>
    <n v="1092"/>
    <s v="Dine In (4)"/>
    <s v="Dine In"/>
    <m/>
    <m/>
    <m/>
    <m/>
    <m/>
    <m/>
    <s v="Captain Fish Fingers, Chicken Conqueror Burger, Classic Hot Chocolate, Creamy Pesto, Semolina And Pistachio Teacakes"/>
    <n v="2275"/>
    <n v="0"/>
    <n v="2275"/>
    <n v="113.76"/>
    <n v="0.24"/>
    <n v="2389"/>
    <x v="2"/>
    <m/>
    <s v="Printed"/>
    <x v="30"/>
    <x v="742"/>
  </r>
  <r>
    <n v="1093"/>
    <s v="Dine In (12)"/>
    <s v="Dine In"/>
    <m/>
    <m/>
    <m/>
    <m/>
    <m/>
    <m/>
    <s v="Middle-East Meetup, Pistachio Latte, Secret Mocha, Sour Cream And Onion Crispy Scouts"/>
    <n v="1145"/>
    <n v="114.5"/>
    <n v="1030.5"/>
    <n v="51.52"/>
    <n v="-0.02"/>
    <n v="1082"/>
    <x v="2"/>
    <m/>
    <s v="Printed"/>
    <x v="30"/>
    <x v="743"/>
  </r>
  <r>
    <n v="1094"/>
    <s v="Dine In (4)"/>
    <s v="Dine In"/>
    <m/>
    <m/>
    <m/>
    <m/>
    <m/>
    <m/>
    <s v="Burnt Garlic &amp; Cauliflower, Peri Peri Cottage Cheese Pizza"/>
    <n v="875"/>
    <n v="0"/>
    <n v="875"/>
    <n v="43.76"/>
    <n v="0.24"/>
    <n v="919"/>
    <x v="4"/>
    <m/>
    <s v="Printed"/>
    <x v="30"/>
    <x v="744"/>
  </r>
  <r>
    <n v="1095"/>
    <s v="Dine In (soniya)"/>
    <s v="Dine In"/>
    <m/>
    <m/>
    <m/>
    <m/>
    <m/>
    <m/>
    <s v="Rainbow Roll Pizza, Spicy Chicken Tenders"/>
    <n v="840"/>
    <n v="0"/>
    <n v="840"/>
    <n v="42"/>
    <n v="0"/>
    <n v="882"/>
    <x v="2"/>
    <m/>
    <s v="Printed"/>
    <x v="30"/>
    <x v="745"/>
  </r>
  <r>
    <n v="1096"/>
    <s v="Dine In (2)"/>
    <s v="Dine In"/>
    <m/>
    <m/>
    <m/>
    <m/>
    <m/>
    <m/>
    <s v="Buffalo Chicken Wings With Ranch Dip, Rainbow Roll Pizza, Roasted Tomato &amp; Basil, Truffle And Parmesan Crispy Scouts, Vanilla And Cocoa Marble Teacakes"/>
    <n v="1550"/>
    <n v="0"/>
    <n v="1550"/>
    <n v="77.5"/>
    <n v="0.5"/>
    <n v="1628"/>
    <x v="4"/>
    <m/>
    <s v="Printed"/>
    <x v="30"/>
    <x v="746"/>
  </r>
  <r>
    <n v="1097"/>
    <s v="Dine In (12)"/>
    <s v="Dine In"/>
    <m/>
    <m/>
    <m/>
    <m/>
    <m/>
    <m/>
    <s v="Captain Fish Fingers, Extra Vegetables, Hot Americano, Rainbow Roll Pizza"/>
    <n v="1420"/>
    <n v="0"/>
    <n v="1420"/>
    <n v="65"/>
    <n v="0"/>
    <n v="1485"/>
    <x v="2"/>
    <m/>
    <s v="Printed"/>
    <x v="30"/>
    <x v="747"/>
  </r>
  <r>
    <n v="1098"/>
    <s v="Dine In (7)"/>
    <s v="Dine In"/>
    <m/>
    <m/>
    <m/>
    <m/>
    <m/>
    <m/>
    <s v="Classic Hot Chocolate, Classic Pancakes, Pistachio Latte"/>
    <n v="1045"/>
    <n v="156.75"/>
    <n v="888.25"/>
    <n v="44.42"/>
    <n v="0.33"/>
    <n v="933"/>
    <x v="0"/>
    <m/>
    <s v="Printed"/>
    <x v="30"/>
    <x v="748"/>
  </r>
  <r>
    <n v="1099"/>
    <s v="Dine In (3)"/>
    <s v="Dine In"/>
    <m/>
    <m/>
    <m/>
    <m/>
    <m/>
    <m/>
    <s v="Captain Fish Fingers, Classic Bombay Maestro Sandwich, Espresso Tiramisu, Salsa Rose, The Full House Nachos (Veg), Vanilla And Cocoa Marble Teacakes"/>
    <n v="2220"/>
    <n v="0"/>
    <n v="2220"/>
    <n v="111"/>
    <n v="0"/>
    <n v="2331"/>
    <x v="2"/>
    <m/>
    <s v="Printed"/>
    <x v="30"/>
    <x v="749"/>
  </r>
  <r>
    <n v="1100"/>
    <s v="Dine In (4)"/>
    <s v="Dine In"/>
    <m/>
    <m/>
    <m/>
    <m/>
    <m/>
    <m/>
    <s v="Classic Margherita Pizza, Iced Americano"/>
    <n v="675"/>
    <n v="0"/>
    <n v="675"/>
    <n v="33.76"/>
    <n v="0.24"/>
    <n v="709"/>
    <x v="4"/>
    <m/>
    <s v="Printed"/>
    <x v="30"/>
    <x v="750"/>
  </r>
  <r>
    <n v="1101"/>
    <s v="Dine In (12)"/>
    <s v="Dine In"/>
    <m/>
    <m/>
    <m/>
    <m/>
    <m/>
    <m/>
    <s v="Brown Butter Latte, Cappuccino"/>
    <n v="545"/>
    <n v="81.75"/>
    <n v="463.25"/>
    <n v="23.16"/>
    <n v="-0.41"/>
    <n v="486"/>
    <x v="2"/>
    <m/>
    <s v="Printed"/>
    <x v="30"/>
    <x v="751"/>
  </r>
  <r>
    <n v="1102"/>
    <s v="Dine In (5)"/>
    <s v="Dine In"/>
    <m/>
    <m/>
    <m/>
    <m/>
    <m/>
    <m/>
    <s v="Chicken Quesadilla, Lebanese Chicken Pizza, The Full House Nachos (Veg)"/>
    <n v="1575"/>
    <n v="0"/>
    <n v="1575"/>
    <n v="78.760000000000005"/>
    <n v="0.24"/>
    <n v="1654"/>
    <x v="4"/>
    <m/>
    <s v="Printed"/>
    <x v="30"/>
    <x v="752"/>
  </r>
  <r>
    <n v="1103"/>
    <s v="Dine In (11)"/>
    <s v="Dine In"/>
    <m/>
    <m/>
    <m/>
    <m/>
    <m/>
    <m/>
    <s v="Avocado Vanguard, Chicken &amp; Cheese On Toast, New Classic Hot Chocolate"/>
    <n v="1135"/>
    <n v="0"/>
    <n v="1135"/>
    <n v="56.76"/>
    <n v="0.24"/>
    <n v="1192"/>
    <x v="4"/>
    <m/>
    <s v="Printed"/>
    <x v="30"/>
    <x v="753"/>
  </r>
  <r>
    <n v="1104"/>
    <s v="Dine In (6)"/>
    <s v="Dine In"/>
    <m/>
    <m/>
    <m/>
    <m/>
    <m/>
    <m/>
    <s v="Spicy Chicken Tenders, Thukpa Vegan"/>
    <n v="680"/>
    <n v="0"/>
    <n v="680"/>
    <n v="34"/>
    <n v="0"/>
    <n v="714"/>
    <x v="4"/>
    <m/>
    <s v="Printed"/>
    <x v="30"/>
    <x v="754"/>
  </r>
  <r>
    <n v="1105"/>
    <s v="Dine In (1)"/>
    <s v="Dine In"/>
    <m/>
    <m/>
    <m/>
    <m/>
    <m/>
    <m/>
    <s v="Claasic Cold Coffee, Classic Margherita Pizza, Roasted Tomato &amp; Basil, Sour Cream And Onion Wrdges Warriors, Tex-Mex Bowl With Cottage Cheese (V)"/>
    <n v="1615"/>
    <n v="161.5"/>
    <n v="1453.5"/>
    <n v="72.680000000000007"/>
    <n v="-0.18"/>
    <n v="1526"/>
    <x v="2"/>
    <m/>
    <s v="Printed"/>
    <x v="30"/>
    <x v="755"/>
  </r>
  <r>
    <n v="1106"/>
    <s v="Dine In (7)"/>
    <s v="Dine In"/>
    <m/>
    <m/>
    <m/>
    <m/>
    <m/>
    <m/>
    <s v="Arrabbiata Ambush, Classic Garlic Gambit"/>
    <n v="755"/>
    <n v="0"/>
    <n v="755"/>
    <n v="37.76"/>
    <n v="0.24"/>
    <n v="793"/>
    <x v="0"/>
    <m/>
    <s v="Printed"/>
    <x v="30"/>
    <x v="756"/>
  </r>
  <r>
    <n v="1107"/>
    <s v="Dine In (rahul)"/>
    <s v="Dine In"/>
    <m/>
    <m/>
    <m/>
    <m/>
    <m/>
    <m/>
    <s v="Salsa Rose, Truffle And Parmesan Crispy Scouts"/>
    <n v="665"/>
    <n v="66.5"/>
    <n v="598.5"/>
    <n v="29.92"/>
    <n v="-0.42"/>
    <n v="628"/>
    <x v="2"/>
    <m/>
    <s v="Printed"/>
    <x v="30"/>
    <x v="757"/>
  </r>
  <r>
    <n v="1108"/>
    <s v="Dine In (radhika maam)"/>
    <s v="Dine In"/>
    <m/>
    <m/>
    <m/>
    <m/>
    <m/>
    <m/>
    <s v="Buffalo Chicken Wings With Ranch Dip, Chicken &amp; Cheese On Toast, Classic Hot Chocolate, Cookies - Cookie Of The Week, Espresso Tiramisu"/>
    <n v="0"/>
    <n v="0"/>
    <n v="0"/>
    <n v="0"/>
    <n v="0"/>
    <n v="0"/>
    <x v="1"/>
    <m/>
    <s v="Printed"/>
    <x v="30"/>
    <x v="758"/>
  </r>
  <r>
    <n v="1109"/>
    <s v="Dine In (VIKASH SIR)"/>
    <s v="Dine In"/>
    <m/>
    <m/>
    <m/>
    <m/>
    <m/>
    <m/>
    <s v="Salsa Rose, The Full House Nachos (Veg)"/>
    <n v="0"/>
    <n v="0"/>
    <n v="0"/>
    <n v="0"/>
    <n v="0"/>
    <n v="0"/>
    <x v="1"/>
    <m/>
    <s v="Printed"/>
    <x v="30"/>
    <x v="759"/>
  </r>
  <r>
    <n v="1110"/>
    <s v="Dine In (vikash sir)"/>
    <s v="Dine In"/>
    <m/>
    <m/>
    <m/>
    <m/>
    <m/>
    <m/>
    <s v="Spicy Chicken Tenders"/>
    <n v="0"/>
    <n v="0"/>
    <n v="0"/>
    <n v="0"/>
    <n v="0"/>
    <n v="0"/>
    <x v="1"/>
    <m/>
    <s v="Printed"/>
    <x v="30"/>
    <x v="760"/>
  </r>
  <r>
    <n v="1111"/>
    <s v="Dine In (SIDHART SIR)"/>
    <s v="Dine In"/>
    <m/>
    <m/>
    <m/>
    <m/>
    <m/>
    <m/>
    <s v="Chicken &amp; Cheese On Toast"/>
    <n v="380"/>
    <n v="0"/>
    <n v="380"/>
    <n v="19"/>
    <n v="0"/>
    <n v="399"/>
    <x v="0"/>
    <m/>
    <s v="Printed"/>
    <x v="30"/>
    <x v="761"/>
  </r>
  <r>
    <n v="1112"/>
    <s v="Dine In (5)"/>
    <s v="Dine In"/>
    <m/>
    <m/>
    <m/>
    <m/>
    <m/>
    <m/>
    <s v="Chicken Quesadilla, Classic Bombay Maestro Sandwich, Classic Hot Chocolate"/>
    <n v="1675"/>
    <n v="0"/>
    <n v="1675"/>
    <n v="83.76"/>
    <n v="0.24"/>
    <n v="1759"/>
    <x v="4"/>
    <m/>
    <s v="Printed"/>
    <x v="30"/>
    <x v="762"/>
  </r>
  <r>
    <n v="1038"/>
    <m/>
    <m/>
    <m/>
    <m/>
    <m/>
    <m/>
    <m/>
    <m/>
    <m/>
    <m/>
    <m/>
    <n v="636.19047619047615"/>
    <n v="31.809523809523807"/>
    <m/>
    <n v="668"/>
    <x v="2"/>
    <m/>
    <m/>
    <x v="30"/>
    <x v="763"/>
  </r>
  <r>
    <n v="1038"/>
    <m/>
    <m/>
    <m/>
    <m/>
    <m/>
    <m/>
    <m/>
    <m/>
    <m/>
    <m/>
    <m/>
    <n v="1428.5714285714287"/>
    <n v="71.428571428571431"/>
    <m/>
    <n v="1500"/>
    <x v="1"/>
    <m/>
    <m/>
    <x v="30"/>
    <x v="763"/>
  </r>
  <r>
    <n v="977"/>
    <m/>
    <m/>
    <m/>
    <m/>
    <m/>
    <m/>
    <m/>
    <m/>
    <m/>
    <m/>
    <m/>
    <n v="158.0952380952381"/>
    <n v="7.9047619047619051"/>
    <m/>
    <n v="166"/>
    <x v="2"/>
    <m/>
    <m/>
    <x v="30"/>
    <x v="763"/>
  </r>
  <r>
    <n v="977"/>
    <m/>
    <m/>
    <m/>
    <m/>
    <m/>
    <m/>
    <m/>
    <m/>
    <m/>
    <m/>
    <m/>
    <n v="952.38095238095241"/>
    <n v="47.61904761904762"/>
    <m/>
    <n v="1000"/>
    <x v="1"/>
    <m/>
    <m/>
    <x v="30"/>
    <x v="763"/>
  </r>
  <r>
    <n v="850"/>
    <m/>
    <m/>
    <m/>
    <m/>
    <m/>
    <m/>
    <m/>
    <m/>
    <m/>
    <m/>
    <m/>
    <n v="78.095238095238102"/>
    <n v="3.9047619047619047"/>
    <m/>
    <n v="82"/>
    <x v="2"/>
    <m/>
    <m/>
    <x v="30"/>
    <x v="763"/>
  </r>
  <r>
    <n v="850"/>
    <m/>
    <m/>
    <m/>
    <m/>
    <m/>
    <m/>
    <m/>
    <m/>
    <m/>
    <m/>
    <m/>
    <n v="4761.9047619047624"/>
    <n v="238.09523809523813"/>
    <m/>
    <n v="5000"/>
    <x v="1"/>
    <m/>
    <m/>
    <x v="30"/>
    <x v="763"/>
  </r>
  <r>
    <n v="810"/>
    <m/>
    <m/>
    <m/>
    <m/>
    <m/>
    <m/>
    <m/>
    <m/>
    <m/>
    <m/>
    <m/>
    <n v="1684.7619047619048"/>
    <n v="84.238095238095241"/>
    <m/>
    <n v="1769"/>
    <x v="4"/>
    <m/>
    <m/>
    <x v="30"/>
    <x v="763"/>
  </r>
  <r>
    <n v="810"/>
    <m/>
    <m/>
    <m/>
    <m/>
    <m/>
    <m/>
    <m/>
    <m/>
    <m/>
    <m/>
    <m/>
    <n v="77.142857142857153"/>
    <n v="3.8571428571428577"/>
    <m/>
    <n v="81"/>
    <x v="1"/>
    <m/>
    <m/>
    <x v="30"/>
    <x v="763"/>
  </r>
  <r>
    <n v="722"/>
    <m/>
    <m/>
    <m/>
    <m/>
    <m/>
    <m/>
    <m/>
    <m/>
    <m/>
    <m/>
    <m/>
    <n v="82.857142857142861"/>
    <n v="4.1428571428571432"/>
    <m/>
    <n v="87"/>
    <x v="2"/>
    <m/>
    <m/>
    <x v="30"/>
    <x v="763"/>
  </r>
  <r>
    <n v="722"/>
    <m/>
    <m/>
    <m/>
    <m/>
    <m/>
    <m/>
    <m/>
    <m/>
    <m/>
    <m/>
    <m/>
    <n v="952.38095238095241"/>
    <n v="47.61904761904762"/>
    <m/>
    <n v="1000"/>
    <x v="1"/>
    <m/>
    <m/>
    <x v="30"/>
    <x v="763"/>
  </r>
  <r>
    <n v="694"/>
    <m/>
    <m/>
    <m/>
    <m/>
    <m/>
    <m/>
    <m/>
    <m/>
    <m/>
    <m/>
    <m/>
    <n v="59.047619047619051"/>
    <n v="2.9523809523809526"/>
    <m/>
    <n v="62"/>
    <x v="2"/>
    <m/>
    <m/>
    <x v="30"/>
    <x v="763"/>
  </r>
  <r>
    <n v="694"/>
    <m/>
    <m/>
    <m/>
    <m/>
    <m/>
    <m/>
    <m/>
    <m/>
    <m/>
    <m/>
    <m/>
    <n v="476.1904761904762"/>
    <n v="23.80952380952381"/>
    <m/>
    <n v="500"/>
    <x v="1"/>
    <m/>
    <m/>
    <x v="30"/>
    <x v="763"/>
  </r>
  <r>
    <n v="643"/>
    <m/>
    <m/>
    <m/>
    <m/>
    <m/>
    <m/>
    <m/>
    <m/>
    <m/>
    <m/>
    <m/>
    <n v="70.476190476190482"/>
    <n v="3.5238095238095242"/>
    <m/>
    <n v="74"/>
    <x v="2"/>
    <m/>
    <m/>
    <x v="30"/>
    <x v="763"/>
  </r>
  <r>
    <n v="643"/>
    <m/>
    <m/>
    <m/>
    <m/>
    <m/>
    <m/>
    <m/>
    <m/>
    <m/>
    <m/>
    <m/>
    <n v="476.1904761904762"/>
    <n v="23.80952380952381"/>
    <m/>
    <n v="500"/>
    <x v="1"/>
    <m/>
    <m/>
    <x v="30"/>
    <x v="763"/>
  </r>
  <r>
    <n v="433"/>
    <m/>
    <m/>
    <m/>
    <m/>
    <m/>
    <m/>
    <m/>
    <m/>
    <m/>
    <m/>
    <m/>
    <n v="9.5238095238095237"/>
    <n v="0.47619047619047622"/>
    <m/>
    <n v="10"/>
    <x v="2"/>
    <m/>
    <m/>
    <x v="30"/>
    <x v="763"/>
  </r>
  <r>
    <n v="433"/>
    <m/>
    <m/>
    <m/>
    <m/>
    <m/>
    <m/>
    <m/>
    <m/>
    <m/>
    <m/>
    <m/>
    <n v="760.95238095238096"/>
    <n v="38.047619047619044"/>
    <m/>
    <n v="799"/>
    <x v="1"/>
    <m/>
    <m/>
    <x v="30"/>
    <x v="7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88553A-481C-40E9-8DA0-8F7985C66BFF}"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M11" firstHeaderRow="1" firstDataRow="3"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dataField="1" showAll="0"/>
    <pivotField showAll="0"/>
    <pivotField showAll="0"/>
    <pivotField axis="axisRow" showAll="0">
      <items count="6">
        <item x="0"/>
        <item x="1"/>
        <item x="4"/>
        <item x="2"/>
        <item x="3"/>
        <item t="default"/>
      </items>
    </pivotField>
    <pivotField showAll="0"/>
    <pivotField showAll="0"/>
    <pivotField axis="axisCol"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65">
        <item x="158"/>
        <item x="61"/>
        <item x="196"/>
        <item x="484"/>
        <item x="197"/>
        <item x="413"/>
        <item x="278"/>
        <item x="198"/>
        <item x="241"/>
        <item x="414"/>
        <item x="292"/>
        <item x="609"/>
        <item x="279"/>
        <item x="242"/>
        <item x="199"/>
        <item x="126"/>
        <item x="324"/>
        <item x="346"/>
        <item x="200"/>
        <item x="159"/>
        <item x="62"/>
        <item x="415"/>
        <item x="175"/>
        <item x="508"/>
        <item x="28"/>
        <item x="465"/>
        <item x="201"/>
        <item x="509"/>
        <item x="610"/>
        <item x="243"/>
        <item x="510"/>
        <item x="0"/>
        <item x="15"/>
        <item x="485"/>
        <item x="732"/>
        <item x="202"/>
        <item x="511"/>
        <item x="203"/>
        <item x="347"/>
        <item x="204"/>
        <item x="512"/>
        <item x="572"/>
        <item x="364"/>
        <item x="365"/>
        <item x="683"/>
        <item x="1"/>
        <item x="366"/>
        <item x="176"/>
        <item x="348"/>
        <item x="244"/>
        <item x="573"/>
        <item x="513"/>
        <item x="611"/>
        <item x="293"/>
        <item x="280"/>
        <item x="466"/>
        <item x="699"/>
        <item x="367"/>
        <item x="160"/>
        <item x="641"/>
        <item x="127"/>
        <item x="86"/>
        <item x="177"/>
        <item x="733"/>
        <item x="368"/>
        <item x="245"/>
        <item x="734"/>
        <item x="514"/>
        <item x="416"/>
        <item x="735"/>
        <item x="205"/>
        <item x="281"/>
        <item x="736"/>
        <item x="325"/>
        <item x="349"/>
        <item x="2"/>
        <item x="161"/>
        <item x="515"/>
        <item x="162"/>
        <item x="128"/>
        <item x="87"/>
        <item x="88"/>
        <item x="612"/>
        <item x="574"/>
        <item x="575"/>
        <item x="206"/>
        <item x="178"/>
        <item x="29"/>
        <item x="51"/>
        <item x="89"/>
        <item x="576"/>
        <item x="684"/>
        <item x="282"/>
        <item x="246"/>
        <item x="516"/>
        <item x="326"/>
        <item x="577"/>
        <item x="517"/>
        <item x="417"/>
        <item x="163"/>
        <item x="685"/>
        <item x="737"/>
        <item x="518"/>
        <item x="117"/>
        <item x="613"/>
        <item x="519"/>
        <item x="418"/>
        <item x="207"/>
        <item x="179"/>
        <item x="520"/>
        <item x="642"/>
        <item x="308"/>
        <item x="90"/>
        <item x="180"/>
        <item x="643"/>
        <item x="644"/>
        <item x="521"/>
        <item x="686"/>
        <item x="522"/>
        <item x="369"/>
        <item x="578"/>
        <item x="486"/>
        <item x="91"/>
        <item x="370"/>
        <item x="700"/>
        <item x="371"/>
        <item x="523"/>
        <item x="451"/>
        <item x="419"/>
        <item x="129"/>
        <item x="420"/>
        <item x="372"/>
        <item x="645"/>
        <item x="421"/>
        <item x="738"/>
        <item x="373"/>
        <item x="614"/>
        <item x="3"/>
        <item x="92"/>
        <item x="93"/>
        <item x="579"/>
        <item x="63"/>
        <item x="94"/>
        <item x="701"/>
        <item x="309"/>
        <item x="524"/>
        <item x="646"/>
        <item x="422"/>
        <item x="702"/>
        <item x="52"/>
        <item x="647"/>
        <item x="310"/>
        <item x="648"/>
        <item x="703"/>
        <item x="615"/>
        <item x="350"/>
        <item x="580"/>
        <item x="374"/>
        <item x="130"/>
        <item x="247"/>
        <item x="616"/>
        <item x="649"/>
        <item x="423"/>
        <item x="64"/>
        <item x="208"/>
        <item x="375"/>
        <item x="650"/>
        <item x="581"/>
        <item x="248"/>
        <item x="424"/>
        <item x="704"/>
        <item x="351"/>
        <item x="651"/>
        <item x="249"/>
        <item x="352"/>
        <item x="376"/>
        <item x="617"/>
        <item x="705"/>
        <item x="209"/>
        <item x="250"/>
        <item x="525"/>
        <item x="251"/>
        <item x="618"/>
        <item x="283"/>
        <item x="739"/>
        <item x="526"/>
        <item x="16"/>
        <item x="131"/>
        <item x="252"/>
        <item x="253"/>
        <item x="527"/>
        <item x="452"/>
        <item x="377"/>
        <item x="311"/>
        <item x="467"/>
        <item x="528"/>
        <item x="254"/>
        <item x="706"/>
        <item x="619"/>
        <item x="255"/>
        <item x="17"/>
        <item x="256"/>
        <item x="529"/>
        <item x="284"/>
        <item x="210"/>
        <item x="453"/>
        <item x="353"/>
        <item x="257"/>
        <item x="164"/>
        <item x="740"/>
        <item x="687"/>
        <item x="18"/>
        <item x="741"/>
        <item x="582"/>
        <item x="378"/>
        <item x="425"/>
        <item x="379"/>
        <item x="380"/>
        <item x="426"/>
        <item x="211"/>
        <item x="381"/>
        <item x="312"/>
        <item x="141"/>
        <item x="294"/>
        <item x="742"/>
        <item x="454"/>
        <item x="95"/>
        <item x="53"/>
        <item x="354"/>
        <item x="65"/>
        <item x="455"/>
        <item x="583"/>
        <item x="584"/>
        <item x="165"/>
        <item x="688"/>
        <item x="41"/>
        <item x="468"/>
        <item x="585"/>
        <item x="427"/>
        <item x="66"/>
        <item x="212"/>
        <item x="530"/>
        <item x="258"/>
        <item x="586"/>
        <item x="19"/>
        <item x="166"/>
        <item x="587"/>
        <item x="382"/>
        <item x="620"/>
        <item x="707"/>
        <item x="313"/>
        <item x="213"/>
        <item x="4"/>
        <item x="96"/>
        <item x="621"/>
        <item x="214"/>
        <item x="295"/>
        <item x="327"/>
        <item x="328"/>
        <item x="67"/>
        <item x="588"/>
        <item x="428"/>
        <item x="429"/>
        <item x="54"/>
        <item x="285"/>
        <item x="383"/>
        <item x="622"/>
        <item x="20"/>
        <item x="329"/>
        <item x="296"/>
        <item x="97"/>
        <item x="215"/>
        <item x="216"/>
        <item x="98"/>
        <item x="531"/>
        <item x="743"/>
        <item x="708"/>
        <item x="430"/>
        <item x="217"/>
        <item x="469"/>
        <item x="286"/>
        <item x="218"/>
        <item x="118"/>
        <item x="532"/>
        <item x="533"/>
        <item x="431"/>
        <item x="355"/>
        <item x="384"/>
        <item x="21"/>
        <item x="99"/>
        <item x="623"/>
        <item x="744"/>
        <item x="534"/>
        <item x="259"/>
        <item x="330"/>
        <item x="260"/>
        <item x="68"/>
        <item x="432"/>
        <item x="487"/>
        <item x="287"/>
        <item x="261"/>
        <item x="470"/>
        <item x="119"/>
        <item x="55"/>
        <item x="42"/>
        <item x="262"/>
        <item x="689"/>
        <item x="535"/>
        <item x="652"/>
        <item x="536"/>
        <item x="142"/>
        <item x="537"/>
        <item x="263"/>
        <item x="488"/>
        <item x="624"/>
        <item x="331"/>
        <item x="433"/>
        <item x="625"/>
        <item x="456"/>
        <item x="297"/>
        <item x="457"/>
        <item x="264"/>
        <item x="22"/>
        <item x="23"/>
        <item x="332"/>
        <item x="100"/>
        <item x="538"/>
        <item x="356"/>
        <item x="30"/>
        <item x="626"/>
        <item x="120"/>
        <item x="121"/>
        <item x="653"/>
        <item x="434"/>
        <item x="458"/>
        <item x="219"/>
        <item x="101"/>
        <item x="5"/>
        <item x="690"/>
        <item x="102"/>
        <item x="56"/>
        <item x="103"/>
        <item x="333"/>
        <item x="691"/>
        <item x="627"/>
        <item x="539"/>
        <item x="489"/>
        <item x="385"/>
        <item x="220"/>
        <item x="540"/>
        <item x="541"/>
        <item x="471"/>
        <item x="490"/>
        <item x="298"/>
        <item x="265"/>
        <item x="628"/>
        <item x="299"/>
        <item x="386"/>
        <item x="266"/>
        <item x="143"/>
        <item x="654"/>
        <item x="387"/>
        <item x="267"/>
        <item x="122"/>
        <item x="629"/>
        <item x="692"/>
        <item x="334"/>
        <item x="542"/>
        <item x="167"/>
        <item x="543"/>
        <item x="144"/>
        <item x="335"/>
        <item x="709"/>
        <item x="168"/>
        <item x="745"/>
        <item x="491"/>
        <item x="544"/>
        <item x="104"/>
        <item x="57"/>
        <item x="435"/>
        <item x="693"/>
        <item x="221"/>
        <item x="545"/>
        <item x="357"/>
        <item x="388"/>
        <item x="436"/>
        <item x="268"/>
        <item x="437"/>
        <item x="546"/>
        <item x="105"/>
        <item x="300"/>
        <item x="710"/>
        <item x="58"/>
        <item x="655"/>
        <item x="106"/>
        <item x="472"/>
        <item x="69"/>
        <item x="656"/>
        <item x="107"/>
        <item x="169"/>
        <item x="70"/>
        <item x="438"/>
        <item x="711"/>
        <item x="24"/>
        <item x="314"/>
        <item x="630"/>
        <item x="712"/>
        <item x="315"/>
        <item x="31"/>
        <item x="547"/>
        <item x="389"/>
        <item x="108"/>
        <item x="25"/>
        <item x="713"/>
        <item x="170"/>
        <item x="336"/>
        <item x="109"/>
        <item x="589"/>
        <item x="390"/>
        <item x="6"/>
        <item x="7"/>
        <item x="657"/>
        <item x="492"/>
        <item x="459"/>
        <item x="391"/>
        <item x="8"/>
        <item x="269"/>
        <item x="548"/>
        <item x="181"/>
        <item x="694"/>
        <item x="270"/>
        <item x="746"/>
        <item x="549"/>
        <item x="493"/>
        <item x="9"/>
        <item x="747"/>
        <item x="71"/>
        <item x="550"/>
        <item x="110"/>
        <item x="111"/>
        <item x="658"/>
        <item x="316"/>
        <item x="271"/>
        <item x="358"/>
        <item x="10"/>
        <item x="714"/>
        <item x="473"/>
        <item x="439"/>
        <item x="631"/>
        <item x="474"/>
        <item x="659"/>
        <item x="182"/>
        <item x="460"/>
        <item x="112"/>
        <item x="660"/>
        <item x="32"/>
        <item x="661"/>
        <item x="183"/>
        <item x="551"/>
        <item x="222"/>
        <item x="590"/>
        <item x="662"/>
        <item x="72"/>
        <item x="392"/>
        <item x="123"/>
        <item x="552"/>
        <item x="715"/>
        <item x="359"/>
        <item x="440"/>
        <item x="360"/>
        <item x="223"/>
        <item x="393"/>
        <item x="73"/>
        <item x="184"/>
        <item x="748"/>
        <item x="74"/>
        <item x="695"/>
        <item x="553"/>
        <item x="272"/>
        <item x="494"/>
        <item x="716"/>
        <item x="663"/>
        <item x="224"/>
        <item x="301"/>
        <item x="337"/>
        <item x="717"/>
        <item x="495"/>
        <item x="591"/>
        <item x="592"/>
        <item x="75"/>
        <item x="288"/>
        <item x="593"/>
        <item x="594"/>
        <item x="664"/>
        <item x="302"/>
        <item x="496"/>
        <item x="554"/>
        <item x="595"/>
        <item x="76"/>
        <item x="317"/>
        <item x="318"/>
        <item x="338"/>
        <item x="225"/>
        <item x="43"/>
        <item x="665"/>
        <item x="596"/>
        <item x="555"/>
        <item x="77"/>
        <item x="749"/>
        <item x="666"/>
        <item x="339"/>
        <item x="556"/>
        <item x="394"/>
        <item x="667"/>
        <item x="132"/>
        <item x="475"/>
        <item x="750"/>
        <item x="476"/>
        <item x="557"/>
        <item x="477"/>
        <item x="478"/>
        <item x="441"/>
        <item x="751"/>
        <item x="113"/>
        <item x="361"/>
        <item x="479"/>
        <item x="558"/>
        <item x="597"/>
        <item x="668"/>
        <item x="752"/>
        <item x="559"/>
        <item x="669"/>
        <item x="226"/>
        <item x="185"/>
        <item x="598"/>
        <item x="560"/>
        <item x="753"/>
        <item x="78"/>
        <item x="303"/>
        <item x="599"/>
        <item x="497"/>
        <item x="600"/>
        <item x="670"/>
        <item x="395"/>
        <item x="601"/>
        <item x="754"/>
        <item x="718"/>
        <item x="602"/>
        <item x="719"/>
        <item x="603"/>
        <item x="442"/>
        <item x="59"/>
        <item x="720"/>
        <item x="671"/>
        <item x="273"/>
        <item x="396"/>
        <item x="632"/>
        <item x="397"/>
        <item x="443"/>
        <item x="633"/>
        <item x="480"/>
        <item x="672"/>
        <item x="634"/>
        <item x="133"/>
        <item x="673"/>
        <item x="26"/>
        <item x="674"/>
        <item x="33"/>
        <item x="27"/>
        <item x="635"/>
        <item x="636"/>
        <item x="561"/>
        <item x="171"/>
        <item x="134"/>
        <item x="444"/>
        <item x="721"/>
        <item x="304"/>
        <item x="305"/>
        <item x="135"/>
        <item x="306"/>
        <item x="675"/>
        <item x="227"/>
        <item x="319"/>
        <item x="172"/>
        <item x="136"/>
        <item x="676"/>
        <item x="445"/>
        <item x="145"/>
        <item x="604"/>
        <item x="498"/>
        <item x="637"/>
        <item x="499"/>
        <item x="677"/>
        <item x="398"/>
        <item x="60"/>
        <item x="446"/>
        <item x="447"/>
        <item x="605"/>
        <item x="722"/>
        <item x="114"/>
        <item x="723"/>
        <item x="399"/>
        <item x="696"/>
        <item x="724"/>
        <item x="697"/>
        <item x="698"/>
        <item x="461"/>
        <item x="448"/>
        <item x="725"/>
        <item x="462"/>
        <item x="400"/>
        <item x="186"/>
        <item x="449"/>
        <item x="562"/>
        <item x="463"/>
        <item x="11"/>
        <item x="34"/>
        <item x="187"/>
        <item x="12"/>
        <item x="307"/>
        <item x="638"/>
        <item x="500"/>
        <item x="464"/>
        <item x="13"/>
        <item x="146"/>
        <item x="340"/>
        <item x="228"/>
        <item x="188"/>
        <item x="450"/>
        <item x="289"/>
        <item x="726"/>
        <item x="290"/>
        <item x="115"/>
        <item x="727"/>
        <item x="79"/>
        <item x="44"/>
        <item x="341"/>
        <item x="229"/>
        <item x="481"/>
        <item x="342"/>
        <item x="230"/>
        <item x="728"/>
        <item x="729"/>
        <item x="606"/>
        <item x="231"/>
        <item x="678"/>
        <item x="501"/>
        <item x="35"/>
        <item x="482"/>
        <item x="679"/>
        <item x="639"/>
        <item x="36"/>
        <item x="483"/>
        <item x="45"/>
        <item x="502"/>
        <item x="274"/>
        <item x="147"/>
        <item x="607"/>
        <item x="275"/>
        <item x="14"/>
        <item x="80"/>
        <item x="401"/>
        <item x="46"/>
        <item x="320"/>
        <item x="563"/>
        <item x="564"/>
        <item x="232"/>
        <item x="47"/>
        <item x="640"/>
        <item x="233"/>
        <item x="37"/>
        <item x="321"/>
        <item x="234"/>
        <item x="680"/>
        <item x="235"/>
        <item x="81"/>
        <item x="236"/>
        <item x="237"/>
        <item x="681"/>
        <item x="608"/>
        <item x="730"/>
        <item x="362"/>
        <item x="322"/>
        <item x="48"/>
        <item x="148"/>
        <item x="343"/>
        <item x="173"/>
        <item x="323"/>
        <item x="402"/>
        <item x="344"/>
        <item x="49"/>
        <item x="363"/>
        <item x="565"/>
        <item x="50"/>
        <item x="291"/>
        <item x="503"/>
        <item x="38"/>
        <item x="189"/>
        <item x="504"/>
        <item x="403"/>
        <item x="190"/>
        <item x="149"/>
        <item x="116"/>
        <item x="174"/>
        <item x="566"/>
        <item x="404"/>
        <item x="150"/>
        <item x="731"/>
        <item x="682"/>
        <item x="39"/>
        <item x="151"/>
        <item x="567"/>
        <item x="568"/>
        <item x="40"/>
        <item x="755"/>
        <item x="756"/>
        <item x="152"/>
        <item x="569"/>
        <item x="153"/>
        <item x="570"/>
        <item x="405"/>
        <item x="82"/>
        <item x="406"/>
        <item x="154"/>
        <item x="345"/>
        <item x="83"/>
        <item x="757"/>
        <item x="571"/>
        <item x="276"/>
        <item x="758"/>
        <item x="505"/>
        <item x="759"/>
        <item x="277"/>
        <item x="124"/>
        <item x="84"/>
        <item x="85"/>
        <item x="155"/>
        <item x="156"/>
        <item x="157"/>
        <item x="125"/>
        <item x="506"/>
        <item x="407"/>
        <item x="507"/>
        <item x="408"/>
        <item x="409"/>
        <item x="238"/>
        <item x="239"/>
        <item x="240"/>
        <item x="137"/>
        <item x="760"/>
        <item x="410"/>
        <item x="191"/>
        <item x="192"/>
        <item x="411"/>
        <item x="193"/>
        <item x="412"/>
        <item x="761"/>
        <item x="138"/>
        <item x="194"/>
        <item x="195"/>
        <item x="762"/>
        <item x="139"/>
        <item x="140"/>
        <item x="76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6"/>
  </rowFields>
  <rowItems count="6">
    <i>
      <x/>
    </i>
    <i>
      <x v="1"/>
    </i>
    <i>
      <x v="2"/>
    </i>
    <i>
      <x v="3"/>
    </i>
    <i>
      <x v="4"/>
    </i>
    <i t="grand">
      <x/>
    </i>
  </rowItems>
  <colFields count="2">
    <field x="-2"/>
    <field x="19"/>
  </colFields>
  <colItems count="64">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i="1">
      <x v="1"/>
      <x/>
    </i>
    <i r="1" i="1">
      <x v="1"/>
    </i>
    <i r="1" i="1">
      <x v="2"/>
    </i>
    <i r="1" i="1">
      <x v="3"/>
    </i>
    <i r="1" i="1">
      <x v="4"/>
    </i>
    <i r="1" i="1">
      <x v="5"/>
    </i>
    <i r="1" i="1">
      <x v="6"/>
    </i>
    <i r="1" i="1">
      <x v="7"/>
    </i>
    <i r="1" i="1">
      <x v="8"/>
    </i>
    <i r="1" i="1">
      <x v="9"/>
    </i>
    <i r="1" i="1">
      <x v="10"/>
    </i>
    <i r="1" i="1">
      <x v="11"/>
    </i>
    <i r="1" i="1">
      <x v="12"/>
    </i>
    <i r="1" i="1">
      <x v="13"/>
    </i>
    <i r="1" i="1">
      <x v="14"/>
    </i>
    <i r="1" i="1">
      <x v="15"/>
    </i>
    <i r="1" i="1">
      <x v="16"/>
    </i>
    <i r="1" i="1">
      <x v="17"/>
    </i>
    <i r="1" i="1">
      <x v="18"/>
    </i>
    <i r="1" i="1">
      <x v="19"/>
    </i>
    <i r="1" i="1">
      <x v="20"/>
    </i>
    <i r="1" i="1">
      <x v="21"/>
    </i>
    <i r="1" i="1">
      <x v="22"/>
    </i>
    <i r="1" i="1">
      <x v="23"/>
    </i>
    <i r="1" i="1">
      <x v="24"/>
    </i>
    <i r="1" i="1">
      <x v="25"/>
    </i>
    <i r="1" i="1">
      <x v="26"/>
    </i>
    <i r="1" i="1">
      <x v="27"/>
    </i>
    <i r="1" i="1">
      <x v="28"/>
    </i>
    <i r="1" i="1">
      <x v="29"/>
    </i>
    <i r="1" i="1">
      <x v="30"/>
    </i>
    <i t="grand">
      <x/>
    </i>
    <i t="grand" i="1">
      <x/>
    </i>
  </colItems>
  <dataFields count="2">
    <dataField name="Sum of taxable" fld="12" baseField="0" baseItem="0" numFmtId="2"/>
    <dataField name="Sum of Total Tax (₹)"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47A98-B075-4DB3-8D81-955649E3C0D9}">
  <dimension ref="A3:BM11"/>
  <sheetViews>
    <sheetView workbookViewId="0">
      <selection activeCell="AF11" sqref="AF11"/>
    </sheetView>
  </sheetViews>
  <sheetFormatPr defaultRowHeight="12.75" x14ac:dyDescent="0.2"/>
  <cols>
    <col min="1" max="2" width="14.5703125" bestFit="1" customWidth="1"/>
    <col min="3" max="14" width="10.140625" bestFit="1" customWidth="1"/>
    <col min="15" max="31" width="10.140625" hidden="1" customWidth="1"/>
    <col min="32" max="32" width="10.140625" bestFit="1" customWidth="1"/>
    <col min="33" max="33" width="16.42578125" bestFit="1" customWidth="1"/>
    <col min="34" max="62" width="10.140625" bestFit="1" customWidth="1"/>
    <col min="63" max="63" width="12" bestFit="1" customWidth="1"/>
    <col min="64" max="64" width="17" bestFit="1" customWidth="1"/>
    <col min="65" max="65" width="20.85546875" bestFit="1" customWidth="1"/>
    <col min="66" max="66" width="17" bestFit="1" customWidth="1"/>
    <col min="67" max="67" width="20.85546875" bestFit="1" customWidth="1"/>
  </cols>
  <sheetData>
    <row r="3" spans="1:65" x14ac:dyDescent="0.2">
      <c r="B3" s="5" t="s">
        <v>1241</v>
      </c>
    </row>
    <row r="4" spans="1:65" x14ac:dyDescent="0.2">
      <c r="B4" t="s">
        <v>1244</v>
      </c>
      <c r="AG4" t="s">
        <v>1238</v>
      </c>
      <c r="BL4" t="s">
        <v>1245</v>
      </c>
      <c r="BM4" t="s">
        <v>1242</v>
      </c>
    </row>
    <row r="5" spans="1:65" x14ac:dyDescent="0.2">
      <c r="A5" s="5" t="s">
        <v>1239</v>
      </c>
      <c r="B5" s="9">
        <v>45992</v>
      </c>
      <c r="C5" s="9">
        <v>45993</v>
      </c>
      <c r="D5" s="9">
        <v>45994</v>
      </c>
      <c r="E5" s="9">
        <v>45995</v>
      </c>
      <c r="F5" s="9">
        <v>45996</v>
      </c>
      <c r="G5" s="9">
        <v>45997</v>
      </c>
      <c r="H5" s="9">
        <v>45998</v>
      </c>
      <c r="I5" s="9">
        <v>45999</v>
      </c>
      <c r="J5" s="9">
        <v>46000</v>
      </c>
      <c r="K5" s="9">
        <v>46001</v>
      </c>
      <c r="L5" s="9">
        <v>46002</v>
      </c>
      <c r="M5" s="9">
        <v>46003</v>
      </c>
      <c r="N5" s="9">
        <v>46004</v>
      </c>
      <c r="O5" s="9">
        <v>46005</v>
      </c>
      <c r="P5" s="9">
        <v>46006</v>
      </c>
      <c r="Q5" s="9">
        <v>46007</v>
      </c>
      <c r="R5" s="9">
        <v>46008</v>
      </c>
      <c r="S5" s="9">
        <v>46009</v>
      </c>
      <c r="T5" s="9">
        <v>46010</v>
      </c>
      <c r="U5" s="9">
        <v>46011</v>
      </c>
      <c r="V5" s="9">
        <v>46012</v>
      </c>
      <c r="W5" s="9">
        <v>46013</v>
      </c>
      <c r="X5" s="9">
        <v>46014</v>
      </c>
      <c r="Y5" s="9">
        <v>46015</v>
      </c>
      <c r="Z5" s="9">
        <v>46016</v>
      </c>
      <c r="AA5" s="9">
        <v>46017</v>
      </c>
      <c r="AB5" s="9">
        <v>46018</v>
      </c>
      <c r="AC5" s="9">
        <v>46019</v>
      </c>
      <c r="AD5" s="9">
        <v>46020</v>
      </c>
      <c r="AE5" s="9">
        <v>46021</v>
      </c>
      <c r="AF5" s="9">
        <v>46022</v>
      </c>
      <c r="AG5" s="9">
        <v>45992</v>
      </c>
      <c r="AH5" s="9">
        <v>45993</v>
      </c>
      <c r="AI5" s="9">
        <v>45994</v>
      </c>
      <c r="AJ5" s="9">
        <v>45995</v>
      </c>
      <c r="AK5" s="9">
        <v>45996</v>
      </c>
      <c r="AL5" s="9">
        <v>45997</v>
      </c>
      <c r="AM5" s="9">
        <v>45998</v>
      </c>
      <c r="AN5" s="9">
        <v>45999</v>
      </c>
      <c r="AO5" s="9">
        <v>46000</v>
      </c>
      <c r="AP5" s="9">
        <v>46001</v>
      </c>
      <c r="AQ5" s="9">
        <v>46002</v>
      </c>
      <c r="AR5" s="9">
        <v>46003</v>
      </c>
      <c r="AS5" s="9">
        <v>46004</v>
      </c>
      <c r="AT5" s="9">
        <v>46005</v>
      </c>
      <c r="AU5" s="9">
        <v>46006</v>
      </c>
      <c r="AV5" s="9">
        <v>46007</v>
      </c>
      <c r="AW5" s="9">
        <v>46008</v>
      </c>
      <c r="AX5" s="9">
        <v>46009</v>
      </c>
      <c r="AY5" s="9">
        <v>46010</v>
      </c>
      <c r="AZ5" s="9">
        <v>46011</v>
      </c>
      <c r="BA5" s="9">
        <v>46012</v>
      </c>
      <c r="BB5" s="9">
        <v>46013</v>
      </c>
      <c r="BC5" s="9">
        <v>46014</v>
      </c>
      <c r="BD5" s="9">
        <v>46015</v>
      </c>
      <c r="BE5" s="9">
        <v>46016</v>
      </c>
      <c r="BF5" s="9">
        <v>46017</v>
      </c>
      <c r="BG5" s="9">
        <v>46018</v>
      </c>
      <c r="BH5" s="9">
        <v>46019</v>
      </c>
      <c r="BI5" s="9">
        <v>46020</v>
      </c>
      <c r="BJ5" s="9">
        <v>46021</v>
      </c>
      <c r="BK5" s="9">
        <v>46022</v>
      </c>
    </row>
    <row r="6" spans="1:65" x14ac:dyDescent="0.2">
      <c r="A6" s="6" t="s">
        <v>30</v>
      </c>
      <c r="B6" s="2">
        <v>11839</v>
      </c>
      <c r="C6" s="2">
        <v>9846.75</v>
      </c>
      <c r="D6" s="2">
        <v>5838</v>
      </c>
      <c r="E6" s="2">
        <v>2070</v>
      </c>
      <c r="F6" s="2">
        <v>8709</v>
      </c>
      <c r="G6" s="2">
        <v>5539.25</v>
      </c>
      <c r="H6" s="2">
        <v>8581</v>
      </c>
      <c r="I6" s="2">
        <v>2800</v>
      </c>
      <c r="J6" s="2">
        <v>2995</v>
      </c>
      <c r="K6" s="2">
        <v>16027.15</v>
      </c>
      <c r="L6" s="2">
        <v>4505</v>
      </c>
      <c r="M6" s="2">
        <v>4618.75</v>
      </c>
      <c r="N6" s="2">
        <v>6462</v>
      </c>
      <c r="O6" s="2">
        <v>12494</v>
      </c>
      <c r="P6" s="2">
        <v>4609</v>
      </c>
      <c r="Q6" s="2">
        <v>6731.5</v>
      </c>
      <c r="R6" s="2">
        <v>7588</v>
      </c>
      <c r="S6" s="2">
        <v>3360</v>
      </c>
      <c r="T6" s="2">
        <v>675</v>
      </c>
      <c r="U6" s="2">
        <v>29101.8</v>
      </c>
      <c r="V6" s="2">
        <v>14990.7</v>
      </c>
      <c r="W6" s="2">
        <v>5234.6000000000004</v>
      </c>
      <c r="X6" s="2">
        <v>4495.5</v>
      </c>
      <c r="Y6" s="2">
        <v>12589.1</v>
      </c>
      <c r="Z6" s="2">
        <v>22313</v>
      </c>
      <c r="AA6" s="2">
        <v>10122</v>
      </c>
      <c r="AB6" s="2">
        <v>13668.1</v>
      </c>
      <c r="AC6" s="2">
        <v>12994</v>
      </c>
      <c r="AD6" s="2">
        <v>1400</v>
      </c>
      <c r="AE6" s="2">
        <v>4873.8999999999996</v>
      </c>
      <c r="AF6" s="2">
        <v>5998.25</v>
      </c>
      <c r="AG6" s="10">
        <v>585.98</v>
      </c>
      <c r="AH6" s="10">
        <v>477.36</v>
      </c>
      <c r="AI6" s="10">
        <v>291.91999999999996</v>
      </c>
      <c r="AJ6" s="10">
        <v>103.52</v>
      </c>
      <c r="AK6" s="10">
        <v>435.46</v>
      </c>
      <c r="AL6" s="10">
        <v>277</v>
      </c>
      <c r="AM6" s="10">
        <v>444.96</v>
      </c>
      <c r="AN6" s="10">
        <v>140.01999999999998</v>
      </c>
      <c r="AO6" s="10">
        <v>149.76</v>
      </c>
      <c r="AP6" s="10">
        <v>1100.1599999999999</v>
      </c>
      <c r="AQ6" s="10">
        <v>225.27999999999997</v>
      </c>
      <c r="AR6" s="10">
        <v>230.94</v>
      </c>
      <c r="AS6" s="10">
        <v>323.12</v>
      </c>
      <c r="AT6" s="10">
        <v>618.78</v>
      </c>
      <c r="AU6" s="10">
        <v>230.48</v>
      </c>
      <c r="AV6" s="10">
        <v>332.53999999999996</v>
      </c>
      <c r="AW6" s="10">
        <v>371.91999999999996</v>
      </c>
      <c r="AX6" s="10">
        <v>168.02</v>
      </c>
      <c r="AY6" s="10">
        <v>33.760000000000005</v>
      </c>
      <c r="AZ6" s="10">
        <v>1700.88</v>
      </c>
      <c r="BA6" s="10">
        <v>737.46</v>
      </c>
      <c r="BB6" s="10">
        <v>237.04</v>
      </c>
      <c r="BC6" s="10">
        <v>206.78</v>
      </c>
      <c r="BD6" s="10">
        <v>609.70000000000005</v>
      </c>
      <c r="BE6" s="10">
        <v>1115.6999999999998</v>
      </c>
      <c r="BF6" s="10">
        <v>601.32000000000005</v>
      </c>
      <c r="BG6" s="10">
        <v>667.4799999999999</v>
      </c>
      <c r="BH6" s="10">
        <v>641.04</v>
      </c>
      <c r="BI6" s="10">
        <v>64</v>
      </c>
      <c r="BJ6" s="10">
        <v>228.65999999999997</v>
      </c>
      <c r="BK6" s="10">
        <v>299.94</v>
      </c>
      <c r="BL6" s="2">
        <v>263069.34999999998</v>
      </c>
      <c r="BM6" s="10">
        <v>13650.980000000001</v>
      </c>
    </row>
    <row r="7" spans="1:65" x14ac:dyDescent="0.2">
      <c r="A7" s="6" t="s">
        <v>33</v>
      </c>
      <c r="B7" s="2">
        <v>1215</v>
      </c>
      <c r="C7" s="2">
        <v>1015</v>
      </c>
      <c r="D7" s="2">
        <v>1650</v>
      </c>
      <c r="E7" s="2">
        <v>800</v>
      </c>
      <c r="F7" s="2">
        <v>1080</v>
      </c>
      <c r="G7" s="2">
        <v>840</v>
      </c>
      <c r="H7" s="2">
        <v>1915</v>
      </c>
      <c r="I7" s="2">
        <v>850</v>
      </c>
      <c r="J7" s="2">
        <v>3170</v>
      </c>
      <c r="K7" s="2">
        <v>1359</v>
      </c>
      <c r="L7" s="2">
        <v>1605</v>
      </c>
      <c r="M7" s="2">
        <v>1185</v>
      </c>
      <c r="N7" s="2">
        <v>6811.75</v>
      </c>
      <c r="O7" s="2">
        <v>6305</v>
      </c>
      <c r="P7" s="2">
        <v>2656.5</v>
      </c>
      <c r="Q7" s="2">
        <v>880</v>
      </c>
      <c r="R7" s="2">
        <v>2138</v>
      </c>
      <c r="S7" s="2">
        <v>5659.5</v>
      </c>
      <c r="T7" s="2">
        <v>4210</v>
      </c>
      <c r="U7" s="2">
        <v>4170.25</v>
      </c>
      <c r="V7" s="2">
        <v>540</v>
      </c>
      <c r="W7" s="2">
        <v>2300</v>
      </c>
      <c r="X7" s="2">
        <v>1284</v>
      </c>
      <c r="Y7" s="2">
        <v>2781</v>
      </c>
      <c r="Z7" s="2">
        <v>11577.5</v>
      </c>
      <c r="AA7" s="2">
        <v>3945</v>
      </c>
      <c r="AB7" s="2">
        <v>2570</v>
      </c>
      <c r="AC7" s="2">
        <v>1598</v>
      </c>
      <c r="AD7" s="2">
        <v>1060.5</v>
      </c>
      <c r="AE7" s="2">
        <v>5245</v>
      </c>
      <c r="AF7" s="2">
        <v>13614.714285714288</v>
      </c>
      <c r="AG7" s="10">
        <v>60.78</v>
      </c>
      <c r="AH7" s="10">
        <v>50.76</v>
      </c>
      <c r="AI7" s="10">
        <v>82.5</v>
      </c>
      <c r="AJ7" s="10">
        <v>40</v>
      </c>
      <c r="AK7" s="10">
        <v>54.019999999999996</v>
      </c>
      <c r="AL7" s="10">
        <v>42</v>
      </c>
      <c r="AM7" s="10">
        <v>95.759999999999991</v>
      </c>
      <c r="AN7" s="10">
        <v>42.5</v>
      </c>
      <c r="AO7" s="10">
        <v>158.5</v>
      </c>
      <c r="AP7" s="10">
        <v>65.5</v>
      </c>
      <c r="AQ7" s="10">
        <v>80.259999999999991</v>
      </c>
      <c r="AR7" s="10">
        <v>59.26</v>
      </c>
      <c r="AS7" s="10">
        <v>340.59999999999997</v>
      </c>
      <c r="AT7" s="10">
        <v>350.4</v>
      </c>
      <c r="AU7" s="10">
        <v>132.83999999999997</v>
      </c>
      <c r="AV7" s="10">
        <v>44</v>
      </c>
      <c r="AW7" s="10">
        <v>101</v>
      </c>
      <c r="AX7" s="10">
        <v>275.86</v>
      </c>
      <c r="AY7" s="10">
        <v>210.51999999999998</v>
      </c>
      <c r="AZ7" s="10">
        <v>208.49999999999997</v>
      </c>
      <c r="BA7" s="10">
        <v>27</v>
      </c>
      <c r="BB7" s="10">
        <v>115</v>
      </c>
      <c r="BC7" s="10">
        <v>64.2</v>
      </c>
      <c r="BD7" s="10">
        <v>139.06</v>
      </c>
      <c r="BE7" s="10">
        <v>575.91999999999996</v>
      </c>
      <c r="BF7" s="10">
        <v>194.26</v>
      </c>
      <c r="BG7" s="10">
        <v>128.52000000000001</v>
      </c>
      <c r="BH7" s="10">
        <v>79.92</v>
      </c>
      <c r="BI7" s="10">
        <v>46.28</v>
      </c>
      <c r="BJ7" s="10">
        <v>262.26</v>
      </c>
      <c r="BK7" s="10">
        <v>679.28571428571433</v>
      </c>
      <c r="BL7" s="2">
        <v>96030.71428571429</v>
      </c>
      <c r="BM7" s="10">
        <v>4807.2657142857142</v>
      </c>
    </row>
    <row r="8" spans="1:65" x14ac:dyDescent="0.2">
      <c r="A8" s="6" t="s">
        <v>26</v>
      </c>
      <c r="B8" s="2"/>
      <c r="C8" s="2"/>
      <c r="D8" s="2"/>
      <c r="E8" s="2"/>
      <c r="F8" s="2"/>
      <c r="G8" s="2"/>
      <c r="H8" s="2"/>
      <c r="I8" s="2"/>
      <c r="J8" s="2"/>
      <c r="K8" s="2"/>
      <c r="L8" s="2"/>
      <c r="M8" s="2"/>
      <c r="N8" s="2">
        <v>3335</v>
      </c>
      <c r="O8" s="2">
        <v>2250</v>
      </c>
      <c r="P8" s="2"/>
      <c r="Q8" s="2"/>
      <c r="R8" s="2"/>
      <c r="S8" s="2">
        <v>3050</v>
      </c>
      <c r="T8" s="2">
        <v>1785</v>
      </c>
      <c r="U8" s="2">
        <v>5320</v>
      </c>
      <c r="V8" s="2">
        <v>1258.5</v>
      </c>
      <c r="W8" s="2">
        <v>1325</v>
      </c>
      <c r="X8" s="2">
        <v>1700</v>
      </c>
      <c r="Y8" s="2">
        <v>8044.1</v>
      </c>
      <c r="Z8" s="2">
        <v>6140</v>
      </c>
      <c r="AA8" s="2">
        <v>6345</v>
      </c>
      <c r="AB8" s="2">
        <v>4434</v>
      </c>
      <c r="AC8" s="2">
        <v>5715</v>
      </c>
      <c r="AD8" s="2">
        <v>770</v>
      </c>
      <c r="AE8" s="2">
        <v>10826</v>
      </c>
      <c r="AF8" s="2">
        <v>12424.761904761905</v>
      </c>
      <c r="AG8" s="10"/>
      <c r="AH8" s="10"/>
      <c r="AI8" s="10"/>
      <c r="AJ8" s="10"/>
      <c r="AK8" s="10"/>
      <c r="AL8" s="10"/>
      <c r="AM8" s="10"/>
      <c r="AN8" s="10"/>
      <c r="AO8" s="10"/>
      <c r="AP8" s="10"/>
      <c r="AQ8" s="10"/>
      <c r="AR8" s="10"/>
      <c r="AS8" s="10">
        <v>166.76</v>
      </c>
      <c r="AT8" s="10">
        <v>112.5</v>
      </c>
      <c r="AU8" s="10"/>
      <c r="AV8" s="10"/>
      <c r="AW8" s="10"/>
      <c r="AX8" s="10">
        <v>146.52000000000001</v>
      </c>
      <c r="AY8" s="10">
        <v>86.26</v>
      </c>
      <c r="AZ8" s="10">
        <v>266.03999999999996</v>
      </c>
      <c r="BA8" s="10">
        <v>62.94</v>
      </c>
      <c r="BB8" s="10">
        <v>66.260000000000005</v>
      </c>
      <c r="BC8" s="10">
        <v>85</v>
      </c>
      <c r="BD8" s="10">
        <v>388.15999999999997</v>
      </c>
      <c r="BE8" s="10">
        <v>304.04000000000002</v>
      </c>
      <c r="BF8" s="10">
        <v>314.26</v>
      </c>
      <c r="BG8" s="10">
        <v>218.7</v>
      </c>
      <c r="BH8" s="10">
        <v>285.77999999999997</v>
      </c>
      <c r="BI8" s="10">
        <v>38.5</v>
      </c>
      <c r="BJ8" s="10">
        <v>629.20000000000005</v>
      </c>
      <c r="BK8" s="10">
        <v>621.29809523809513</v>
      </c>
      <c r="BL8" s="2">
        <v>74722.361904761899</v>
      </c>
      <c r="BM8" s="10">
        <v>3792.218095238095</v>
      </c>
    </row>
    <row r="9" spans="1:65" x14ac:dyDescent="0.2">
      <c r="A9" s="6" t="s">
        <v>40</v>
      </c>
      <c r="B9" s="2">
        <v>2312</v>
      </c>
      <c r="C9" s="2">
        <v>3798</v>
      </c>
      <c r="D9" s="2">
        <v>2550</v>
      </c>
      <c r="E9" s="2">
        <v>1785</v>
      </c>
      <c r="F9" s="2">
        <v>2065</v>
      </c>
      <c r="G9" s="2">
        <v>13424</v>
      </c>
      <c r="H9" s="2">
        <v>20793.150000000001</v>
      </c>
      <c r="I9" s="2">
        <v>2210</v>
      </c>
      <c r="J9" s="2">
        <v>3757</v>
      </c>
      <c r="K9" s="2">
        <v>4873</v>
      </c>
      <c r="L9" s="2">
        <v>12464</v>
      </c>
      <c r="M9" s="2">
        <v>13374.75</v>
      </c>
      <c r="N9" s="2">
        <v>24451.9</v>
      </c>
      <c r="O9" s="2">
        <v>15109</v>
      </c>
      <c r="P9" s="2">
        <v>3454.75</v>
      </c>
      <c r="Q9" s="2">
        <v>8134.15</v>
      </c>
      <c r="R9" s="2">
        <v>4042</v>
      </c>
      <c r="S9" s="2">
        <v>7155.75</v>
      </c>
      <c r="T9" s="2">
        <v>10676.7</v>
      </c>
      <c r="U9" s="2">
        <v>11416.35</v>
      </c>
      <c r="V9" s="2">
        <v>22197.5</v>
      </c>
      <c r="W9" s="2">
        <v>4416</v>
      </c>
      <c r="X9" s="2">
        <v>7575.7</v>
      </c>
      <c r="Y9" s="2">
        <v>6955.7</v>
      </c>
      <c r="Z9" s="2">
        <v>24559.5</v>
      </c>
      <c r="AA9" s="2">
        <v>18012.25</v>
      </c>
      <c r="AB9" s="2">
        <v>8108.6</v>
      </c>
      <c r="AC9" s="2">
        <v>16790</v>
      </c>
      <c r="AD9" s="2">
        <v>7120.5</v>
      </c>
      <c r="AE9" s="2">
        <v>8805.5</v>
      </c>
      <c r="AF9" s="2">
        <v>14260.035714285716</v>
      </c>
      <c r="AG9" s="10">
        <v>131.47999999999999</v>
      </c>
      <c r="AH9" s="10">
        <v>189.92000000000002</v>
      </c>
      <c r="AI9" s="10">
        <v>127.52000000000001</v>
      </c>
      <c r="AJ9" s="10">
        <v>89.259999999999991</v>
      </c>
      <c r="AK9" s="10">
        <v>103.25999999999999</v>
      </c>
      <c r="AL9" s="10">
        <v>689.4799999999999</v>
      </c>
      <c r="AM9" s="10">
        <v>1078.94</v>
      </c>
      <c r="AN9" s="10">
        <v>107.52</v>
      </c>
      <c r="AO9" s="10">
        <v>203.72</v>
      </c>
      <c r="AP9" s="10">
        <v>305.61999999999995</v>
      </c>
      <c r="AQ9" s="10">
        <v>623.22</v>
      </c>
      <c r="AR9" s="10">
        <v>662.76</v>
      </c>
      <c r="AS9" s="10">
        <v>1383.6599999999999</v>
      </c>
      <c r="AT9" s="10">
        <v>754.06</v>
      </c>
      <c r="AU9" s="10">
        <v>172.76000000000002</v>
      </c>
      <c r="AV9" s="10">
        <v>400.4</v>
      </c>
      <c r="AW9" s="10">
        <v>202.11999999999998</v>
      </c>
      <c r="AX9" s="10">
        <v>348.92</v>
      </c>
      <c r="AY9" s="10">
        <v>527.5</v>
      </c>
      <c r="AZ9" s="10">
        <v>560.59999999999991</v>
      </c>
      <c r="BA9" s="10">
        <v>1427.12</v>
      </c>
      <c r="BB9" s="10">
        <v>215.10000000000002</v>
      </c>
      <c r="BC9" s="10">
        <v>403.79999999999995</v>
      </c>
      <c r="BD9" s="10">
        <v>409.79999999999995</v>
      </c>
      <c r="BE9" s="10">
        <v>1250.04</v>
      </c>
      <c r="BF9" s="10">
        <v>956.2399999999999</v>
      </c>
      <c r="BG9" s="10">
        <v>402</v>
      </c>
      <c r="BH9" s="10">
        <v>946.45999999999992</v>
      </c>
      <c r="BI9" s="10">
        <v>356.04</v>
      </c>
      <c r="BJ9" s="10">
        <v>484.3</v>
      </c>
      <c r="BK9" s="10">
        <v>704.01428571428562</v>
      </c>
      <c r="BL9" s="2">
        <v>306647.78571428574</v>
      </c>
      <c r="BM9" s="10">
        <v>16217.634285714283</v>
      </c>
    </row>
    <row r="10" spans="1:65" x14ac:dyDescent="0.2">
      <c r="A10" s="6" t="s">
        <v>135</v>
      </c>
      <c r="B10" s="2"/>
      <c r="C10" s="2"/>
      <c r="D10" s="2"/>
      <c r="E10" s="2"/>
      <c r="F10" s="2"/>
      <c r="G10" s="2"/>
      <c r="H10" s="2">
        <v>770</v>
      </c>
      <c r="I10" s="2"/>
      <c r="J10" s="2"/>
      <c r="K10" s="2"/>
      <c r="L10" s="2"/>
      <c r="M10" s="2"/>
      <c r="N10" s="2"/>
      <c r="O10" s="2"/>
      <c r="P10" s="2"/>
      <c r="Q10" s="2"/>
      <c r="R10" s="2">
        <v>550</v>
      </c>
      <c r="S10" s="2"/>
      <c r="T10" s="2">
        <v>535</v>
      </c>
      <c r="U10" s="2">
        <v>1035</v>
      </c>
      <c r="V10" s="2"/>
      <c r="W10" s="2"/>
      <c r="X10" s="2">
        <v>1769</v>
      </c>
      <c r="Y10" s="2"/>
      <c r="Z10" s="2">
        <v>4839.8999999999996</v>
      </c>
      <c r="AA10" s="2"/>
      <c r="AB10" s="2">
        <v>1110</v>
      </c>
      <c r="AC10" s="2"/>
      <c r="AD10" s="2">
        <v>2074</v>
      </c>
      <c r="AE10" s="2"/>
      <c r="AF10" s="2"/>
      <c r="AG10" s="10"/>
      <c r="AH10" s="10"/>
      <c r="AI10" s="10"/>
      <c r="AJ10" s="10"/>
      <c r="AK10" s="10"/>
      <c r="AL10" s="10"/>
      <c r="AM10" s="10">
        <v>38.5</v>
      </c>
      <c r="AN10" s="10"/>
      <c r="AO10" s="10"/>
      <c r="AP10" s="10"/>
      <c r="AQ10" s="10"/>
      <c r="AR10" s="10"/>
      <c r="AS10" s="10"/>
      <c r="AT10" s="10"/>
      <c r="AU10" s="10"/>
      <c r="AV10" s="10"/>
      <c r="AW10" s="10">
        <v>23.5</v>
      </c>
      <c r="AX10" s="10"/>
      <c r="AY10" s="10">
        <v>26.76</v>
      </c>
      <c r="AZ10" s="10">
        <v>51.76</v>
      </c>
      <c r="BA10" s="10"/>
      <c r="BB10" s="10"/>
      <c r="BC10" s="10">
        <v>81</v>
      </c>
      <c r="BD10" s="10"/>
      <c r="BE10" s="10">
        <v>242</v>
      </c>
      <c r="BF10" s="10"/>
      <c r="BG10" s="10">
        <v>55.5</v>
      </c>
      <c r="BH10" s="10"/>
      <c r="BI10" s="10">
        <v>93.96</v>
      </c>
      <c r="BJ10" s="10"/>
      <c r="BK10" s="10"/>
      <c r="BL10" s="2">
        <v>12682.9</v>
      </c>
      <c r="BM10" s="10">
        <v>612.98</v>
      </c>
    </row>
    <row r="11" spans="1:65" x14ac:dyDescent="0.2">
      <c r="A11" s="6" t="s">
        <v>1240</v>
      </c>
      <c r="B11" s="2">
        <v>15366</v>
      </c>
      <c r="C11" s="2">
        <v>14659.75</v>
      </c>
      <c r="D11" s="2">
        <v>10038</v>
      </c>
      <c r="E11" s="2">
        <v>4655</v>
      </c>
      <c r="F11" s="2">
        <v>11854</v>
      </c>
      <c r="G11" s="2">
        <v>19803.25</v>
      </c>
      <c r="H11" s="2">
        <v>32059.15</v>
      </c>
      <c r="I11" s="2">
        <v>5860</v>
      </c>
      <c r="J11" s="2">
        <v>9922</v>
      </c>
      <c r="K11" s="2">
        <v>22259.15</v>
      </c>
      <c r="L11" s="2">
        <v>18574</v>
      </c>
      <c r="M11" s="2">
        <v>19178.5</v>
      </c>
      <c r="N11" s="2">
        <v>41060.65</v>
      </c>
      <c r="O11" s="2">
        <v>36158</v>
      </c>
      <c r="P11" s="2">
        <v>10720.25</v>
      </c>
      <c r="Q11" s="2">
        <v>15745.65</v>
      </c>
      <c r="R11" s="2">
        <v>14318</v>
      </c>
      <c r="S11" s="2">
        <v>19225.25</v>
      </c>
      <c r="T11" s="2">
        <v>17881.7</v>
      </c>
      <c r="U11" s="2">
        <v>51043.4</v>
      </c>
      <c r="V11" s="2">
        <v>38986.699999999997</v>
      </c>
      <c r="W11" s="2">
        <v>13275.6</v>
      </c>
      <c r="X11" s="2">
        <v>16824.2</v>
      </c>
      <c r="Y11" s="2">
        <v>30369.9</v>
      </c>
      <c r="Z11" s="2">
        <v>69429.899999999994</v>
      </c>
      <c r="AA11" s="2">
        <v>38424.25</v>
      </c>
      <c r="AB11" s="2">
        <v>29890.699999999997</v>
      </c>
      <c r="AC11" s="2">
        <v>37097</v>
      </c>
      <c r="AD11" s="2">
        <v>12425</v>
      </c>
      <c r="AE11" s="2">
        <v>29750.400000000001</v>
      </c>
      <c r="AF11" s="2">
        <v>46297.761904761908</v>
      </c>
      <c r="AG11" s="10">
        <v>778.24</v>
      </c>
      <c r="AH11" s="10">
        <v>718.04</v>
      </c>
      <c r="AI11" s="10">
        <v>501.93999999999994</v>
      </c>
      <c r="AJ11" s="10">
        <v>232.77999999999997</v>
      </c>
      <c r="AK11" s="10">
        <v>592.74</v>
      </c>
      <c r="AL11" s="10">
        <v>1008.4799999999999</v>
      </c>
      <c r="AM11" s="10">
        <v>1658.16</v>
      </c>
      <c r="AN11" s="10">
        <v>290.03999999999996</v>
      </c>
      <c r="AO11" s="10">
        <v>511.98</v>
      </c>
      <c r="AP11" s="10">
        <v>1471.2799999999997</v>
      </c>
      <c r="AQ11" s="10">
        <v>928.76</v>
      </c>
      <c r="AR11" s="10">
        <v>952.96</v>
      </c>
      <c r="AS11" s="10">
        <v>2214.14</v>
      </c>
      <c r="AT11" s="10">
        <v>1835.7399999999998</v>
      </c>
      <c r="AU11" s="10">
        <v>536.07999999999993</v>
      </c>
      <c r="AV11" s="10">
        <v>776.93999999999994</v>
      </c>
      <c r="AW11" s="10">
        <v>698.54</v>
      </c>
      <c r="AX11" s="10">
        <v>939.31999999999994</v>
      </c>
      <c r="AY11" s="10">
        <v>884.8</v>
      </c>
      <c r="AZ11" s="10">
        <v>2787.78</v>
      </c>
      <c r="BA11" s="10">
        <v>2254.52</v>
      </c>
      <c r="BB11" s="10">
        <v>633.4</v>
      </c>
      <c r="BC11" s="10">
        <v>840.78</v>
      </c>
      <c r="BD11" s="10">
        <v>1546.72</v>
      </c>
      <c r="BE11" s="10">
        <v>3487.7</v>
      </c>
      <c r="BF11" s="10">
        <v>2066.08</v>
      </c>
      <c r="BG11" s="10">
        <v>1472.1999999999998</v>
      </c>
      <c r="BH11" s="10">
        <v>1953.1999999999998</v>
      </c>
      <c r="BI11" s="10">
        <v>598.78000000000009</v>
      </c>
      <c r="BJ11" s="10">
        <v>1604.4199999999998</v>
      </c>
      <c r="BK11" s="10">
        <v>2304.5380952380951</v>
      </c>
      <c r="BL11" s="2">
        <v>753153.11190476187</v>
      </c>
      <c r="BM11" s="10">
        <v>39081.078095238096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803"/>
  <sheetViews>
    <sheetView tabSelected="1" topLeftCell="K1" workbookViewId="0">
      <pane ySplit="5" topLeftCell="A732" activePane="bottomLeft" state="frozen"/>
      <selection pane="bottomLeft" activeCell="O741" sqref="O741"/>
    </sheetView>
  </sheetViews>
  <sheetFormatPr defaultRowHeight="12.75" x14ac:dyDescent="0.2"/>
  <cols>
    <col min="1" max="1" width="5" bestFit="1" customWidth="1"/>
    <col min="2" max="2" width="27" customWidth="1"/>
    <col min="3" max="3" width="15" customWidth="1"/>
    <col min="4" max="4" width="16" customWidth="1"/>
    <col min="5" max="5" width="15" customWidth="1"/>
    <col min="6" max="6" width="6" customWidth="1"/>
    <col min="7" max="7" width="17" customWidth="1"/>
    <col min="8" max="8" width="13" customWidth="1"/>
    <col min="9" max="9" width="20" customWidth="1"/>
    <col min="10" max="10" width="60" customWidth="1"/>
    <col min="11" max="11" width="14" style="3" customWidth="1"/>
    <col min="12" max="13" width="19" customWidth="1"/>
    <col min="14" max="15" width="14" customWidth="1"/>
    <col min="16" max="16" width="16" customWidth="1"/>
    <col min="17" max="17" width="17" customWidth="1"/>
    <col min="18" max="18" width="20" customWidth="1"/>
    <col min="19" max="19" width="8" customWidth="1"/>
    <col min="20" max="20" width="21" customWidth="1"/>
    <col min="21" max="21" width="14" customWidth="1"/>
  </cols>
  <sheetData>
    <row r="1" spans="1:21" x14ac:dyDescent="0.2">
      <c r="A1" t="s">
        <v>0</v>
      </c>
    </row>
    <row r="2" spans="1:21" x14ac:dyDescent="0.2">
      <c r="A2" t="s">
        <v>1</v>
      </c>
    </row>
    <row r="3" spans="1:21" x14ac:dyDescent="0.2">
      <c r="A3" t="s">
        <v>2</v>
      </c>
    </row>
    <row r="5" spans="1:21" x14ac:dyDescent="0.2">
      <c r="A5" s="1" t="s">
        <v>3</v>
      </c>
      <c r="B5" s="1" t="s">
        <v>4</v>
      </c>
      <c r="C5" s="1" t="s">
        <v>5</v>
      </c>
      <c r="D5" s="1" t="s">
        <v>6</v>
      </c>
      <c r="E5" s="1" t="s">
        <v>7</v>
      </c>
      <c r="F5" s="1" t="s">
        <v>8</v>
      </c>
      <c r="G5" s="1" t="s">
        <v>9</v>
      </c>
      <c r="H5" s="1" t="s">
        <v>10</v>
      </c>
      <c r="I5" s="1" t="s">
        <v>11</v>
      </c>
      <c r="J5" s="1" t="s">
        <v>12</v>
      </c>
      <c r="K5" s="4" t="s">
        <v>13</v>
      </c>
      <c r="L5" s="1" t="s">
        <v>14</v>
      </c>
      <c r="M5" s="1" t="s">
        <v>1243</v>
      </c>
      <c r="N5" s="1" t="s">
        <v>15</v>
      </c>
      <c r="O5" s="1" t="s">
        <v>16</v>
      </c>
      <c r="P5" s="1" t="s">
        <v>17</v>
      </c>
      <c r="Q5" s="1" t="s">
        <v>18</v>
      </c>
      <c r="R5" s="1" t="s">
        <v>19</v>
      </c>
      <c r="S5" s="1" t="s">
        <v>20</v>
      </c>
      <c r="T5" s="1" t="s">
        <v>21</v>
      </c>
      <c r="U5" s="1" t="s">
        <v>22</v>
      </c>
    </row>
    <row r="6" spans="1:21" x14ac:dyDescent="0.2">
      <c r="A6">
        <v>331</v>
      </c>
      <c r="B6" t="s">
        <v>43</v>
      </c>
      <c r="C6" t="s">
        <v>24</v>
      </c>
      <c r="J6" t="s">
        <v>1237</v>
      </c>
      <c r="K6" s="3">
        <v>7340</v>
      </c>
      <c r="L6" s="2">
        <v>1101</v>
      </c>
      <c r="M6" s="2">
        <f>+K6-L6</f>
        <v>6239</v>
      </c>
      <c r="N6" s="2">
        <v>311.95999999999998</v>
      </c>
      <c r="O6" s="2">
        <v>0.04</v>
      </c>
      <c r="P6" s="2">
        <v>6551</v>
      </c>
      <c r="Q6" t="s">
        <v>30</v>
      </c>
      <c r="S6" t="s">
        <v>27</v>
      </c>
      <c r="T6" s="8">
        <v>45992</v>
      </c>
      <c r="U6" s="7">
        <v>0.59718749999999998</v>
      </c>
    </row>
    <row r="7" spans="1:21" x14ac:dyDescent="0.2">
      <c r="A7">
        <v>332</v>
      </c>
      <c r="B7" t="s">
        <v>1203</v>
      </c>
      <c r="C7" t="s">
        <v>24</v>
      </c>
      <c r="D7" t="s">
        <v>1204</v>
      </c>
      <c r="J7" t="s">
        <v>1205</v>
      </c>
      <c r="K7" s="3">
        <v>3080</v>
      </c>
      <c r="L7" s="2">
        <v>0</v>
      </c>
      <c r="M7" s="2">
        <f>+K7-L7</f>
        <v>3080</v>
      </c>
      <c r="N7" s="2">
        <v>148</v>
      </c>
      <c r="O7" s="2">
        <v>0</v>
      </c>
      <c r="P7" s="2">
        <v>3228</v>
      </c>
      <c r="Q7" t="s">
        <v>30</v>
      </c>
      <c r="S7" t="s">
        <v>27</v>
      </c>
      <c r="T7" s="8">
        <v>45992</v>
      </c>
      <c r="U7" s="7">
        <v>0.61744212962962963</v>
      </c>
    </row>
    <row r="8" spans="1:21" x14ac:dyDescent="0.2">
      <c r="A8">
        <v>333</v>
      </c>
      <c r="B8" t="s">
        <v>1200</v>
      </c>
      <c r="C8" t="s">
        <v>24</v>
      </c>
      <c r="D8" t="s">
        <v>1201</v>
      </c>
      <c r="J8" t="s">
        <v>1202</v>
      </c>
      <c r="K8" s="3">
        <v>545</v>
      </c>
      <c r="L8" s="2">
        <v>0</v>
      </c>
      <c r="M8" s="2">
        <f>+K8-L8</f>
        <v>545</v>
      </c>
      <c r="N8" s="2">
        <v>27.26</v>
      </c>
      <c r="O8" s="2">
        <v>-0.26</v>
      </c>
      <c r="P8" s="2">
        <v>572</v>
      </c>
      <c r="Q8" t="s">
        <v>33</v>
      </c>
      <c r="S8" t="s">
        <v>27</v>
      </c>
      <c r="T8" s="8">
        <v>45992</v>
      </c>
      <c r="U8" s="7">
        <v>0.64439814814814811</v>
      </c>
    </row>
    <row r="9" spans="1:21" x14ac:dyDescent="0.2">
      <c r="A9">
        <v>334</v>
      </c>
      <c r="B9" t="s">
        <v>1042</v>
      </c>
      <c r="C9" t="s">
        <v>24</v>
      </c>
      <c r="D9" t="s">
        <v>1043</v>
      </c>
      <c r="J9" t="s">
        <v>1199</v>
      </c>
      <c r="K9" s="3">
        <v>920</v>
      </c>
      <c r="L9" s="2">
        <v>0</v>
      </c>
      <c r="M9" s="2">
        <f>+K9-L9</f>
        <v>920</v>
      </c>
      <c r="N9" s="2">
        <v>46</v>
      </c>
      <c r="O9" s="2">
        <v>0</v>
      </c>
      <c r="P9" s="2">
        <v>966</v>
      </c>
      <c r="Q9" t="s">
        <v>30</v>
      </c>
      <c r="S9" t="s">
        <v>27</v>
      </c>
      <c r="T9" s="8">
        <v>45992</v>
      </c>
      <c r="U9" s="7">
        <v>0.70151620370370371</v>
      </c>
    </row>
    <row r="10" spans="1:21" x14ac:dyDescent="0.2">
      <c r="A10">
        <v>335</v>
      </c>
      <c r="B10" t="s">
        <v>825</v>
      </c>
      <c r="C10" t="s">
        <v>24</v>
      </c>
      <c r="D10" t="s">
        <v>826</v>
      </c>
      <c r="J10" t="s">
        <v>1198</v>
      </c>
      <c r="K10" s="3">
        <v>470</v>
      </c>
      <c r="L10" s="2">
        <v>0</v>
      </c>
      <c r="M10" s="2">
        <f>+K10-L10</f>
        <v>470</v>
      </c>
      <c r="N10" s="2">
        <v>23.5</v>
      </c>
      <c r="O10" s="2">
        <v>0.5</v>
      </c>
      <c r="P10" s="2">
        <v>494</v>
      </c>
      <c r="Q10" t="s">
        <v>40</v>
      </c>
      <c r="S10" t="s">
        <v>27</v>
      </c>
      <c r="T10" s="8">
        <v>45992</v>
      </c>
      <c r="U10" s="7">
        <v>0.78298611111111116</v>
      </c>
    </row>
    <row r="11" spans="1:21" x14ac:dyDescent="0.2">
      <c r="A11">
        <v>336</v>
      </c>
      <c r="B11" t="s">
        <v>537</v>
      </c>
      <c r="C11" t="s">
        <v>24</v>
      </c>
      <c r="D11" t="s">
        <v>1196</v>
      </c>
      <c r="J11" t="s">
        <v>1197</v>
      </c>
      <c r="K11" s="3">
        <v>705</v>
      </c>
      <c r="L11" s="2">
        <v>0</v>
      </c>
      <c r="M11" s="2">
        <f>+K11-L11</f>
        <v>705</v>
      </c>
      <c r="N11" s="2">
        <v>35.26</v>
      </c>
      <c r="O11" s="2">
        <v>-0.26</v>
      </c>
      <c r="P11" s="2">
        <v>740</v>
      </c>
      <c r="Q11" t="s">
        <v>40</v>
      </c>
      <c r="S11" t="s">
        <v>27</v>
      </c>
      <c r="T11" s="8">
        <v>45992</v>
      </c>
      <c r="U11" s="7">
        <v>0.84521990740740738</v>
      </c>
    </row>
    <row r="12" spans="1:21" x14ac:dyDescent="0.2">
      <c r="A12">
        <v>337</v>
      </c>
      <c r="B12" t="s">
        <v>1193</v>
      </c>
      <c r="C12" t="s">
        <v>24</v>
      </c>
      <c r="D12" t="s">
        <v>1194</v>
      </c>
      <c r="J12" t="s">
        <v>1195</v>
      </c>
      <c r="K12" s="3">
        <v>320</v>
      </c>
      <c r="L12" s="2">
        <v>0</v>
      </c>
      <c r="M12" s="2">
        <f>+K12-L12</f>
        <v>320</v>
      </c>
      <c r="N12" s="2">
        <v>16</v>
      </c>
      <c r="O12" s="2">
        <v>0</v>
      </c>
      <c r="P12" s="2">
        <v>336</v>
      </c>
      <c r="Q12" t="s">
        <v>40</v>
      </c>
      <c r="S12" t="s">
        <v>27</v>
      </c>
      <c r="T12" s="8">
        <v>45992</v>
      </c>
      <c r="U12" s="7">
        <v>0.89628472222222222</v>
      </c>
    </row>
    <row r="13" spans="1:21" x14ac:dyDescent="0.2">
      <c r="A13">
        <v>338</v>
      </c>
      <c r="B13" t="s">
        <v>1190</v>
      </c>
      <c r="C13" t="s">
        <v>24</v>
      </c>
      <c r="D13" t="s">
        <v>1191</v>
      </c>
      <c r="J13" t="s">
        <v>1192</v>
      </c>
      <c r="K13" s="3">
        <v>695</v>
      </c>
      <c r="L13" s="2">
        <v>0</v>
      </c>
      <c r="M13" s="2">
        <f>+K13-L13</f>
        <v>695</v>
      </c>
      <c r="N13" s="2">
        <v>34.76</v>
      </c>
      <c r="O13" s="2">
        <v>0.24</v>
      </c>
      <c r="P13" s="2">
        <v>730</v>
      </c>
      <c r="Q13" t="s">
        <v>40</v>
      </c>
      <c r="S13" t="s">
        <v>27</v>
      </c>
      <c r="T13" s="8">
        <v>45992</v>
      </c>
      <c r="U13" s="7">
        <v>0.89674768518518522</v>
      </c>
    </row>
    <row r="14" spans="1:21" x14ac:dyDescent="0.2">
      <c r="A14">
        <v>339</v>
      </c>
      <c r="B14" t="s">
        <v>1187</v>
      </c>
      <c r="C14" t="s">
        <v>24</v>
      </c>
      <c r="D14" t="s">
        <v>1188</v>
      </c>
      <c r="J14" t="s">
        <v>1189</v>
      </c>
      <c r="K14" s="3">
        <v>675</v>
      </c>
      <c r="L14" s="2">
        <v>0</v>
      </c>
      <c r="M14" s="2">
        <f>+K14-L14</f>
        <v>675</v>
      </c>
      <c r="N14" s="2">
        <v>33.76</v>
      </c>
      <c r="O14" s="2">
        <v>0.24</v>
      </c>
      <c r="P14" s="2">
        <v>709</v>
      </c>
      <c r="Q14" t="s">
        <v>30</v>
      </c>
      <c r="S14" t="s">
        <v>27</v>
      </c>
      <c r="T14" s="8">
        <v>45992</v>
      </c>
      <c r="U14" s="7">
        <v>0.90061342592592597</v>
      </c>
    </row>
    <row r="15" spans="1:21" x14ac:dyDescent="0.2">
      <c r="A15">
        <v>340</v>
      </c>
      <c r="B15" t="s">
        <v>1186</v>
      </c>
      <c r="C15" t="s">
        <v>24</v>
      </c>
      <c r="J15" t="s">
        <v>200</v>
      </c>
      <c r="K15" s="3">
        <v>345</v>
      </c>
      <c r="L15" s="2">
        <v>0</v>
      </c>
      <c r="M15" s="2">
        <f>+K15-L15</f>
        <v>345</v>
      </c>
      <c r="N15" s="2">
        <v>17.260000000000002</v>
      </c>
      <c r="O15" s="2">
        <v>-0.26</v>
      </c>
      <c r="P15" s="2">
        <v>362</v>
      </c>
      <c r="Q15" t="s">
        <v>33</v>
      </c>
      <c r="S15" t="s">
        <v>27</v>
      </c>
      <c r="T15" s="8">
        <v>45992</v>
      </c>
      <c r="U15" s="7">
        <v>0.9054861111111111</v>
      </c>
    </row>
    <row r="16" spans="1:21" x14ac:dyDescent="0.2">
      <c r="A16">
        <v>341</v>
      </c>
      <c r="B16" t="s">
        <v>23</v>
      </c>
      <c r="C16" t="s">
        <v>24</v>
      </c>
      <c r="J16" t="s">
        <v>1185</v>
      </c>
      <c r="K16" s="3">
        <v>925</v>
      </c>
      <c r="L16" s="2">
        <v>0</v>
      </c>
      <c r="M16" s="2">
        <f>+K16-L16</f>
        <v>925</v>
      </c>
      <c r="N16" s="2">
        <v>46.26</v>
      </c>
      <c r="O16" s="2">
        <v>-0.26</v>
      </c>
      <c r="P16" s="2">
        <v>971</v>
      </c>
      <c r="Q16" t="s">
        <v>30</v>
      </c>
      <c r="S16" t="s">
        <v>27</v>
      </c>
      <c r="T16" s="8">
        <v>45992</v>
      </c>
      <c r="U16" s="7">
        <v>0.91263888888888889</v>
      </c>
    </row>
    <row r="17" spans="1:21" x14ac:dyDescent="0.2">
      <c r="A17">
        <v>342</v>
      </c>
      <c r="B17" t="s">
        <v>1183</v>
      </c>
      <c r="C17" t="s">
        <v>24</v>
      </c>
      <c r="D17" t="s">
        <v>1184</v>
      </c>
      <c r="J17" t="s">
        <v>1236</v>
      </c>
      <c r="K17" s="3">
        <v>0</v>
      </c>
      <c r="L17" s="2">
        <v>0</v>
      </c>
      <c r="M17" s="2">
        <f>+K17-L17</f>
        <v>0</v>
      </c>
      <c r="N17" s="2">
        <v>0</v>
      </c>
      <c r="O17" s="2">
        <v>0</v>
      </c>
      <c r="P17" s="2">
        <v>0</v>
      </c>
      <c r="Q17" t="s">
        <v>33</v>
      </c>
      <c r="S17" t="s">
        <v>27</v>
      </c>
      <c r="T17" s="8">
        <v>45992</v>
      </c>
      <c r="U17" s="7">
        <v>0.96001157407407411</v>
      </c>
    </row>
    <row r="18" spans="1:21" x14ac:dyDescent="0.2">
      <c r="A18">
        <v>343</v>
      </c>
      <c r="B18" t="s">
        <v>34</v>
      </c>
      <c r="C18" t="s">
        <v>24</v>
      </c>
      <c r="D18" t="s">
        <v>1130</v>
      </c>
      <c r="J18" t="s">
        <v>1182</v>
      </c>
      <c r="K18" s="3">
        <v>0</v>
      </c>
      <c r="L18" s="2">
        <v>0</v>
      </c>
      <c r="M18" s="2">
        <f>+K18-L18</f>
        <v>0</v>
      </c>
      <c r="N18" s="2">
        <v>0</v>
      </c>
      <c r="O18" s="2">
        <v>0</v>
      </c>
      <c r="P18" s="2">
        <v>0</v>
      </c>
      <c r="Q18" t="s">
        <v>33</v>
      </c>
      <c r="S18" t="s">
        <v>27</v>
      </c>
      <c r="T18" s="8">
        <v>45992</v>
      </c>
      <c r="U18" s="7">
        <v>0.9603356481481482</v>
      </c>
    </row>
    <row r="19" spans="1:21" x14ac:dyDescent="0.2">
      <c r="A19">
        <v>344</v>
      </c>
      <c r="B19" t="s">
        <v>52</v>
      </c>
      <c r="C19" t="s">
        <v>24</v>
      </c>
      <c r="J19" t="s">
        <v>90</v>
      </c>
      <c r="K19" s="3">
        <v>325</v>
      </c>
      <c r="L19" s="2">
        <v>0</v>
      </c>
      <c r="M19" s="2">
        <f>+K19-L19</f>
        <v>325</v>
      </c>
      <c r="N19" s="2">
        <v>16.260000000000002</v>
      </c>
      <c r="O19" s="2">
        <v>-0.26</v>
      </c>
      <c r="P19" s="2">
        <v>341</v>
      </c>
      <c r="Q19" t="s">
        <v>33</v>
      </c>
      <c r="S19" t="s">
        <v>27</v>
      </c>
      <c r="T19" s="8">
        <v>45992</v>
      </c>
      <c r="U19" s="7">
        <v>0.96101851851851849</v>
      </c>
    </row>
    <row r="20" spans="1:21" x14ac:dyDescent="0.2">
      <c r="A20">
        <v>345</v>
      </c>
      <c r="B20" t="s">
        <v>1180</v>
      </c>
      <c r="C20" t="s">
        <v>24</v>
      </c>
      <c r="D20" t="s">
        <v>1181</v>
      </c>
      <c r="J20" t="s">
        <v>244</v>
      </c>
      <c r="K20" s="3">
        <v>122</v>
      </c>
      <c r="L20" s="2">
        <v>0</v>
      </c>
      <c r="M20" s="2">
        <f>+K20-L20</f>
        <v>122</v>
      </c>
      <c r="N20" s="2">
        <v>21.96</v>
      </c>
      <c r="O20" s="2">
        <v>0.04</v>
      </c>
      <c r="P20" s="2">
        <v>144</v>
      </c>
      <c r="Q20" t="s">
        <v>40</v>
      </c>
      <c r="S20" t="s">
        <v>27</v>
      </c>
      <c r="T20" s="8">
        <v>45992</v>
      </c>
      <c r="U20" s="7">
        <v>0.96487268518518521</v>
      </c>
    </row>
    <row r="21" spans="1:21" x14ac:dyDescent="0.2">
      <c r="A21">
        <v>346</v>
      </c>
      <c r="B21" t="s">
        <v>1178</v>
      </c>
      <c r="C21" t="s">
        <v>24</v>
      </c>
      <c r="D21" t="s">
        <v>1179</v>
      </c>
      <c r="J21" t="s">
        <v>29</v>
      </c>
      <c r="K21" s="3">
        <v>380</v>
      </c>
      <c r="L21" s="2">
        <v>0</v>
      </c>
      <c r="M21" s="2">
        <f>+K21-L21</f>
        <v>380</v>
      </c>
      <c r="N21" s="2">
        <v>19</v>
      </c>
      <c r="O21" s="2">
        <v>0</v>
      </c>
      <c r="P21" s="2">
        <v>399</v>
      </c>
      <c r="Q21" t="s">
        <v>40</v>
      </c>
      <c r="S21" t="s">
        <v>27</v>
      </c>
      <c r="T21" s="8">
        <v>45993</v>
      </c>
      <c r="U21" s="7">
        <v>0.59968750000000004</v>
      </c>
    </row>
    <row r="22" spans="1:21" x14ac:dyDescent="0.2">
      <c r="A22">
        <v>347</v>
      </c>
      <c r="B22" t="s">
        <v>23</v>
      </c>
      <c r="C22" t="s">
        <v>24</v>
      </c>
      <c r="J22" t="s">
        <v>1177</v>
      </c>
      <c r="K22" s="3">
        <v>765</v>
      </c>
      <c r="L22" s="2">
        <v>0</v>
      </c>
      <c r="M22" s="2">
        <f>+K22-L22</f>
        <v>765</v>
      </c>
      <c r="N22" s="2">
        <v>38.26</v>
      </c>
      <c r="O22" s="2">
        <v>-0.26</v>
      </c>
      <c r="P22" s="2">
        <v>803</v>
      </c>
      <c r="Q22" t="s">
        <v>30</v>
      </c>
      <c r="S22" t="s">
        <v>27</v>
      </c>
      <c r="T22" s="8">
        <v>45993</v>
      </c>
      <c r="U22" s="7">
        <v>0.74129629629629634</v>
      </c>
    </row>
    <row r="23" spans="1:21" x14ac:dyDescent="0.2">
      <c r="A23">
        <v>348</v>
      </c>
      <c r="B23" t="s">
        <v>734</v>
      </c>
      <c r="C23" t="s">
        <v>24</v>
      </c>
      <c r="D23" t="s">
        <v>1175</v>
      </c>
      <c r="J23" t="s">
        <v>1176</v>
      </c>
      <c r="K23" s="3">
        <v>1095</v>
      </c>
      <c r="L23" s="2">
        <v>0</v>
      </c>
      <c r="M23" s="2">
        <f>+K23-L23</f>
        <v>1095</v>
      </c>
      <c r="N23" s="2">
        <v>47.26</v>
      </c>
      <c r="O23" s="2">
        <v>-0.26</v>
      </c>
      <c r="P23" s="2">
        <v>1142</v>
      </c>
      <c r="Q23" t="s">
        <v>30</v>
      </c>
      <c r="S23" t="s">
        <v>27</v>
      </c>
      <c r="T23" s="8">
        <v>45993</v>
      </c>
      <c r="U23" s="7">
        <v>0.74754629629629632</v>
      </c>
    </row>
    <row r="24" spans="1:21" x14ac:dyDescent="0.2">
      <c r="A24">
        <v>349</v>
      </c>
      <c r="B24" t="s">
        <v>187</v>
      </c>
      <c r="C24" t="s">
        <v>24</v>
      </c>
      <c r="D24" t="s">
        <v>1024</v>
      </c>
      <c r="E24">
        <v>9916565965</v>
      </c>
      <c r="J24" t="s">
        <v>1174</v>
      </c>
      <c r="K24" s="3">
        <v>780</v>
      </c>
      <c r="L24" s="2">
        <v>117</v>
      </c>
      <c r="M24" s="2">
        <f>+K24-L24</f>
        <v>663</v>
      </c>
      <c r="N24" s="2">
        <v>33.159999999999997</v>
      </c>
      <c r="O24" s="2">
        <v>-0.16</v>
      </c>
      <c r="P24" s="2">
        <v>696</v>
      </c>
      <c r="Q24" t="s">
        <v>40</v>
      </c>
      <c r="S24" t="s">
        <v>27</v>
      </c>
      <c r="T24" s="8">
        <v>45993</v>
      </c>
      <c r="U24" s="7">
        <v>0.75589120370370366</v>
      </c>
    </row>
    <row r="25" spans="1:21" x14ac:dyDescent="0.2">
      <c r="A25">
        <v>350</v>
      </c>
      <c r="B25" t="s">
        <v>1171</v>
      </c>
      <c r="C25" t="s">
        <v>24</v>
      </c>
      <c r="D25" t="s">
        <v>1172</v>
      </c>
      <c r="J25" t="s">
        <v>1173</v>
      </c>
      <c r="K25" s="3">
        <v>1585</v>
      </c>
      <c r="L25" s="2">
        <v>0</v>
      </c>
      <c r="M25" s="2">
        <f>+K25-L25</f>
        <v>1585</v>
      </c>
      <c r="N25" s="2">
        <v>79.260000000000005</v>
      </c>
      <c r="O25" s="2">
        <v>-0.26</v>
      </c>
      <c r="P25" s="2">
        <v>1664</v>
      </c>
      <c r="Q25" t="s">
        <v>40</v>
      </c>
      <c r="S25" t="s">
        <v>27</v>
      </c>
      <c r="T25" s="8">
        <v>45993</v>
      </c>
      <c r="U25" s="7">
        <v>0.77792824074074074</v>
      </c>
    </row>
    <row r="26" spans="1:21" x14ac:dyDescent="0.2">
      <c r="A26">
        <v>351</v>
      </c>
      <c r="B26" t="s">
        <v>508</v>
      </c>
      <c r="C26" t="s">
        <v>24</v>
      </c>
      <c r="D26" t="s">
        <v>1169</v>
      </c>
      <c r="J26" t="s">
        <v>1170</v>
      </c>
      <c r="K26" s="3">
        <v>1015</v>
      </c>
      <c r="L26" s="2">
        <v>0</v>
      </c>
      <c r="M26" s="2">
        <f>+K26-L26</f>
        <v>1015</v>
      </c>
      <c r="N26" s="2">
        <v>50.76</v>
      </c>
      <c r="O26" s="2">
        <v>0.24</v>
      </c>
      <c r="P26" s="2">
        <v>1066</v>
      </c>
      <c r="Q26" t="s">
        <v>33</v>
      </c>
      <c r="S26" t="s">
        <v>27</v>
      </c>
      <c r="T26" s="8">
        <v>45993</v>
      </c>
      <c r="U26" s="7">
        <v>0.79204861111111113</v>
      </c>
    </row>
    <row r="27" spans="1:21" x14ac:dyDescent="0.2">
      <c r="A27">
        <v>352</v>
      </c>
      <c r="B27" t="s">
        <v>1166</v>
      </c>
      <c r="C27" t="s">
        <v>24</v>
      </c>
      <c r="D27" t="s">
        <v>1167</v>
      </c>
      <c r="J27" t="s">
        <v>1168</v>
      </c>
      <c r="K27" s="3">
        <v>220</v>
      </c>
      <c r="L27" s="2">
        <v>0</v>
      </c>
      <c r="M27" s="2">
        <f>+K27-L27</f>
        <v>220</v>
      </c>
      <c r="N27" s="2">
        <v>11</v>
      </c>
      <c r="O27" s="2">
        <v>0</v>
      </c>
      <c r="P27" s="2">
        <v>231</v>
      </c>
      <c r="Q27" t="s">
        <v>40</v>
      </c>
      <c r="S27" t="s">
        <v>27</v>
      </c>
      <c r="T27" s="8">
        <v>45993</v>
      </c>
      <c r="U27" s="7">
        <v>0.80380787037037038</v>
      </c>
    </row>
    <row r="28" spans="1:21" x14ac:dyDescent="0.2">
      <c r="A28">
        <v>353</v>
      </c>
      <c r="B28" t="s">
        <v>1163</v>
      </c>
      <c r="C28" t="s">
        <v>24</v>
      </c>
      <c r="D28" t="s">
        <v>1164</v>
      </c>
      <c r="J28" t="s">
        <v>1165</v>
      </c>
      <c r="K28" s="3">
        <v>810</v>
      </c>
      <c r="L28" s="2">
        <v>0</v>
      </c>
      <c r="M28" s="2">
        <f>+K28-L28</f>
        <v>810</v>
      </c>
      <c r="N28" s="2">
        <v>33</v>
      </c>
      <c r="O28" s="2">
        <v>0</v>
      </c>
      <c r="P28" s="2">
        <v>843</v>
      </c>
      <c r="Q28" t="s">
        <v>30</v>
      </c>
      <c r="S28" t="s">
        <v>27</v>
      </c>
      <c r="T28" s="8">
        <v>45993</v>
      </c>
      <c r="U28" s="7">
        <v>0.83206018518518521</v>
      </c>
    </row>
    <row r="29" spans="1:21" x14ac:dyDescent="0.2">
      <c r="A29">
        <v>354</v>
      </c>
      <c r="B29" t="s">
        <v>638</v>
      </c>
      <c r="C29" t="s">
        <v>24</v>
      </c>
      <c r="D29" t="s">
        <v>1162</v>
      </c>
      <c r="J29" t="s">
        <v>1235</v>
      </c>
      <c r="K29" s="3">
        <v>4705</v>
      </c>
      <c r="L29" s="2">
        <v>705.75</v>
      </c>
      <c r="M29" s="2">
        <f>+K29-L29</f>
        <v>3999.25</v>
      </c>
      <c r="N29" s="2">
        <v>199.96</v>
      </c>
      <c r="O29" s="2">
        <v>-0.21</v>
      </c>
      <c r="P29" s="2">
        <v>4199</v>
      </c>
      <c r="Q29" t="s">
        <v>30</v>
      </c>
      <c r="S29" t="s">
        <v>27</v>
      </c>
      <c r="T29" s="8">
        <v>45993</v>
      </c>
      <c r="U29" s="7">
        <v>0.83236111111111111</v>
      </c>
    </row>
    <row r="30" spans="1:21" x14ac:dyDescent="0.2">
      <c r="A30">
        <v>355</v>
      </c>
      <c r="B30" t="s">
        <v>1159</v>
      </c>
      <c r="C30" t="s">
        <v>24</v>
      </c>
      <c r="D30" t="s">
        <v>1160</v>
      </c>
      <c r="J30" t="s">
        <v>1161</v>
      </c>
      <c r="K30" s="3">
        <v>950</v>
      </c>
      <c r="L30" s="2">
        <v>0</v>
      </c>
      <c r="M30" s="2">
        <f>+K30-L30</f>
        <v>950</v>
      </c>
      <c r="N30" s="2">
        <v>47.5</v>
      </c>
      <c r="O30" s="2">
        <v>0.5</v>
      </c>
      <c r="P30" s="2">
        <v>998</v>
      </c>
      <c r="Q30" t="s">
        <v>40</v>
      </c>
      <c r="S30" t="s">
        <v>27</v>
      </c>
      <c r="T30" s="8">
        <v>45993</v>
      </c>
      <c r="U30" s="7">
        <v>0.88765046296296302</v>
      </c>
    </row>
    <row r="31" spans="1:21" x14ac:dyDescent="0.2">
      <c r="A31">
        <v>356</v>
      </c>
      <c r="B31" t="s">
        <v>1156</v>
      </c>
      <c r="C31" t="s">
        <v>24</v>
      </c>
      <c r="D31" t="s">
        <v>1157</v>
      </c>
      <c r="J31" t="s">
        <v>1158</v>
      </c>
      <c r="K31" s="3">
        <v>350</v>
      </c>
      <c r="L31" s="2">
        <v>52.5</v>
      </c>
      <c r="M31" s="2">
        <f>+K31-L31</f>
        <v>297.5</v>
      </c>
      <c r="N31" s="2">
        <v>14.88</v>
      </c>
      <c r="O31" s="2">
        <v>-0.38</v>
      </c>
      <c r="P31" s="2">
        <v>312</v>
      </c>
      <c r="Q31" t="s">
        <v>30</v>
      </c>
      <c r="S31" t="s">
        <v>27</v>
      </c>
      <c r="T31" s="8">
        <v>45993</v>
      </c>
      <c r="U31" s="7">
        <v>0.89178240740740744</v>
      </c>
    </row>
    <row r="32" spans="1:21" x14ac:dyDescent="0.2">
      <c r="A32">
        <v>357</v>
      </c>
      <c r="B32" t="s">
        <v>1153</v>
      </c>
      <c r="C32" t="s">
        <v>24</v>
      </c>
      <c r="D32" t="s">
        <v>1154</v>
      </c>
      <c r="J32" t="s">
        <v>1155</v>
      </c>
      <c r="K32" s="3">
        <v>0</v>
      </c>
      <c r="L32" s="2">
        <v>0</v>
      </c>
      <c r="M32" s="2">
        <f>+K32-L32</f>
        <v>0</v>
      </c>
      <c r="N32" s="2">
        <v>0</v>
      </c>
      <c r="O32" s="2">
        <v>0</v>
      </c>
      <c r="P32" s="2">
        <v>0</v>
      </c>
      <c r="Q32" t="s">
        <v>33</v>
      </c>
      <c r="S32" t="s">
        <v>27</v>
      </c>
      <c r="T32" s="8">
        <v>45993</v>
      </c>
      <c r="U32" s="7">
        <v>0.95359953703703704</v>
      </c>
    </row>
    <row r="33" spans="1:21" x14ac:dyDescent="0.2">
      <c r="A33">
        <v>358</v>
      </c>
      <c r="B33" t="s">
        <v>903</v>
      </c>
      <c r="C33" t="s">
        <v>24</v>
      </c>
      <c r="D33" t="s">
        <v>904</v>
      </c>
      <c r="J33" t="s">
        <v>1152</v>
      </c>
      <c r="K33" s="3">
        <v>2880</v>
      </c>
      <c r="L33" s="2">
        <v>0</v>
      </c>
      <c r="M33" s="2">
        <f>+K33-L33</f>
        <v>2880</v>
      </c>
      <c r="N33" s="2">
        <v>144</v>
      </c>
      <c r="O33" s="2">
        <v>0</v>
      </c>
      <c r="P33" s="2">
        <v>3024</v>
      </c>
      <c r="Q33" t="s">
        <v>30</v>
      </c>
      <c r="S33" t="s">
        <v>27</v>
      </c>
      <c r="T33" s="8">
        <v>45993</v>
      </c>
      <c r="U33" s="7">
        <v>0.95381944444444444</v>
      </c>
    </row>
    <row r="34" spans="1:21" x14ac:dyDescent="0.2">
      <c r="A34">
        <v>359</v>
      </c>
      <c r="B34" t="s">
        <v>23</v>
      </c>
      <c r="C34" t="s">
        <v>24</v>
      </c>
      <c r="J34" t="s">
        <v>1151</v>
      </c>
      <c r="K34" s="3">
        <v>1495</v>
      </c>
      <c r="L34" s="2">
        <v>0</v>
      </c>
      <c r="M34" s="2">
        <f>+K34-L34</f>
        <v>1495</v>
      </c>
      <c r="N34" s="2">
        <v>74.760000000000005</v>
      </c>
      <c r="O34" s="2">
        <v>0.24</v>
      </c>
      <c r="P34" s="2">
        <v>1570</v>
      </c>
      <c r="Q34" t="s">
        <v>40</v>
      </c>
      <c r="S34" t="s">
        <v>27</v>
      </c>
      <c r="T34" s="8">
        <v>45994</v>
      </c>
      <c r="U34" s="7">
        <v>0.5866203703703704</v>
      </c>
    </row>
    <row r="35" spans="1:21" x14ac:dyDescent="0.2">
      <c r="A35">
        <v>360</v>
      </c>
      <c r="B35" t="s">
        <v>1148</v>
      </c>
      <c r="C35" t="s">
        <v>24</v>
      </c>
      <c r="D35" t="s">
        <v>1149</v>
      </c>
      <c r="J35" t="s">
        <v>1150</v>
      </c>
      <c r="K35" s="3">
        <v>775</v>
      </c>
      <c r="L35" s="2">
        <v>0</v>
      </c>
      <c r="M35" s="2">
        <f>+K35-L35</f>
        <v>775</v>
      </c>
      <c r="N35" s="2">
        <v>38.76</v>
      </c>
      <c r="O35" s="2">
        <v>0.24</v>
      </c>
      <c r="P35" s="2">
        <v>814</v>
      </c>
      <c r="Q35" t="s">
        <v>40</v>
      </c>
      <c r="S35" t="s">
        <v>27</v>
      </c>
      <c r="T35" s="8">
        <v>45994</v>
      </c>
      <c r="U35" s="7">
        <v>0.66158564814814813</v>
      </c>
    </row>
    <row r="36" spans="1:21" x14ac:dyDescent="0.2">
      <c r="A36">
        <v>361</v>
      </c>
      <c r="B36" t="s">
        <v>1146</v>
      </c>
      <c r="C36" t="s">
        <v>24</v>
      </c>
      <c r="D36" t="s">
        <v>1147</v>
      </c>
      <c r="J36" t="s">
        <v>378</v>
      </c>
      <c r="K36" s="3">
        <v>280</v>
      </c>
      <c r="L36" s="2">
        <v>0</v>
      </c>
      <c r="M36" s="2">
        <f>+K36-L36</f>
        <v>280</v>
      </c>
      <c r="N36" s="2">
        <v>14</v>
      </c>
      <c r="O36" s="2">
        <v>0</v>
      </c>
      <c r="P36" s="2">
        <v>294</v>
      </c>
      <c r="Q36" t="s">
        <v>40</v>
      </c>
      <c r="S36" t="s">
        <v>27</v>
      </c>
      <c r="T36" s="8">
        <v>45994</v>
      </c>
      <c r="U36" s="7">
        <v>0.83668981481481486</v>
      </c>
    </row>
    <row r="37" spans="1:21" x14ac:dyDescent="0.2">
      <c r="A37">
        <v>362</v>
      </c>
      <c r="B37" t="s">
        <v>50</v>
      </c>
      <c r="C37" t="s">
        <v>24</v>
      </c>
      <c r="J37" t="s">
        <v>1145</v>
      </c>
      <c r="K37" s="3">
        <v>1230</v>
      </c>
      <c r="L37" s="2">
        <v>0</v>
      </c>
      <c r="M37" s="2">
        <f>+K37-L37</f>
        <v>1230</v>
      </c>
      <c r="N37" s="2">
        <v>61.5</v>
      </c>
      <c r="O37" s="2">
        <v>0.5</v>
      </c>
      <c r="P37" s="2">
        <v>1292</v>
      </c>
      <c r="Q37" t="s">
        <v>30</v>
      </c>
      <c r="S37" t="s">
        <v>27</v>
      </c>
      <c r="T37" s="8">
        <v>45994</v>
      </c>
      <c r="U37" s="7">
        <v>0.88954861111111116</v>
      </c>
    </row>
    <row r="38" spans="1:21" x14ac:dyDescent="0.2">
      <c r="A38">
        <v>363</v>
      </c>
      <c r="B38" t="s">
        <v>1142</v>
      </c>
      <c r="C38" t="s">
        <v>24</v>
      </c>
      <c r="D38" t="s">
        <v>1143</v>
      </c>
      <c r="J38" t="s">
        <v>1144</v>
      </c>
      <c r="K38" s="3">
        <v>1270</v>
      </c>
      <c r="L38" s="2">
        <v>0</v>
      </c>
      <c r="M38" s="2">
        <f>+K38-L38</f>
        <v>1270</v>
      </c>
      <c r="N38" s="2">
        <v>63.5</v>
      </c>
      <c r="O38" s="2">
        <v>0.5</v>
      </c>
      <c r="P38" s="2">
        <v>1334</v>
      </c>
      <c r="Q38" t="s">
        <v>30</v>
      </c>
      <c r="S38" t="s">
        <v>27</v>
      </c>
      <c r="T38" s="8">
        <v>45994</v>
      </c>
      <c r="U38" s="7">
        <v>0.91568287037037033</v>
      </c>
    </row>
    <row r="39" spans="1:21" x14ac:dyDescent="0.2">
      <c r="A39">
        <v>364</v>
      </c>
      <c r="B39" t="s">
        <v>52</v>
      </c>
      <c r="C39" t="s">
        <v>24</v>
      </c>
      <c r="J39" t="s">
        <v>1141</v>
      </c>
      <c r="K39" s="3">
        <v>965</v>
      </c>
      <c r="L39" s="2">
        <v>0</v>
      </c>
      <c r="M39" s="2">
        <f>+K39-L39</f>
        <v>965</v>
      </c>
      <c r="N39" s="2">
        <v>48.26</v>
      </c>
      <c r="O39" s="2">
        <v>-0.26</v>
      </c>
      <c r="P39" s="2">
        <v>1013</v>
      </c>
      <c r="Q39" t="s">
        <v>30</v>
      </c>
      <c r="S39" t="s">
        <v>27</v>
      </c>
      <c r="T39" s="8">
        <v>45994</v>
      </c>
      <c r="U39" s="7">
        <v>0.9537268518518518</v>
      </c>
    </row>
    <row r="40" spans="1:21" x14ac:dyDescent="0.2">
      <c r="A40">
        <v>365</v>
      </c>
      <c r="B40" t="s">
        <v>41</v>
      </c>
      <c r="C40" t="s">
        <v>24</v>
      </c>
      <c r="J40" t="s">
        <v>1140</v>
      </c>
      <c r="K40" s="3">
        <v>750</v>
      </c>
      <c r="L40" s="2">
        <v>0</v>
      </c>
      <c r="M40" s="2">
        <f>+K40-L40</f>
        <v>750</v>
      </c>
      <c r="N40" s="2">
        <v>37.5</v>
      </c>
      <c r="O40" s="2">
        <v>0.5</v>
      </c>
      <c r="P40" s="2">
        <v>788</v>
      </c>
      <c r="Q40" t="s">
        <v>33</v>
      </c>
      <c r="S40" t="s">
        <v>27</v>
      </c>
      <c r="T40" s="8">
        <v>45994</v>
      </c>
      <c r="U40" s="7">
        <v>0.96003472222222219</v>
      </c>
    </row>
    <row r="41" spans="1:21" x14ac:dyDescent="0.2">
      <c r="A41">
        <v>366</v>
      </c>
      <c r="B41" t="s">
        <v>736</v>
      </c>
      <c r="C41" t="s">
        <v>24</v>
      </c>
      <c r="D41" t="s">
        <v>1138</v>
      </c>
      <c r="J41" t="s">
        <v>1139</v>
      </c>
      <c r="K41" s="3">
        <v>900</v>
      </c>
      <c r="L41" s="2">
        <v>0</v>
      </c>
      <c r="M41" s="2">
        <f>+K41-L41</f>
        <v>900</v>
      </c>
      <c r="N41" s="2">
        <v>45</v>
      </c>
      <c r="O41" s="2">
        <v>0</v>
      </c>
      <c r="P41" s="2">
        <v>945</v>
      </c>
      <c r="Q41" t="s">
        <v>33</v>
      </c>
      <c r="S41" t="s">
        <v>27</v>
      </c>
      <c r="T41" s="8">
        <v>45994</v>
      </c>
      <c r="U41" s="7">
        <v>0.9635069444444444</v>
      </c>
    </row>
    <row r="42" spans="1:21" x14ac:dyDescent="0.2">
      <c r="A42">
        <v>367</v>
      </c>
      <c r="B42" t="s">
        <v>1135</v>
      </c>
      <c r="C42" t="s">
        <v>24</v>
      </c>
      <c r="D42" t="s">
        <v>1136</v>
      </c>
      <c r="J42" t="s">
        <v>1137</v>
      </c>
      <c r="K42" s="3">
        <v>720</v>
      </c>
      <c r="L42" s="2">
        <v>0</v>
      </c>
      <c r="M42" s="2">
        <f>+K42-L42</f>
        <v>720</v>
      </c>
      <c r="N42" s="2">
        <v>36</v>
      </c>
      <c r="O42" s="2">
        <v>0</v>
      </c>
      <c r="P42" s="2">
        <v>756</v>
      </c>
      <c r="Q42" t="s">
        <v>30</v>
      </c>
      <c r="S42" t="s">
        <v>27</v>
      </c>
      <c r="T42" s="8">
        <v>45994</v>
      </c>
      <c r="U42" s="7">
        <v>0.96375</v>
      </c>
    </row>
    <row r="43" spans="1:21" x14ac:dyDescent="0.2">
      <c r="A43">
        <v>368</v>
      </c>
      <c r="B43" t="s">
        <v>82</v>
      </c>
      <c r="C43" t="s">
        <v>24</v>
      </c>
      <c r="D43" t="s">
        <v>671</v>
      </c>
      <c r="J43" t="s">
        <v>1134</v>
      </c>
      <c r="K43" s="3">
        <v>1275</v>
      </c>
      <c r="L43" s="2">
        <v>0</v>
      </c>
      <c r="M43" s="2">
        <f>+K43-L43</f>
        <v>1275</v>
      </c>
      <c r="N43" s="2">
        <v>63.76</v>
      </c>
      <c r="O43" s="2">
        <v>0.24</v>
      </c>
      <c r="P43" s="2">
        <v>1339</v>
      </c>
      <c r="Q43" t="s">
        <v>30</v>
      </c>
      <c r="S43" t="s">
        <v>27</v>
      </c>
      <c r="T43" s="8">
        <v>45994</v>
      </c>
      <c r="U43" s="7">
        <v>0.96578703703703705</v>
      </c>
    </row>
    <row r="44" spans="1:21" x14ac:dyDescent="0.2">
      <c r="A44">
        <v>369</v>
      </c>
      <c r="B44" t="s">
        <v>620</v>
      </c>
      <c r="C44" t="s">
        <v>24</v>
      </c>
      <c r="D44" t="s">
        <v>459</v>
      </c>
      <c r="J44" t="s">
        <v>628</v>
      </c>
      <c r="K44" s="3">
        <v>420</v>
      </c>
      <c r="L44" s="2">
        <v>42</v>
      </c>
      <c r="M44" s="2">
        <f>+K44-L44</f>
        <v>378</v>
      </c>
      <c r="N44" s="2">
        <v>18.899999999999999</v>
      </c>
      <c r="O44" s="2">
        <v>0.1</v>
      </c>
      <c r="P44" s="2">
        <v>397</v>
      </c>
      <c r="Q44" t="s">
        <v>30</v>
      </c>
      <c r="S44" t="s">
        <v>27</v>
      </c>
      <c r="T44" s="8">
        <v>45994</v>
      </c>
      <c r="U44" s="7">
        <v>0.9680671296296296</v>
      </c>
    </row>
    <row r="45" spans="1:21" x14ac:dyDescent="0.2">
      <c r="A45">
        <v>370</v>
      </c>
      <c r="B45" t="s">
        <v>36</v>
      </c>
      <c r="C45" t="s">
        <v>24</v>
      </c>
      <c r="D45" t="s">
        <v>1132</v>
      </c>
      <c r="J45" t="s">
        <v>1133</v>
      </c>
      <c r="K45" s="3">
        <v>0</v>
      </c>
      <c r="L45" s="2">
        <v>0</v>
      </c>
      <c r="M45" s="2">
        <f>+K45-L45</f>
        <v>0</v>
      </c>
      <c r="N45" s="2">
        <v>0</v>
      </c>
      <c r="O45" s="2">
        <v>0</v>
      </c>
      <c r="P45" s="2">
        <v>0</v>
      </c>
      <c r="Q45" t="s">
        <v>33</v>
      </c>
      <c r="S45" t="s">
        <v>27</v>
      </c>
      <c r="T45" s="8">
        <v>45994</v>
      </c>
      <c r="U45" s="7">
        <v>0.97013888888888888</v>
      </c>
    </row>
    <row r="46" spans="1:21" x14ac:dyDescent="0.2">
      <c r="A46">
        <v>371</v>
      </c>
      <c r="B46" t="s">
        <v>31</v>
      </c>
      <c r="C46" t="s">
        <v>24</v>
      </c>
      <c r="D46" t="s">
        <v>1130</v>
      </c>
      <c r="J46" t="s">
        <v>1131</v>
      </c>
      <c r="K46" s="3">
        <v>0</v>
      </c>
      <c r="L46" s="2">
        <v>0</v>
      </c>
      <c r="M46" s="2">
        <f>+K46-L46</f>
        <v>0</v>
      </c>
      <c r="N46" s="2">
        <v>0</v>
      </c>
      <c r="O46" s="2">
        <v>0</v>
      </c>
      <c r="P46" s="2">
        <v>0</v>
      </c>
      <c r="Q46" t="s">
        <v>33</v>
      </c>
      <c r="S46" t="s">
        <v>27</v>
      </c>
      <c r="T46" s="8">
        <v>45994</v>
      </c>
      <c r="U46" s="7">
        <v>0.97067129629629634</v>
      </c>
    </row>
    <row r="47" spans="1:21" x14ac:dyDescent="0.2">
      <c r="A47">
        <v>372</v>
      </c>
      <c r="B47" t="s">
        <v>1128</v>
      </c>
      <c r="C47" t="s">
        <v>24</v>
      </c>
      <c r="D47" t="s">
        <v>1129</v>
      </c>
      <c r="J47" t="s">
        <v>628</v>
      </c>
      <c r="K47" s="3">
        <v>420</v>
      </c>
      <c r="L47" s="2">
        <v>0</v>
      </c>
      <c r="M47" s="2">
        <f>+K47-L47</f>
        <v>420</v>
      </c>
      <c r="N47" s="2">
        <v>21</v>
      </c>
      <c r="O47" s="2">
        <v>0</v>
      </c>
      <c r="P47" s="2">
        <v>441</v>
      </c>
      <c r="Q47" t="s">
        <v>33</v>
      </c>
      <c r="S47" t="s">
        <v>27</v>
      </c>
      <c r="T47" s="8">
        <v>45995</v>
      </c>
      <c r="U47" s="7">
        <v>0.77362268518518518</v>
      </c>
    </row>
    <row r="48" spans="1:21" x14ac:dyDescent="0.2">
      <c r="A48">
        <v>373</v>
      </c>
      <c r="B48" t="s">
        <v>1125</v>
      </c>
      <c r="C48" t="s">
        <v>24</v>
      </c>
      <c r="D48" t="s">
        <v>1126</v>
      </c>
      <c r="J48" t="s">
        <v>1127</v>
      </c>
      <c r="K48" s="3">
        <v>705</v>
      </c>
      <c r="L48" s="2">
        <v>0</v>
      </c>
      <c r="M48" s="2">
        <f>+K48-L48</f>
        <v>705</v>
      </c>
      <c r="N48" s="2">
        <v>35.26</v>
      </c>
      <c r="O48" s="2">
        <v>-0.26</v>
      </c>
      <c r="P48" s="2">
        <v>740</v>
      </c>
      <c r="Q48" t="s">
        <v>30</v>
      </c>
      <c r="S48" t="s">
        <v>27</v>
      </c>
      <c r="T48" s="8">
        <v>45995</v>
      </c>
      <c r="U48" s="7">
        <v>0.82164351851851847</v>
      </c>
    </row>
    <row r="49" spans="1:21" x14ac:dyDescent="0.2">
      <c r="A49">
        <v>374</v>
      </c>
      <c r="B49" t="s">
        <v>1123</v>
      </c>
      <c r="C49" t="s">
        <v>24</v>
      </c>
      <c r="D49" t="s">
        <v>1124</v>
      </c>
      <c r="J49" t="s">
        <v>144</v>
      </c>
      <c r="K49" s="3">
        <v>380</v>
      </c>
      <c r="L49" s="2">
        <v>0</v>
      </c>
      <c r="M49" s="2">
        <f>+K49-L49</f>
        <v>380</v>
      </c>
      <c r="N49" s="2">
        <v>19</v>
      </c>
      <c r="O49" s="2">
        <v>0</v>
      </c>
      <c r="P49" s="2">
        <v>399</v>
      </c>
      <c r="Q49" t="s">
        <v>33</v>
      </c>
      <c r="S49" t="s">
        <v>27</v>
      </c>
      <c r="T49" s="8">
        <v>45995</v>
      </c>
      <c r="U49" s="7">
        <v>0.93692129629629628</v>
      </c>
    </row>
    <row r="50" spans="1:21" x14ac:dyDescent="0.2">
      <c r="A50">
        <v>375</v>
      </c>
      <c r="B50" t="s">
        <v>1120</v>
      </c>
      <c r="C50" t="s">
        <v>24</v>
      </c>
      <c r="D50" t="s">
        <v>1121</v>
      </c>
      <c r="J50" t="s">
        <v>1122</v>
      </c>
      <c r="K50" s="3">
        <v>1040</v>
      </c>
      <c r="L50" s="2">
        <v>0</v>
      </c>
      <c r="M50" s="2">
        <f>+K50-L50</f>
        <v>1040</v>
      </c>
      <c r="N50" s="2">
        <v>52</v>
      </c>
      <c r="O50" s="2">
        <v>0</v>
      </c>
      <c r="P50" s="2">
        <v>1092</v>
      </c>
      <c r="Q50" t="s">
        <v>40</v>
      </c>
      <c r="S50" t="s">
        <v>27</v>
      </c>
      <c r="T50" s="8">
        <v>45995</v>
      </c>
      <c r="U50" s="7">
        <v>0.9623842592592593</v>
      </c>
    </row>
    <row r="51" spans="1:21" x14ac:dyDescent="0.2">
      <c r="A51">
        <v>376</v>
      </c>
      <c r="B51" t="s">
        <v>1117</v>
      </c>
      <c r="C51" t="s">
        <v>24</v>
      </c>
      <c r="D51" t="s">
        <v>1118</v>
      </c>
      <c r="J51" t="s">
        <v>1119</v>
      </c>
      <c r="K51" s="3">
        <v>560</v>
      </c>
      <c r="L51" s="2">
        <v>0</v>
      </c>
      <c r="M51" s="2">
        <f>+K51-L51</f>
        <v>560</v>
      </c>
      <c r="N51" s="2">
        <v>28</v>
      </c>
      <c r="O51" s="2">
        <v>0</v>
      </c>
      <c r="P51" s="2">
        <v>588</v>
      </c>
      <c r="Q51" t="s">
        <v>30</v>
      </c>
      <c r="S51" t="s">
        <v>27</v>
      </c>
      <c r="T51" s="8">
        <v>45995</v>
      </c>
      <c r="U51" s="7">
        <v>0.96387731481481487</v>
      </c>
    </row>
    <row r="52" spans="1:21" x14ac:dyDescent="0.2">
      <c r="A52">
        <v>377</v>
      </c>
      <c r="B52" t="s">
        <v>1115</v>
      </c>
      <c r="C52" t="s">
        <v>24</v>
      </c>
      <c r="D52" t="s">
        <v>1096</v>
      </c>
      <c r="J52" t="s">
        <v>1116</v>
      </c>
      <c r="K52" s="3">
        <v>0</v>
      </c>
      <c r="L52" s="2">
        <v>0</v>
      </c>
      <c r="M52" s="2">
        <f>+K52-L52</f>
        <v>0</v>
      </c>
      <c r="N52" s="2">
        <v>0</v>
      </c>
      <c r="O52" s="2">
        <v>0</v>
      </c>
      <c r="P52" s="2">
        <v>0</v>
      </c>
      <c r="Q52" t="s">
        <v>33</v>
      </c>
      <c r="S52" t="s">
        <v>27</v>
      </c>
      <c r="T52" s="8">
        <v>45995</v>
      </c>
      <c r="U52" s="7">
        <v>0.96504629629629635</v>
      </c>
    </row>
    <row r="53" spans="1:21" x14ac:dyDescent="0.2">
      <c r="A53">
        <v>378</v>
      </c>
      <c r="B53" t="s">
        <v>888</v>
      </c>
      <c r="C53" t="s">
        <v>24</v>
      </c>
      <c r="D53" t="s">
        <v>889</v>
      </c>
      <c r="J53" t="s">
        <v>1114</v>
      </c>
      <c r="K53" s="3">
        <v>745</v>
      </c>
      <c r="L53" s="2">
        <v>0</v>
      </c>
      <c r="M53" s="2">
        <f>+K53-L53</f>
        <v>745</v>
      </c>
      <c r="N53" s="2">
        <v>37.26</v>
      </c>
      <c r="O53" s="2">
        <v>-0.26</v>
      </c>
      <c r="P53" s="2">
        <v>782</v>
      </c>
      <c r="Q53" t="s">
        <v>40</v>
      </c>
      <c r="S53" t="s">
        <v>27</v>
      </c>
      <c r="T53" s="8">
        <v>45995</v>
      </c>
      <c r="U53" s="7">
        <v>0.96547453703703701</v>
      </c>
    </row>
    <row r="54" spans="1:21" x14ac:dyDescent="0.2">
      <c r="A54">
        <v>379</v>
      </c>
      <c r="B54" t="s">
        <v>34</v>
      </c>
      <c r="C54" t="s">
        <v>24</v>
      </c>
      <c r="D54" t="s">
        <v>1113</v>
      </c>
      <c r="J54" t="s">
        <v>274</v>
      </c>
      <c r="K54" s="3">
        <v>0</v>
      </c>
      <c r="L54" s="2">
        <v>0</v>
      </c>
      <c r="M54" s="2">
        <f>+K54-L54</f>
        <v>0</v>
      </c>
      <c r="N54" s="2">
        <v>0</v>
      </c>
      <c r="O54" s="2">
        <v>0</v>
      </c>
      <c r="P54" s="2">
        <v>0</v>
      </c>
      <c r="Q54" t="s">
        <v>33</v>
      </c>
      <c r="S54" t="s">
        <v>27</v>
      </c>
      <c r="T54" s="8">
        <v>45995</v>
      </c>
      <c r="U54" s="7">
        <v>0.96697916666666661</v>
      </c>
    </row>
    <row r="55" spans="1:21" x14ac:dyDescent="0.2">
      <c r="A55">
        <v>380</v>
      </c>
      <c r="B55" t="s">
        <v>964</v>
      </c>
      <c r="C55" t="s">
        <v>24</v>
      </c>
      <c r="D55" t="s">
        <v>965</v>
      </c>
      <c r="J55" t="s">
        <v>1112</v>
      </c>
      <c r="K55" s="3">
        <v>0</v>
      </c>
      <c r="L55" s="2">
        <v>0</v>
      </c>
      <c r="M55" s="2">
        <f>+K55-L55</f>
        <v>0</v>
      </c>
      <c r="N55" s="2">
        <v>0</v>
      </c>
      <c r="O55" s="2">
        <v>0</v>
      </c>
      <c r="P55" s="2">
        <v>0</v>
      </c>
      <c r="Q55" t="s">
        <v>33</v>
      </c>
      <c r="S55" t="s">
        <v>27</v>
      </c>
      <c r="T55" s="8">
        <v>45995</v>
      </c>
      <c r="U55" s="7">
        <v>0.96774305555555551</v>
      </c>
    </row>
    <row r="56" spans="1:21" x14ac:dyDescent="0.2">
      <c r="A56">
        <v>381</v>
      </c>
      <c r="B56" t="s">
        <v>400</v>
      </c>
      <c r="C56" t="s">
        <v>24</v>
      </c>
      <c r="D56" t="s">
        <v>1110</v>
      </c>
      <c r="J56" t="s">
        <v>1111</v>
      </c>
      <c r="K56" s="3">
        <v>805</v>
      </c>
      <c r="L56" s="2">
        <v>0</v>
      </c>
      <c r="M56" s="2">
        <f>+K56-L56</f>
        <v>805</v>
      </c>
      <c r="N56" s="2">
        <v>40.26</v>
      </c>
      <c r="O56" s="2">
        <v>-0.26</v>
      </c>
      <c r="P56" s="2">
        <v>845</v>
      </c>
      <c r="Q56" t="s">
        <v>30</v>
      </c>
      <c r="S56" t="s">
        <v>27</v>
      </c>
      <c r="T56" s="8">
        <v>45995</v>
      </c>
      <c r="U56" s="7">
        <v>0.96793981481481484</v>
      </c>
    </row>
    <row r="57" spans="1:21" x14ac:dyDescent="0.2">
      <c r="A57">
        <v>382</v>
      </c>
      <c r="B57" t="s">
        <v>400</v>
      </c>
      <c r="C57" t="s">
        <v>24</v>
      </c>
      <c r="D57" t="s">
        <v>1110</v>
      </c>
      <c r="J57" t="s">
        <v>1234</v>
      </c>
      <c r="K57" s="3">
        <v>2765</v>
      </c>
      <c r="L57" s="2">
        <v>0</v>
      </c>
      <c r="M57" s="2">
        <f>+K57-L57</f>
        <v>2765</v>
      </c>
      <c r="N57" s="2">
        <v>138.26</v>
      </c>
      <c r="O57" s="2">
        <v>-0.26</v>
      </c>
      <c r="P57" s="2">
        <v>2903</v>
      </c>
      <c r="Q57" t="s">
        <v>30</v>
      </c>
      <c r="S57" t="s">
        <v>27</v>
      </c>
      <c r="T57" s="8">
        <v>45996</v>
      </c>
      <c r="U57" s="7">
        <v>0.66237268518518522</v>
      </c>
    </row>
    <row r="58" spans="1:21" x14ac:dyDescent="0.2">
      <c r="A58">
        <v>383</v>
      </c>
      <c r="B58" t="s">
        <v>1107</v>
      </c>
      <c r="C58" t="s">
        <v>24</v>
      </c>
      <c r="D58" t="s">
        <v>1108</v>
      </c>
      <c r="J58" t="s">
        <v>1109</v>
      </c>
      <c r="K58" s="3">
        <v>1215</v>
      </c>
      <c r="L58" s="2">
        <v>0</v>
      </c>
      <c r="M58" s="2">
        <f>+K58-L58</f>
        <v>1215</v>
      </c>
      <c r="N58" s="2">
        <v>60.76</v>
      </c>
      <c r="O58" s="2">
        <v>0.24</v>
      </c>
      <c r="P58" s="2">
        <v>1276</v>
      </c>
      <c r="Q58" t="s">
        <v>40</v>
      </c>
      <c r="S58" t="s">
        <v>27</v>
      </c>
      <c r="T58" s="8">
        <v>45996</v>
      </c>
      <c r="U58" s="7">
        <v>0.71280092592592592</v>
      </c>
    </row>
    <row r="59" spans="1:21" x14ac:dyDescent="0.2">
      <c r="A59">
        <v>384</v>
      </c>
      <c r="B59" t="s">
        <v>41</v>
      </c>
      <c r="C59" t="s">
        <v>24</v>
      </c>
      <c r="J59" t="s">
        <v>76</v>
      </c>
      <c r="K59" s="3">
        <v>250</v>
      </c>
      <c r="L59" s="2">
        <v>0</v>
      </c>
      <c r="M59" s="2">
        <f>+K59-L59</f>
        <v>250</v>
      </c>
      <c r="N59" s="2">
        <v>12.5</v>
      </c>
      <c r="O59" s="2">
        <v>0.5</v>
      </c>
      <c r="P59" s="2">
        <v>263</v>
      </c>
      <c r="Q59" t="s">
        <v>40</v>
      </c>
      <c r="S59" t="s">
        <v>27</v>
      </c>
      <c r="T59" s="8">
        <v>45996</v>
      </c>
      <c r="U59" s="7">
        <v>0.76833333333333331</v>
      </c>
    </row>
    <row r="60" spans="1:21" x14ac:dyDescent="0.2">
      <c r="A60">
        <v>385</v>
      </c>
      <c r="B60" t="s">
        <v>58</v>
      </c>
      <c r="C60" t="s">
        <v>24</v>
      </c>
      <c r="J60" t="s">
        <v>1106</v>
      </c>
      <c r="K60" s="3">
        <v>600</v>
      </c>
      <c r="L60" s="2">
        <v>0</v>
      </c>
      <c r="M60" s="2">
        <f>+K60-L60</f>
        <v>600</v>
      </c>
      <c r="N60" s="2">
        <v>30</v>
      </c>
      <c r="O60" s="2">
        <v>0</v>
      </c>
      <c r="P60" s="2">
        <v>630</v>
      </c>
      <c r="Q60" t="s">
        <v>40</v>
      </c>
      <c r="S60" t="s">
        <v>27</v>
      </c>
      <c r="T60" s="8">
        <v>45996</v>
      </c>
      <c r="U60" s="7">
        <v>0.79017361111111106</v>
      </c>
    </row>
    <row r="61" spans="1:21" x14ac:dyDescent="0.2">
      <c r="A61">
        <v>386</v>
      </c>
      <c r="B61" t="s">
        <v>1103</v>
      </c>
      <c r="C61" t="s">
        <v>24</v>
      </c>
      <c r="D61" t="s">
        <v>1104</v>
      </c>
      <c r="J61" t="s">
        <v>1105</v>
      </c>
      <c r="K61" s="3">
        <v>760</v>
      </c>
      <c r="L61" s="2">
        <v>0</v>
      </c>
      <c r="M61" s="2">
        <f>+K61-L61</f>
        <v>760</v>
      </c>
      <c r="N61" s="2">
        <v>38</v>
      </c>
      <c r="O61" s="2">
        <v>0</v>
      </c>
      <c r="P61" s="2">
        <v>798</v>
      </c>
      <c r="Q61" t="s">
        <v>30</v>
      </c>
      <c r="S61" t="s">
        <v>27</v>
      </c>
      <c r="T61" s="8">
        <v>45996</v>
      </c>
      <c r="U61" s="7">
        <v>0.82143518518518521</v>
      </c>
    </row>
    <row r="62" spans="1:21" x14ac:dyDescent="0.2">
      <c r="A62">
        <v>387</v>
      </c>
      <c r="B62" t="s">
        <v>1101</v>
      </c>
      <c r="C62" t="s">
        <v>24</v>
      </c>
      <c r="D62" t="s">
        <v>1102</v>
      </c>
      <c r="J62" t="s">
        <v>1233</v>
      </c>
      <c r="K62" s="3">
        <v>6480</v>
      </c>
      <c r="L62" s="2">
        <v>1296</v>
      </c>
      <c r="M62" s="2">
        <f>+K62-L62</f>
        <v>5184</v>
      </c>
      <c r="N62" s="2">
        <v>259.2</v>
      </c>
      <c r="O62" s="2">
        <v>-0.2</v>
      </c>
      <c r="P62" s="2">
        <v>5443</v>
      </c>
      <c r="Q62" t="s">
        <v>30</v>
      </c>
      <c r="S62" t="s">
        <v>27</v>
      </c>
      <c r="T62" s="8">
        <v>45996</v>
      </c>
      <c r="U62" s="7">
        <v>0.84682870370370367</v>
      </c>
    </row>
    <row r="63" spans="1:21" x14ac:dyDescent="0.2">
      <c r="A63">
        <v>388</v>
      </c>
      <c r="B63" t="s">
        <v>1098</v>
      </c>
      <c r="C63" t="s">
        <v>24</v>
      </c>
      <c r="D63" t="s">
        <v>1099</v>
      </c>
      <c r="J63" t="s">
        <v>1100</v>
      </c>
      <c r="K63" s="3">
        <v>715</v>
      </c>
      <c r="L63" s="2">
        <v>0</v>
      </c>
      <c r="M63" s="2">
        <f>+K63-L63</f>
        <v>715</v>
      </c>
      <c r="N63" s="2">
        <v>35.76</v>
      </c>
      <c r="O63" s="2">
        <v>0.24</v>
      </c>
      <c r="P63" s="2">
        <v>751</v>
      </c>
      <c r="Q63" t="s">
        <v>33</v>
      </c>
      <c r="S63" t="s">
        <v>27</v>
      </c>
      <c r="T63" s="8">
        <v>45996</v>
      </c>
      <c r="U63" s="7">
        <v>0.86927083333333333</v>
      </c>
    </row>
    <row r="64" spans="1:21" x14ac:dyDescent="0.2">
      <c r="A64">
        <v>389</v>
      </c>
      <c r="B64" t="s">
        <v>91</v>
      </c>
      <c r="C64" t="s">
        <v>24</v>
      </c>
      <c r="D64" t="s">
        <v>1096</v>
      </c>
      <c r="J64" t="s">
        <v>1097</v>
      </c>
      <c r="K64" s="3">
        <v>0</v>
      </c>
      <c r="L64" s="2">
        <v>0</v>
      </c>
      <c r="M64" s="2">
        <f>+K64-L64</f>
        <v>0</v>
      </c>
      <c r="N64" s="2">
        <v>0</v>
      </c>
      <c r="O64" s="2">
        <v>0</v>
      </c>
      <c r="P64" s="2">
        <v>0</v>
      </c>
      <c r="Q64" t="s">
        <v>33</v>
      </c>
      <c r="S64" t="s">
        <v>27</v>
      </c>
      <c r="T64" s="8">
        <v>45996</v>
      </c>
      <c r="U64" s="7">
        <v>0.88331018518518523</v>
      </c>
    </row>
    <row r="65" spans="1:21" x14ac:dyDescent="0.2">
      <c r="A65">
        <v>390</v>
      </c>
      <c r="B65" t="s">
        <v>1093</v>
      </c>
      <c r="C65" t="s">
        <v>24</v>
      </c>
      <c r="D65" t="s">
        <v>1094</v>
      </c>
      <c r="J65" t="s">
        <v>1095</v>
      </c>
      <c r="K65" s="3">
        <v>0</v>
      </c>
      <c r="L65" s="2">
        <v>0</v>
      </c>
      <c r="M65" s="2">
        <f>+K65-L65</f>
        <v>0</v>
      </c>
      <c r="N65" s="2">
        <v>0</v>
      </c>
      <c r="O65" s="2">
        <v>0</v>
      </c>
      <c r="P65" s="2">
        <v>0</v>
      </c>
      <c r="Q65" t="s">
        <v>33</v>
      </c>
      <c r="S65" t="s">
        <v>27</v>
      </c>
      <c r="T65" s="8">
        <v>45996</v>
      </c>
      <c r="U65" s="7">
        <v>0.95178240740740738</v>
      </c>
    </row>
    <row r="66" spans="1:21" x14ac:dyDescent="0.2">
      <c r="A66">
        <v>391</v>
      </c>
      <c r="B66" t="s">
        <v>43</v>
      </c>
      <c r="C66" t="s">
        <v>24</v>
      </c>
      <c r="J66" t="s">
        <v>1092</v>
      </c>
      <c r="K66" s="3">
        <v>365</v>
      </c>
      <c r="L66" s="2">
        <v>0</v>
      </c>
      <c r="M66" s="2">
        <f>+K66-L66</f>
        <v>365</v>
      </c>
      <c r="N66" s="2">
        <v>18.260000000000002</v>
      </c>
      <c r="O66" s="2">
        <v>-0.26</v>
      </c>
      <c r="P66" s="2">
        <v>383</v>
      </c>
      <c r="Q66" t="s">
        <v>33</v>
      </c>
      <c r="S66" t="s">
        <v>27</v>
      </c>
      <c r="T66" s="8">
        <v>45996</v>
      </c>
      <c r="U66" s="7">
        <v>0.95733796296296292</v>
      </c>
    </row>
    <row r="67" spans="1:21" x14ac:dyDescent="0.2">
      <c r="A67">
        <v>392</v>
      </c>
      <c r="B67" t="s">
        <v>1089</v>
      </c>
      <c r="C67" t="s">
        <v>24</v>
      </c>
      <c r="D67" t="s">
        <v>1090</v>
      </c>
      <c r="J67" t="s">
        <v>1091</v>
      </c>
      <c r="K67" s="3">
        <v>840</v>
      </c>
      <c r="L67" s="2">
        <v>0</v>
      </c>
      <c r="M67" s="2">
        <f>+K67-L67</f>
        <v>840</v>
      </c>
      <c r="N67" s="2">
        <v>42</v>
      </c>
      <c r="O67" s="2">
        <v>0</v>
      </c>
      <c r="P67" s="2">
        <v>882</v>
      </c>
      <c r="Q67" t="s">
        <v>30</v>
      </c>
      <c r="S67" t="s">
        <v>27</v>
      </c>
      <c r="T67" s="8">
        <v>45997</v>
      </c>
      <c r="U67" s="7">
        <v>0.50859953703703709</v>
      </c>
    </row>
    <row r="68" spans="1:21" x14ac:dyDescent="0.2">
      <c r="A68">
        <v>393</v>
      </c>
      <c r="B68" t="s">
        <v>394</v>
      </c>
      <c r="C68" t="s">
        <v>24</v>
      </c>
      <c r="J68" t="s">
        <v>76</v>
      </c>
      <c r="K68" s="3">
        <v>250</v>
      </c>
      <c r="L68" s="2">
        <v>0</v>
      </c>
      <c r="M68" s="2">
        <f>+K68-L68</f>
        <v>250</v>
      </c>
      <c r="N68" s="2">
        <v>12.5</v>
      </c>
      <c r="O68" s="2">
        <v>0.5</v>
      </c>
      <c r="P68" s="2">
        <v>263</v>
      </c>
      <c r="Q68" t="s">
        <v>30</v>
      </c>
      <c r="S68" t="s">
        <v>27</v>
      </c>
      <c r="T68" s="8">
        <v>45997</v>
      </c>
      <c r="U68" s="7">
        <v>0.58299768518518513</v>
      </c>
    </row>
    <row r="69" spans="1:21" x14ac:dyDescent="0.2">
      <c r="A69">
        <v>394</v>
      </c>
      <c r="B69" t="s">
        <v>52</v>
      </c>
      <c r="C69" t="s">
        <v>24</v>
      </c>
      <c r="J69" t="s">
        <v>1088</v>
      </c>
      <c r="K69" s="3">
        <v>1880</v>
      </c>
      <c r="L69" s="2">
        <v>0</v>
      </c>
      <c r="M69" s="2">
        <f>+K69-L69</f>
        <v>1880</v>
      </c>
      <c r="N69" s="2">
        <v>94</v>
      </c>
      <c r="O69" s="2">
        <v>0</v>
      </c>
      <c r="P69" s="2">
        <v>1974</v>
      </c>
      <c r="Q69" t="s">
        <v>40</v>
      </c>
      <c r="S69" t="s">
        <v>27</v>
      </c>
      <c r="T69" s="8">
        <v>45997</v>
      </c>
      <c r="U69" s="7">
        <v>0.70641203703703703</v>
      </c>
    </row>
    <row r="70" spans="1:21" x14ac:dyDescent="0.2">
      <c r="A70">
        <v>395</v>
      </c>
      <c r="B70" t="s">
        <v>54</v>
      </c>
      <c r="C70" t="s">
        <v>24</v>
      </c>
      <c r="J70" t="s">
        <v>1060</v>
      </c>
      <c r="K70" s="3">
        <v>345</v>
      </c>
      <c r="L70" s="2">
        <v>0</v>
      </c>
      <c r="M70" s="2">
        <f>+K70-L70</f>
        <v>345</v>
      </c>
      <c r="N70" s="2">
        <v>17.260000000000002</v>
      </c>
      <c r="O70" s="2">
        <v>-0.26</v>
      </c>
      <c r="P70" s="2">
        <v>362</v>
      </c>
      <c r="Q70" t="s">
        <v>40</v>
      </c>
      <c r="S70" t="s">
        <v>27</v>
      </c>
      <c r="T70" s="8">
        <v>45997</v>
      </c>
      <c r="U70" s="7">
        <v>0.72601851851851851</v>
      </c>
    </row>
    <row r="71" spans="1:21" x14ac:dyDescent="0.2">
      <c r="A71">
        <v>396</v>
      </c>
      <c r="B71" t="s">
        <v>1085</v>
      </c>
      <c r="C71" t="s">
        <v>24</v>
      </c>
      <c r="D71" t="s">
        <v>1086</v>
      </c>
      <c r="J71" t="s">
        <v>1087</v>
      </c>
      <c r="K71" s="3">
        <v>1085</v>
      </c>
      <c r="L71" s="2">
        <v>0</v>
      </c>
      <c r="M71" s="2">
        <f>+K71-L71</f>
        <v>1085</v>
      </c>
      <c r="N71" s="2">
        <v>54.26</v>
      </c>
      <c r="O71" s="2">
        <v>-0.26</v>
      </c>
      <c r="P71" s="2">
        <v>1139</v>
      </c>
      <c r="Q71" t="s">
        <v>30</v>
      </c>
      <c r="S71" t="s">
        <v>27</v>
      </c>
      <c r="T71" s="8">
        <v>45997</v>
      </c>
      <c r="U71" s="7">
        <v>0.76939814814814811</v>
      </c>
    </row>
    <row r="72" spans="1:21" x14ac:dyDescent="0.2">
      <c r="A72">
        <v>397</v>
      </c>
      <c r="B72" t="s">
        <v>1082</v>
      </c>
      <c r="C72" t="s">
        <v>24</v>
      </c>
      <c r="D72" t="s">
        <v>1083</v>
      </c>
      <c r="J72" t="s">
        <v>1084</v>
      </c>
      <c r="K72" s="3">
        <v>2300</v>
      </c>
      <c r="L72" s="2">
        <v>0</v>
      </c>
      <c r="M72" s="2">
        <f>+K72-L72</f>
        <v>2300</v>
      </c>
      <c r="N72" s="2">
        <v>109</v>
      </c>
      <c r="O72" s="2">
        <v>0</v>
      </c>
      <c r="P72" s="2">
        <v>2409</v>
      </c>
      <c r="Q72" t="s">
        <v>40</v>
      </c>
      <c r="S72" t="s">
        <v>27</v>
      </c>
      <c r="T72" s="8">
        <v>45997</v>
      </c>
      <c r="U72" s="7">
        <v>0.77509259259259256</v>
      </c>
    </row>
    <row r="73" spans="1:21" x14ac:dyDescent="0.2">
      <c r="A73">
        <v>398</v>
      </c>
      <c r="B73" t="s">
        <v>1079</v>
      </c>
      <c r="C73" t="s">
        <v>24</v>
      </c>
      <c r="D73" t="s">
        <v>1080</v>
      </c>
      <c r="J73" t="s">
        <v>1081</v>
      </c>
      <c r="K73" s="3">
        <v>1770</v>
      </c>
      <c r="L73" s="2">
        <v>0</v>
      </c>
      <c r="M73" s="2">
        <f>+K73-L73</f>
        <v>1770</v>
      </c>
      <c r="N73" s="2">
        <v>81</v>
      </c>
      <c r="O73" s="2">
        <v>0</v>
      </c>
      <c r="P73" s="2">
        <v>1851</v>
      </c>
      <c r="Q73" t="s">
        <v>40</v>
      </c>
      <c r="S73" t="s">
        <v>27</v>
      </c>
      <c r="T73" s="8">
        <v>45997</v>
      </c>
      <c r="U73" s="7">
        <v>0.78872685185185187</v>
      </c>
    </row>
    <row r="74" spans="1:21" x14ac:dyDescent="0.2">
      <c r="A74">
        <v>399</v>
      </c>
      <c r="B74" t="s">
        <v>1077</v>
      </c>
      <c r="C74" t="s">
        <v>24</v>
      </c>
      <c r="D74" t="s">
        <v>1078</v>
      </c>
      <c r="J74" t="s">
        <v>1232</v>
      </c>
      <c r="K74" s="3">
        <v>2940</v>
      </c>
      <c r="L74" s="2">
        <v>0</v>
      </c>
      <c r="M74" s="2">
        <f>+K74-L74</f>
        <v>2940</v>
      </c>
      <c r="N74" s="2">
        <v>147</v>
      </c>
      <c r="O74" s="2">
        <v>0</v>
      </c>
      <c r="P74" s="2">
        <v>3087</v>
      </c>
      <c r="Q74" t="s">
        <v>40</v>
      </c>
      <c r="S74" t="s">
        <v>27</v>
      </c>
      <c r="T74" s="8">
        <v>45997</v>
      </c>
      <c r="U74" s="7">
        <v>0.81552083333333336</v>
      </c>
    </row>
    <row r="75" spans="1:21" x14ac:dyDescent="0.2">
      <c r="A75">
        <v>400</v>
      </c>
      <c r="B75" t="s">
        <v>1074</v>
      </c>
      <c r="C75" t="s">
        <v>24</v>
      </c>
      <c r="D75" t="s">
        <v>1075</v>
      </c>
      <c r="J75" t="s">
        <v>1076</v>
      </c>
      <c r="K75" s="3">
        <v>1135</v>
      </c>
      <c r="L75" s="2">
        <v>0</v>
      </c>
      <c r="M75" s="2">
        <f>+K75-L75</f>
        <v>1135</v>
      </c>
      <c r="N75" s="2">
        <v>56.76</v>
      </c>
      <c r="O75" s="2">
        <v>0.24</v>
      </c>
      <c r="P75" s="2">
        <v>1192</v>
      </c>
      <c r="Q75" t="s">
        <v>30</v>
      </c>
      <c r="S75" t="s">
        <v>27</v>
      </c>
      <c r="T75" s="8">
        <v>45997</v>
      </c>
      <c r="U75" s="7">
        <v>0.88450231481481478</v>
      </c>
    </row>
    <row r="76" spans="1:21" x14ac:dyDescent="0.2">
      <c r="A76">
        <v>401</v>
      </c>
      <c r="B76" t="s">
        <v>58</v>
      </c>
      <c r="C76" t="s">
        <v>24</v>
      </c>
      <c r="J76" t="s">
        <v>762</v>
      </c>
      <c r="K76" s="3">
        <v>450</v>
      </c>
      <c r="L76" s="2">
        <v>0</v>
      </c>
      <c r="M76" s="2">
        <f>+K76-L76</f>
        <v>450</v>
      </c>
      <c r="N76" s="2">
        <v>22.5</v>
      </c>
      <c r="O76" s="2">
        <v>0.5</v>
      </c>
      <c r="P76" s="2">
        <v>473</v>
      </c>
      <c r="Q76" t="s">
        <v>40</v>
      </c>
      <c r="S76" t="s">
        <v>27</v>
      </c>
      <c r="T76" s="8">
        <v>45997</v>
      </c>
      <c r="U76" s="7">
        <v>0.8871296296296296</v>
      </c>
    </row>
    <row r="77" spans="1:21" x14ac:dyDescent="0.2">
      <c r="A77">
        <v>402</v>
      </c>
      <c r="B77" t="s">
        <v>47</v>
      </c>
      <c r="C77" t="s">
        <v>24</v>
      </c>
      <c r="J77" t="s">
        <v>288</v>
      </c>
      <c r="K77" s="3">
        <v>190</v>
      </c>
      <c r="L77" s="2">
        <v>0</v>
      </c>
      <c r="M77" s="2">
        <f>+K77-L77</f>
        <v>190</v>
      </c>
      <c r="N77" s="2">
        <v>9.5</v>
      </c>
      <c r="O77" s="2">
        <v>0.5</v>
      </c>
      <c r="P77" s="2">
        <v>200</v>
      </c>
      <c r="Q77" t="s">
        <v>40</v>
      </c>
      <c r="S77" t="s">
        <v>27</v>
      </c>
      <c r="T77" s="8">
        <v>45997</v>
      </c>
      <c r="U77" s="7">
        <v>0.90840277777777778</v>
      </c>
    </row>
    <row r="78" spans="1:21" x14ac:dyDescent="0.2">
      <c r="A78">
        <v>403</v>
      </c>
      <c r="B78" t="s">
        <v>1071</v>
      </c>
      <c r="C78" t="s">
        <v>24</v>
      </c>
      <c r="D78" t="s">
        <v>1072</v>
      </c>
      <c r="J78" t="s">
        <v>1073</v>
      </c>
      <c r="K78" s="3">
        <v>705</v>
      </c>
      <c r="L78" s="2">
        <v>0</v>
      </c>
      <c r="M78" s="2">
        <f>+K78-L78</f>
        <v>705</v>
      </c>
      <c r="N78" s="2">
        <v>35.26</v>
      </c>
      <c r="O78" s="2">
        <v>-0.26</v>
      </c>
      <c r="P78" s="2">
        <v>740</v>
      </c>
      <c r="Q78" t="s">
        <v>30</v>
      </c>
      <c r="S78" t="s">
        <v>27</v>
      </c>
      <c r="T78" s="8">
        <v>45997</v>
      </c>
      <c r="U78" s="7">
        <v>0.91883101851851856</v>
      </c>
    </row>
    <row r="79" spans="1:21" x14ac:dyDescent="0.2">
      <c r="A79">
        <v>404</v>
      </c>
      <c r="B79" t="s">
        <v>1069</v>
      </c>
      <c r="C79" t="s">
        <v>24</v>
      </c>
      <c r="D79" t="s">
        <v>1070</v>
      </c>
      <c r="J79" t="s">
        <v>90</v>
      </c>
      <c r="K79" s="3">
        <v>325</v>
      </c>
      <c r="L79" s="2">
        <v>0</v>
      </c>
      <c r="M79" s="2">
        <f>+K79-L79</f>
        <v>325</v>
      </c>
      <c r="N79" s="2">
        <v>16.260000000000002</v>
      </c>
      <c r="O79" s="2">
        <v>-0.26</v>
      </c>
      <c r="P79" s="2">
        <v>341</v>
      </c>
      <c r="Q79" t="s">
        <v>40</v>
      </c>
      <c r="S79" t="s">
        <v>27</v>
      </c>
      <c r="T79" s="8">
        <v>45997</v>
      </c>
      <c r="U79" s="7">
        <v>0.92407407407407405</v>
      </c>
    </row>
    <row r="80" spans="1:21" x14ac:dyDescent="0.2">
      <c r="A80">
        <v>405</v>
      </c>
      <c r="B80" t="s">
        <v>1069</v>
      </c>
      <c r="C80" t="s">
        <v>24</v>
      </c>
      <c r="D80" t="s">
        <v>1070</v>
      </c>
      <c r="J80" t="s">
        <v>477</v>
      </c>
      <c r="K80" s="3">
        <v>295</v>
      </c>
      <c r="L80" s="2">
        <v>0</v>
      </c>
      <c r="M80" s="2">
        <f>+K80-L80</f>
        <v>295</v>
      </c>
      <c r="N80" s="2">
        <v>14.76</v>
      </c>
      <c r="O80" s="2">
        <v>0.24</v>
      </c>
      <c r="P80" s="2">
        <v>310</v>
      </c>
      <c r="Q80" t="s">
        <v>40</v>
      </c>
      <c r="S80" t="s">
        <v>27</v>
      </c>
      <c r="T80" s="8">
        <v>45997</v>
      </c>
      <c r="U80" s="7">
        <v>0.92577546296296298</v>
      </c>
    </row>
    <row r="81" spans="1:21" x14ac:dyDescent="0.2">
      <c r="A81">
        <v>406</v>
      </c>
      <c r="B81" t="s">
        <v>153</v>
      </c>
      <c r="C81" t="s">
        <v>24</v>
      </c>
      <c r="D81" t="s">
        <v>794</v>
      </c>
      <c r="J81" t="s">
        <v>1068</v>
      </c>
      <c r="K81" s="3">
        <v>705</v>
      </c>
      <c r="L81" s="2">
        <v>105.75</v>
      </c>
      <c r="M81" s="2">
        <f>+K81-L81</f>
        <v>599.25</v>
      </c>
      <c r="N81" s="2">
        <v>29.96</v>
      </c>
      <c r="O81" s="2">
        <v>-0.21</v>
      </c>
      <c r="P81" s="2">
        <v>629</v>
      </c>
      <c r="Q81" t="s">
        <v>30</v>
      </c>
      <c r="S81" t="s">
        <v>27</v>
      </c>
      <c r="T81" s="8">
        <v>45997</v>
      </c>
      <c r="U81" s="7">
        <v>0.93188657407407405</v>
      </c>
    </row>
    <row r="82" spans="1:21" x14ac:dyDescent="0.2">
      <c r="A82">
        <v>407</v>
      </c>
      <c r="B82" t="s">
        <v>1065</v>
      </c>
      <c r="C82" t="s">
        <v>24</v>
      </c>
      <c r="D82" t="s">
        <v>1066</v>
      </c>
      <c r="J82" t="s">
        <v>1067</v>
      </c>
      <c r="K82" s="3">
        <v>835</v>
      </c>
      <c r="L82" s="2">
        <v>0</v>
      </c>
      <c r="M82" s="2">
        <f>+K82-L82</f>
        <v>835</v>
      </c>
      <c r="N82" s="2">
        <v>41.76</v>
      </c>
      <c r="O82" s="2">
        <v>0.24</v>
      </c>
      <c r="P82" s="2">
        <v>877</v>
      </c>
      <c r="Q82" t="s">
        <v>40</v>
      </c>
      <c r="S82" t="s">
        <v>27</v>
      </c>
      <c r="T82" s="8">
        <v>45997</v>
      </c>
      <c r="U82" s="7">
        <v>0.93486111111111114</v>
      </c>
    </row>
    <row r="83" spans="1:21" x14ac:dyDescent="0.2">
      <c r="A83">
        <v>408</v>
      </c>
      <c r="B83" t="s">
        <v>997</v>
      </c>
      <c r="C83" t="s">
        <v>24</v>
      </c>
      <c r="D83" t="s">
        <v>986</v>
      </c>
      <c r="J83" t="s">
        <v>1064</v>
      </c>
      <c r="K83" s="3">
        <v>490</v>
      </c>
      <c r="L83" s="2">
        <v>0</v>
      </c>
      <c r="M83" s="2">
        <f>+K83-L83</f>
        <v>490</v>
      </c>
      <c r="N83" s="2">
        <v>24.5</v>
      </c>
      <c r="O83" s="2">
        <v>0.5</v>
      </c>
      <c r="P83" s="2">
        <v>515</v>
      </c>
      <c r="Q83" t="s">
        <v>40</v>
      </c>
      <c r="S83" t="s">
        <v>27</v>
      </c>
      <c r="T83" s="8">
        <v>45997</v>
      </c>
      <c r="U83" s="7">
        <v>0.93778935185185186</v>
      </c>
    </row>
    <row r="84" spans="1:21" x14ac:dyDescent="0.2">
      <c r="A84">
        <v>409</v>
      </c>
      <c r="B84" t="s">
        <v>1061</v>
      </c>
      <c r="C84" t="s">
        <v>24</v>
      </c>
      <c r="D84" t="s">
        <v>1062</v>
      </c>
      <c r="J84" t="s">
        <v>1063</v>
      </c>
      <c r="K84" s="3">
        <v>690</v>
      </c>
      <c r="L84" s="2">
        <v>0</v>
      </c>
      <c r="M84" s="2">
        <f>+K84-L84</f>
        <v>690</v>
      </c>
      <c r="N84" s="2">
        <v>34.5</v>
      </c>
      <c r="O84" s="2">
        <v>0.5</v>
      </c>
      <c r="P84" s="2">
        <v>725</v>
      </c>
      <c r="Q84" t="s">
        <v>40</v>
      </c>
      <c r="S84" t="s">
        <v>27</v>
      </c>
      <c r="T84" s="8">
        <v>45997</v>
      </c>
      <c r="U84" s="7">
        <v>0.94672453703703707</v>
      </c>
    </row>
    <row r="85" spans="1:21" x14ac:dyDescent="0.2">
      <c r="A85">
        <v>410</v>
      </c>
      <c r="B85" t="s">
        <v>919</v>
      </c>
      <c r="C85" t="s">
        <v>24</v>
      </c>
      <c r="D85" t="s">
        <v>920</v>
      </c>
      <c r="J85" t="s">
        <v>1060</v>
      </c>
      <c r="K85" s="3">
        <v>345</v>
      </c>
      <c r="L85" s="2">
        <v>0</v>
      </c>
      <c r="M85" s="2">
        <f>+K85-L85</f>
        <v>345</v>
      </c>
      <c r="N85" s="2">
        <v>17.260000000000002</v>
      </c>
      <c r="O85" s="2">
        <v>-0.26</v>
      </c>
      <c r="P85" s="2">
        <v>362</v>
      </c>
      <c r="Q85" t="s">
        <v>40</v>
      </c>
      <c r="S85" t="s">
        <v>27</v>
      </c>
      <c r="T85" s="8">
        <v>45997</v>
      </c>
      <c r="U85" s="7">
        <v>0.96234953703703707</v>
      </c>
    </row>
    <row r="86" spans="1:21" x14ac:dyDescent="0.2">
      <c r="A86">
        <v>411</v>
      </c>
      <c r="B86" t="s">
        <v>1059</v>
      </c>
      <c r="C86" t="s">
        <v>24</v>
      </c>
      <c r="J86" t="s">
        <v>244</v>
      </c>
      <c r="K86" s="3">
        <v>244</v>
      </c>
      <c r="L86" s="2">
        <v>0</v>
      </c>
      <c r="M86" s="2">
        <f>+K86-L86</f>
        <v>244</v>
      </c>
      <c r="N86" s="2">
        <v>43.92</v>
      </c>
      <c r="O86" s="2">
        <v>0.08</v>
      </c>
      <c r="P86" s="2">
        <v>288</v>
      </c>
      <c r="Q86" t="s">
        <v>40</v>
      </c>
      <c r="S86" t="s">
        <v>27</v>
      </c>
      <c r="T86" s="8">
        <v>45997</v>
      </c>
      <c r="U86" s="7">
        <v>0.9649537037037037</v>
      </c>
    </row>
    <row r="87" spans="1:21" x14ac:dyDescent="0.2">
      <c r="A87">
        <v>412</v>
      </c>
      <c r="B87" t="s">
        <v>1056</v>
      </c>
      <c r="C87" t="s">
        <v>24</v>
      </c>
      <c r="D87" t="s">
        <v>1057</v>
      </c>
      <c r="J87" t="s">
        <v>1058</v>
      </c>
      <c r="K87" s="3">
        <v>925</v>
      </c>
      <c r="L87" s="2">
        <v>0</v>
      </c>
      <c r="M87" s="2">
        <f>+K87-L87</f>
        <v>925</v>
      </c>
      <c r="N87" s="2">
        <v>46.26</v>
      </c>
      <c r="O87" s="2">
        <v>-0.26</v>
      </c>
      <c r="P87" s="2">
        <v>971</v>
      </c>
      <c r="Q87" t="s">
        <v>30</v>
      </c>
      <c r="S87" t="s">
        <v>27</v>
      </c>
      <c r="T87" s="8">
        <v>45997</v>
      </c>
      <c r="U87" s="7">
        <v>0.9662384259259259</v>
      </c>
    </row>
    <row r="88" spans="1:21" x14ac:dyDescent="0.2">
      <c r="A88">
        <v>413</v>
      </c>
      <c r="B88" t="s">
        <v>1054</v>
      </c>
      <c r="C88" t="s">
        <v>24</v>
      </c>
      <c r="D88" t="s">
        <v>1055</v>
      </c>
      <c r="J88" t="s">
        <v>90</v>
      </c>
      <c r="K88" s="3">
        <v>325</v>
      </c>
      <c r="L88" s="2">
        <v>0</v>
      </c>
      <c r="M88" s="2">
        <f>+K88-L88</f>
        <v>325</v>
      </c>
      <c r="N88" s="2">
        <v>16.260000000000002</v>
      </c>
      <c r="O88" s="2">
        <v>-0.26</v>
      </c>
      <c r="P88" s="2">
        <v>341</v>
      </c>
      <c r="Q88" t="s">
        <v>40</v>
      </c>
      <c r="S88" t="s">
        <v>27</v>
      </c>
      <c r="T88" s="8">
        <v>45997</v>
      </c>
      <c r="U88" s="7">
        <v>0.97222222222222221</v>
      </c>
    </row>
    <row r="89" spans="1:21" x14ac:dyDescent="0.2">
      <c r="A89">
        <v>414</v>
      </c>
      <c r="B89" t="s">
        <v>1051</v>
      </c>
      <c r="C89" t="s">
        <v>24</v>
      </c>
      <c r="D89" t="s">
        <v>1052</v>
      </c>
      <c r="J89" t="s">
        <v>1053</v>
      </c>
      <c r="K89" s="3">
        <v>840</v>
      </c>
      <c r="L89" s="2">
        <v>0</v>
      </c>
      <c r="M89" s="2">
        <f>+K89-L89</f>
        <v>840</v>
      </c>
      <c r="N89" s="2">
        <v>42</v>
      </c>
      <c r="O89" s="2">
        <v>0</v>
      </c>
      <c r="P89" s="2">
        <v>882</v>
      </c>
      <c r="Q89" t="s">
        <v>33</v>
      </c>
      <c r="S89" t="s">
        <v>27</v>
      </c>
      <c r="T89" s="8">
        <v>45997</v>
      </c>
      <c r="U89" s="7">
        <v>0.9741319444444444</v>
      </c>
    </row>
    <row r="90" spans="1:21" x14ac:dyDescent="0.2">
      <c r="A90">
        <v>415</v>
      </c>
      <c r="B90" t="s">
        <v>204</v>
      </c>
      <c r="C90" t="s">
        <v>24</v>
      </c>
      <c r="D90" t="s">
        <v>1049</v>
      </c>
      <c r="J90" t="s">
        <v>1050</v>
      </c>
      <c r="K90" s="3">
        <v>0</v>
      </c>
      <c r="L90" s="2">
        <v>0</v>
      </c>
      <c r="M90" s="2">
        <f>+K90-L90</f>
        <v>0</v>
      </c>
      <c r="N90" s="2">
        <v>0</v>
      </c>
      <c r="O90" s="2">
        <v>0</v>
      </c>
      <c r="P90" s="2">
        <v>0</v>
      </c>
      <c r="Q90" t="s">
        <v>33</v>
      </c>
      <c r="S90" t="s">
        <v>27</v>
      </c>
      <c r="T90" s="8">
        <v>45997</v>
      </c>
      <c r="U90" s="7">
        <v>0.97763888888888884</v>
      </c>
    </row>
    <row r="91" spans="1:21" x14ac:dyDescent="0.2">
      <c r="A91">
        <v>416</v>
      </c>
      <c r="B91" t="s">
        <v>938</v>
      </c>
      <c r="C91" t="s">
        <v>24</v>
      </c>
      <c r="D91" t="s">
        <v>939</v>
      </c>
      <c r="J91" t="s">
        <v>1048</v>
      </c>
      <c r="K91" s="3">
        <v>0</v>
      </c>
      <c r="L91" s="2">
        <v>0</v>
      </c>
      <c r="M91" s="2">
        <f>+K91-L91</f>
        <v>0</v>
      </c>
      <c r="N91" s="2">
        <v>0</v>
      </c>
      <c r="O91" s="2">
        <v>0</v>
      </c>
      <c r="P91" s="2">
        <v>0</v>
      </c>
      <c r="Q91" t="s">
        <v>33</v>
      </c>
      <c r="S91" t="s">
        <v>27</v>
      </c>
      <c r="T91" s="8">
        <v>45997</v>
      </c>
      <c r="U91" s="7">
        <v>0.97846064814814815</v>
      </c>
    </row>
    <row r="92" spans="1:21" x14ac:dyDescent="0.2">
      <c r="A92">
        <v>417</v>
      </c>
      <c r="B92" t="s">
        <v>1045</v>
      </c>
      <c r="C92" t="s">
        <v>24</v>
      </c>
      <c r="D92" t="s">
        <v>1046</v>
      </c>
      <c r="J92" t="s">
        <v>1047</v>
      </c>
      <c r="K92" s="3">
        <v>450</v>
      </c>
      <c r="L92" s="2">
        <v>0</v>
      </c>
      <c r="M92" s="2">
        <f>+K92-L92</f>
        <v>450</v>
      </c>
      <c r="N92" s="2">
        <v>22.5</v>
      </c>
      <c r="O92" s="2">
        <v>0.5</v>
      </c>
      <c r="P92" s="2">
        <v>473</v>
      </c>
      <c r="Q92" t="s">
        <v>40</v>
      </c>
      <c r="S92" t="s">
        <v>27</v>
      </c>
      <c r="T92" s="8">
        <v>45998</v>
      </c>
      <c r="U92" s="7">
        <v>0.6341782407407407</v>
      </c>
    </row>
    <row r="93" spans="1:21" x14ac:dyDescent="0.2">
      <c r="A93">
        <v>418</v>
      </c>
      <c r="B93" t="s">
        <v>1042</v>
      </c>
      <c r="C93" t="s">
        <v>24</v>
      </c>
      <c r="D93" t="s">
        <v>1043</v>
      </c>
      <c r="J93" t="s">
        <v>1044</v>
      </c>
      <c r="K93" s="3">
        <v>1830</v>
      </c>
      <c r="L93" s="2">
        <v>0</v>
      </c>
      <c r="M93" s="2">
        <f>+K93-L93</f>
        <v>1830</v>
      </c>
      <c r="N93" s="2">
        <v>85.5</v>
      </c>
      <c r="O93" s="2">
        <v>0.5</v>
      </c>
      <c r="P93" s="2">
        <v>1916</v>
      </c>
      <c r="Q93" t="s">
        <v>40</v>
      </c>
      <c r="S93" t="s">
        <v>27</v>
      </c>
      <c r="T93" s="8">
        <v>45998</v>
      </c>
      <c r="U93" s="7">
        <v>0.64866898148148144</v>
      </c>
    </row>
    <row r="94" spans="1:21" x14ac:dyDescent="0.2">
      <c r="A94">
        <v>419</v>
      </c>
      <c r="B94" t="s">
        <v>1040</v>
      </c>
      <c r="C94" t="s">
        <v>24</v>
      </c>
      <c r="D94" t="s">
        <v>1041</v>
      </c>
      <c r="J94" t="s">
        <v>892</v>
      </c>
      <c r="K94" s="3">
        <v>280</v>
      </c>
      <c r="L94" s="2">
        <v>0</v>
      </c>
      <c r="M94" s="2">
        <f>+K94-L94</f>
        <v>280</v>
      </c>
      <c r="N94" s="2">
        <v>14</v>
      </c>
      <c r="O94" s="2">
        <v>0</v>
      </c>
      <c r="P94" s="2">
        <v>294</v>
      </c>
      <c r="Q94" t="s">
        <v>40</v>
      </c>
      <c r="S94" t="s">
        <v>27</v>
      </c>
      <c r="T94" s="8">
        <v>45998</v>
      </c>
      <c r="U94" s="7">
        <v>0.65172453703703703</v>
      </c>
    </row>
    <row r="95" spans="1:21" x14ac:dyDescent="0.2">
      <c r="A95">
        <v>420</v>
      </c>
      <c r="B95" t="s">
        <v>1037</v>
      </c>
      <c r="C95" t="s">
        <v>24</v>
      </c>
      <c r="D95" t="s">
        <v>1038</v>
      </c>
      <c r="J95" t="s">
        <v>1039</v>
      </c>
      <c r="K95" s="3">
        <v>460</v>
      </c>
      <c r="L95" s="2">
        <v>0</v>
      </c>
      <c r="M95" s="2">
        <f>+K95-L95</f>
        <v>460</v>
      </c>
      <c r="N95" s="2">
        <v>23</v>
      </c>
      <c r="O95" s="2">
        <v>0</v>
      </c>
      <c r="P95" s="2">
        <v>483</v>
      </c>
      <c r="Q95" t="s">
        <v>40</v>
      </c>
      <c r="S95" t="s">
        <v>27</v>
      </c>
      <c r="T95" s="8">
        <v>45998</v>
      </c>
      <c r="U95" s="7">
        <v>0.66322916666666665</v>
      </c>
    </row>
    <row r="96" spans="1:21" x14ac:dyDescent="0.2">
      <c r="A96">
        <v>421</v>
      </c>
      <c r="B96" t="s">
        <v>1035</v>
      </c>
      <c r="C96" t="s">
        <v>24</v>
      </c>
      <c r="D96" t="s">
        <v>1036</v>
      </c>
      <c r="J96" t="s">
        <v>1231</v>
      </c>
      <c r="K96" s="3">
        <v>5129</v>
      </c>
      <c r="L96" s="2">
        <v>769.35</v>
      </c>
      <c r="M96" s="2">
        <f>+K96-L96</f>
        <v>4359.6499999999996</v>
      </c>
      <c r="N96" s="2">
        <v>215.68</v>
      </c>
      <c r="O96" s="2">
        <v>-0.33</v>
      </c>
      <c r="P96" s="2">
        <v>4575</v>
      </c>
      <c r="Q96" t="s">
        <v>40</v>
      </c>
      <c r="S96" t="s">
        <v>27</v>
      </c>
      <c r="T96" s="8">
        <v>45998</v>
      </c>
      <c r="U96" s="7">
        <v>0.68322916666666667</v>
      </c>
    </row>
    <row r="97" spans="1:21" x14ac:dyDescent="0.2">
      <c r="A97">
        <v>422</v>
      </c>
      <c r="B97" t="s">
        <v>1032</v>
      </c>
      <c r="C97" t="s">
        <v>24</v>
      </c>
      <c r="D97" t="s">
        <v>1033</v>
      </c>
      <c r="J97" t="s">
        <v>1034</v>
      </c>
      <c r="K97" s="3">
        <v>1850</v>
      </c>
      <c r="L97" s="2">
        <v>0</v>
      </c>
      <c r="M97" s="2">
        <f>+K97-L97</f>
        <v>1850</v>
      </c>
      <c r="N97" s="2">
        <v>92.5</v>
      </c>
      <c r="O97" s="2">
        <v>0.5</v>
      </c>
      <c r="P97" s="2">
        <v>1943</v>
      </c>
      <c r="Q97" t="s">
        <v>40</v>
      </c>
      <c r="S97" t="s">
        <v>27</v>
      </c>
      <c r="T97" s="8">
        <v>45998</v>
      </c>
      <c r="U97" s="7">
        <v>0.68792824074074077</v>
      </c>
    </row>
    <row r="98" spans="1:21" x14ac:dyDescent="0.2">
      <c r="A98">
        <v>423</v>
      </c>
      <c r="B98" t="s">
        <v>808</v>
      </c>
      <c r="C98" t="s">
        <v>24</v>
      </c>
      <c r="D98" t="s">
        <v>809</v>
      </c>
      <c r="J98" t="s">
        <v>1031</v>
      </c>
      <c r="K98" s="3">
        <v>1045</v>
      </c>
      <c r="L98" s="2">
        <v>0</v>
      </c>
      <c r="M98" s="2">
        <f>+K98-L98</f>
        <v>1045</v>
      </c>
      <c r="N98" s="2">
        <v>52.26</v>
      </c>
      <c r="O98" s="2">
        <v>-0.26</v>
      </c>
      <c r="P98" s="2">
        <v>1097</v>
      </c>
      <c r="Q98" t="s">
        <v>30</v>
      </c>
      <c r="S98" t="s">
        <v>27</v>
      </c>
      <c r="T98" s="8">
        <v>45998</v>
      </c>
      <c r="U98" s="7">
        <v>0.70271990740740742</v>
      </c>
    </row>
    <row r="99" spans="1:21" x14ac:dyDescent="0.2">
      <c r="A99">
        <v>424</v>
      </c>
      <c r="B99" t="s">
        <v>1028</v>
      </c>
      <c r="C99" t="s">
        <v>24</v>
      </c>
      <c r="D99" t="s">
        <v>1029</v>
      </c>
      <c r="J99" t="s">
        <v>1030</v>
      </c>
      <c r="K99" s="3">
        <v>620</v>
      </c>
      <c r="L99" s="2">
        <v>0</v>
      </c>
      <c r="M99" s="2">
        <f>+K99-L99</f>
        <v>620</v>
      </c>
      <c r="N99" s="2">
        <v>31</v>
      </c>
      <c r="O99" s="2">
        <v>0</v>
      </c>
      <c r="P99" s="2">
        <v>651</v>
      </c>
      <c r="Q99" t="s">
        <v>40</v>
      </c>
      <c r="S99" t="s">
        <v>27</v>
      </c>
      <c r="T99" s="8">
        <v>45998</v>
      </c>
      <c r="U99" s="7">
        <v>0.70413194444444449</v>
      </c>
    </row>
    <row r="100" spans="1:21" x14ac:dyDescent="0.2">
      <c r="A100">
        <v>425</v>
      </c>
      <c r="B100" t="s">
        <v>1026</v>
      </c>
      <c r="C100" t="s">
        <v>24</v>
      </c>
      <c r="D100" t="s">
        <v>1027</v>
      </c>
      <c r="J100" t="s">
        <v>1230</v>
      </c>
      <c r="K100" s="3">
        <v>3430</v>
      </c>
      <c r="L100" s="2">
        <v>857.5</v>
      </c>
      <c r="M100" s="2">
        <f>+K100-L100</f>
        <v>2572.5</v>
      </c>
      <c r="N100" s="2">
        <v>128.62</v>
      </c>
      <c r="O100" s="2">
        <v>-0.12</v>
      </c>
      <c r="P100" s="2">
        <v>2701</v>
      </c>
      <c r="Q100" t="s">
        <v>40</v>
      </c>
      <c r="S100" t="s">
        <v>27</v>
      </c>
      <c r="T100" s="8">
        <v>45998</v>
      </c>
      <c r="U100" s="7">
        <v>0.70798611111111109</v>
      </c>
    </row>
    <row r="101" spans="1:21" x14ac:dyDescent="0.2">
      <c r="A101">
        <v>426</v>
      </c>
      <c r="B101" t="s">
        <v>1023</v>
      </c>
      <c r="C101" t="s">
        <v>24</v>
      </c>
      <c r="D101" t="s">
        <v>1024</v>
      </c>
      <c r="E101">
        <v>9916565965</v>
      </c>
      <c r="J101" t="s">
        <v>1025</v>
      </c>
      <c r="K101" s="3">
        <v>840</v>
      </c>
      <c r="L101" s="2">
        <v>126</v>
      </c>
      <c r="M101" s="2">
        <f>+K101-L101</f>
        <v>714</v>
      </c>
      <c r="N101" s="2">
        <v>35.700000000000003</v>
      </c>
      <c r="O101" s="2">
        <v>0.3</v>
      </c>
      <c r="P101" s="2">
        <v>750</v>
      </c>
      <c r="Q101" t="s">
        <v>30</v>
      </c>
      <c r="S101" t="s">
        <v>27</v>
      </c>
      <c r="T101" s="8">
        <v>45998</v>
      </c>
      <c r="U101" s="7">
        <v>0.76689814814814816</v>
      </c>
    </row>
    <row r="102" spans="1:21" x14ac:dyDescent="0.2">
      <c r="A102">
        <v>427</v>
      </c>
      <c r="B102" t="s">
        <v>1020</v>
      </c>
      <c r="C102" t="s">
        <v>24</v>
      </c>
      <c r="D102" t="s">
        <v>1021</v>
      </c>
      <c r="J102" t="s">
        <v>1022</v>
      </c>
      <c r="K102" s="3">
        <v>940</v>
      </c>
      <c r="L102" s="2">
        <v>0</v>
      </c>
      <c r="M102" s="2">
        <f>+K102-L102</f>
        <v>940</v>
      </c>
      <c r="N102" s="2">
        <v>47</v>
      </c>
      <c r="O102" s="2">
        <v>0</v>
      </c>
      <c r="P102" s="2">
        <v>987</v>
      </c>
      <c r="Q102" t="s">
        <v>40</v>
      </c>
      <c r="S102" t="s">
        <v>27</v>
      </c>
      <c r="T102" s="8">
        <v>45998</v>
      </c>
      <c r="U102" s="7">
        <v>0.78582175925925923</v>
      </c>
    </row>
    <row r="103" spans="1:21" x14ac:dyDescent="0.2">
      <c r="A103">
        <v>428</v>
      </c>
      <c r="B103" t="s">
        <v>1017</v>
      </c>
      <c r="C103" t="s">
        <v>24</v>
      </c>
      <c r="D103" t="s">
        <v>1018</v>
      </c>
      <c r="J103" t="s">
        <v>1019</v>
      </c>
      <c r="K103" s="3">
        <v>1455</v>
      </c>
      <c r="L103" s="2">
        <v>0</v>
      </c>
      <c r="M103" s="2">
        <f>+K103-L103</f>
        <v>1455</v>
      </c>
      <c r="N103" s="2">
        <v>72.760000000000005</v>
      </c>
      <c r="O103" s="2">
        <v>0.24</v>
      </c>
      <c r="P103" s="2">
        <v>1528</v>
      </c>
      <c r="Q103" t="s">
        <v>40</v>
      </c>
      <c r="S103" t="s">
        <v>27</v>
      </c>
      <c r="T103" s="8">
        <v>45998</v>
      </c>
      <c r="U103" s="7">
        <v>0.7940625</v>
      </c>
    </row>
    <row r="104" spans="1:21" x14ac:dyDescent="0.2">
      <c r="A104">
        <v>429</v>
      </c>
      <c r="B104" t="s">
        <v>43</v>
      </c>
      <c r="C104" t="s">
        <v>24</v>
      </c>
      <c r="J104" t="s">
        <v>462</v>
      </c>
      <c r="K104" s="3">
        <v>290</v>
      </c>
      <c r="L104" s="2">
        <v>0</v>
      </c>
      <c r="M104" s="2">
        <f>+K104-L104</f>
        <v>290</v>
      </c>
      <c r="N104" s="2">
        <v>14.5</v>
      </c>
      <c r="O104" s="2">
        <v>0.5</v>
      </c>
      <c r="P104" s="2">
        <v>305</v>
      </c>
      <c r="Q104" t="s">
        <v>30</v>
      </c>
      <c r="S104" t="s">
        <v>27</v>
      </c>
      <c r="T104" s="8">
        <v>45998</v>
      </c>
      <c r="U104" s="7">
        <v>0.79520833333333329</v>
      </c>
    </row>
    <row r="105" spans="1:21" x14ac:dyDescent="0.2">
      <c r="A105">
        <v>430</v>
      </c>
      <c r="B105" t="s">
        <v>394</v>
      </c>
      <c r="C105" t="s">
        <v>24</v>
      </c>
      <c r="J105" t="s">
        <v>1016</v>
      </c>
      <c r="K105" s="3">
        <v>1175</v>
      </c>
      <c r="L105" s="2">
        <v>0</v>
      </c>
      <c r="M105" s="2">
        <f>+K105-L105</f>
        <v>1175</v>
      </c>
      <c r="N105" s="2">
        <v>58.76</v>
      </c>
      <c r="O105" s="2">
        <v>0.24</v>
      </c>
      <c r="P105" s="2">
        <v>1234</v>
      </c>
      <c r="Q105" t="s">
        <v>30</v>
      </c>
      <c r="S105" t="s">
        <v>27</v>
      </c>
      <c r="T105" s="8">
        <v>45998</v>
      </c>
      <c r="U105" s="7">
        <v>0.80596064814814816</v>
      </c>
    </row>
    <row r="106" spans="1:21" x14ac:dyDescent="0.2">
      <c r="A106">
        <v>431</v>
      </c>
      <c r="B106" t="s">
        <v>1013</v>
      </c>
      <c r="C106" t="s">
        <v>24</v>
      </c>
      <c r="D106" t="s">
        <v>1014</v>
      </c>
      <c r="J106" t="s">
        <v>1015</v>
      </c>
      <c r="K106" s="3">
        <v>1485</v>
      </c>
      <c r="L106" s="2">
        <v>0</v>
      </c>
      <c r="M106" s="2">
        <f>+K106-L106</f>
        <v>1485</v>
      </c>
      <c r="N106" s="2">
        <v>74.260000000000005</v>
      </c>
      <c r="O106" s="2">
        <v>-0.26</v>
      </c>
      <c r="P106" s="2">
        <v>1559</v>
      </c>
      <c r="Q106" t="s">
        <v>30</v>
      </c>
      <c r="S106" t="s">
        <v>27</v>
      </c>
      <c r="T106" s="8">
        <v>45998</v>
      </c>
      <c r="U106" s="7">
        <v>0.83586805555555554</v>
      </c>
    </row>
    <row r="107" spans="1:21" x14ac:dyDescent="0.2">
      <c r="A107">
        <v>432</v>
      </c>
      <c r="B107" t="s">
        <v>1010</v>
      </c>
      <c r="C107" t="s">
        <v>24</v>
      </c>
      <c r="D107" t="s">
        <v>1011</v>
      </c>
      <c r="J107" t="s">
        <v>1012</v>
      </c>
      <c r="K107" s="3">
        <v>865</v>
      </c>
      <c r="L107" s="2">
        <v>0</v>
      </c>
      <c r="M107" s="2">
        <f>+K107-L107</f>
        <v>865</v>
      </c>
      <c r="N107" s="2">
        <v>43.26</v>
      </c>
      <c r="O107" s="2">
        <v>-0.26</v>
      </c>
      <c r="P107" s="2">
        <v>908</v>
      </c>
      <c r="Q107" t="s">
        <v>33</v>
      </c>
      <c r="S107" t="s">
        <v>27</v>
      </c>
      <c r="T107" s="8">
        <v>45998</v>
      </c>
      <c r="U107" s="7">
        <v>0.84462962962962962</v>
      </c>
    </row>
    <row r="108" spans="1:21" x14ac:dyDescent="0.2">
      <c r="A108">
        <v>433</v>
      </c>
      <c r="B108" t="s">
        <v>38</v>
      </c>
      <c r="C108" t="s">
        <v>24</v>
      </c>
      <c r="D108" t="s">
        <v>855</v>
      </c>
      <c r="J108" t="s">
        <v>1008</v>
      </c>
      <c r="K108" s="3">
        <v>770</v>
      </c>
      <c r="L108" s="2">
        <v>0</v>
      </c>
      <c r="M108" s="2">
        <f>+K108-L108</f>
        <v>770</v>
      </c>
      <c r="N108" s="2">
        <v>38.5</v>
      </c>
      <c r="O108" s="2">
        <v>0.5</v>
      </c>
      <c r="P108" s="2">
        <v>0</v>
      </c>
      <c r="Q108" t="s">
        <v>135</v>
      </c>
      <c r="R108" t="s">
        <v>1009</v>
      </c>
      <c r="S108" t="s">
        <v>27</v>
      </c>
      <c r="T108" s="8">
        <v>45998</v>
      </c>
      <c r="U108" s="7">
        <v>0.84650462962962958</v>
      </c>
    </row>
    <row r="109" spans="1:21" x14ac:dyDescent="0.2">
      <c r="A109">
        <v>434</v>
      </c>
      <c r="B109" t="s">
        <v>1005</v>
      </c>
      <c r="C109" t="s">
        <v>24</v>
      </c>
      <c r="D109" t="s">
        <v>1006</v>
      </c>
      <c r="J109" t="s">
        <v>1007</v>
      </c>
      <c r="K109" s="3">
        <v>1145</v>
      </c>
      <c r="L109" s="2">
        <v>0</v>
      </c>
      <c r="M109" s="2">
        <f>+K109-L109</f>
        <v>1145</v>
      </c>
      <c r="N109" s="2">
        <v>57.26</v>
      </c>
      <c r="O109" s="2">
        <v>-0.26</v>
      </c>
      <c r="P109" s="2">
        <v>1202</v>
      </c>
      <c r="Q109" t="s">
        <v>30</v>
      </c>
      <c r="S109" t="s">
        <v>27</v>
      </c>
      <c r="T109" s="8">
        <v>45998</v>
      </c>
      <c r="U109" s="7">
        <v>0.84726851851851848</v>
      </c>
    </row>
    <row r="110" spans="1:21" x14ac:dyDescent="0.2">
      <c r="A110">
        <v>435</v>
      </c>
      <c r="B110" t="s">
        <v>1002</v>
      </c>
      <c r="C110" t="s">
        <v>24</v>
      </c>
      <c r="D110" t="s">
        <v>1003</v>
      </c>
      <c r="J110" t="s">
        <v>1004</v>
      </c>
      <c r="K110" s="3">
        <v>1760</v>
      </c>
      <c r="L110" s="2">
        <v>0</v>
      </c>
      <c r="M110" s="2">
        <f>+K110-L110</f>
        <v>1760</v>
      </c>
      <c r="N110" s="2">
        <v>88</v>
      </c>
      <c r="O110" s="2">
        <v>0</v>
      </c>
      <c r="P110" s="2">
        <v>1848</v>
      </c>
      <c r="Q110" t="s">
        <v>40</v>
      </c>
      <c r="S110" t="s">
        <v>27</v>
      </c>
      <c r="T110" s="8">
        <v>45998</v>
      </c>
      <c r="U110" s="7">
        <v>0.86868055555555557</v>
      </c>
    </row>
    <row r="111" spans="1:21" x14ac:dyDescent="0.2">
      <c r="A111">
        <v>436</v>
      </c>
      <c r="B111" t="s">
        <v>603</v>
      </c>
      <c r="C111" t="s">
        <v>24</v>
      </c>
      <c r="D111" t="s">
        <v>758</v>
      </c>
      <c r="J111" t="s">
        <v>1001</v>
      </c>
      <c r="K111" s="3">
        <v>1050</v>
      </c>
      <c r="L111" s="2">
        <v>0</v>
      </c>
      <c r="M111" s="2">
        <f>+K111-L111</f>
        <v>1050</v>
      </c>
      <c r="N111" s="2">
        <v>52.5</v>
      </c>
      <c r="O111" s="2">
        <v>0.5</v>
      </c>
      <c r="P111" s="2">
        <v>1103</v>
      </c>
      <c r="Q111" t="s">
        <v>33</v>
      </c>
      <c r="S111" t="s">
        <v>27</v>
      </c>
      <c r="T111" s="8">
        <v>45998</v>
      </c>
      <c r="U111" s="7">
        <v>0.8815856481481481</v>
      </c>
    </row>
    <row r="112" spans="1:21" x14ac:dyDescent="0.2">
      <c r="A112">
        <v>437</v>
      </c>
      <c r="B112" t="s">
        <v>183</v>
      </c>
      <c r="C112" t="s">
        <v>24</v>
      </c>
      <c r="D112" t="s">
        <v>999</v>
      </c>
      <c r="J112" t="s">
        <v>1000</v>
      </c>
      <c r="K112" s="3">
        <v>780</v>
      </c>
      <c r="L112" s="2">
        <v>0</v>
      </c>
      <c r="M112" s="2">
        <f>+K112-L112</f>
        <v>780</v>
      </c>
      <c r="N112" s="2">
        <v>39</v>
      </c>
      <c r="O112" s="2">
        <v>0</v>
      </c>
      <c r="P112" s="2">
        <v>819</v>
      </c>
      <c r="Q112" t="s">
        <v>40</v>
      </c>
      <c r="S112" t="s">
        <v>27</v>
      </c>
      <c r="T112" s="8">
        <v>45998</v>
      </c>
      <c r="U112" s="7">
        <v>0.88422453703703707</v>
      </c>
    </row>
    <row r="113" spans="1:21" x14ac:dyDescent="0.2">
      <c r="A113">
        <v>438</v>
      </c>
      <c r="B113" t="s">
        <v>776</v>
      </c>
      <c r="C113" t="s">
        <v>24</v>
      </c>
      <c r="D113" t="s">
        <v>777</v>
      </c>
      <c r="J113" t="s">
        <v>637</v>
      </c>
      <c r="K113" s="3">
        <v>190</v>
      </c>
      <c r="L113" s="2">
        <v>0</v>
      </c>
      <c r="M113" s="2">
        <f>+K113-L113</f>
        <v>190</v>
      </c>
      <c r="N113" s="2">
        <v>9.5</v>
      </c>
      <c r="O113" s="2">
        <v>0.5</v>
      </c>
      <c r="P113" s="2">
        <v>200</v>
      </c>
      <c r="Q113" t="s">
        <v>40</v>
      </c>
      <c r="S113" t="s">
        <v>27</v>
      </c>
      <c r="T113" s="8">
        <v>45998</v>
      </c>
      <c r="U113" s="7">
        <v>0.88540509259259259</v>
      </c>
    </row>
    <row r="114" spans="1:21" x14ac:dyDescent="0.2">
      <c r="A114">
        <v>439</v>
      </c>
      <c r="B114" t="s">
        <v>997</v>
      </c>
      <c r="C114" t="s">
        <v>24</v>
      </c>
      <c r="D114" t="s">
        <v>986</v>
      </c>
      <c r="J114" t="s">
        <v>998</v>
      </c>
      <c r="K114" s="3">
        <v>710</v>
      </c>
      <c r="L114" s="2">
        <v>0</v>
      </c>
      <c r="M114" s="2">
        <f>+K114-L114</f>
        <v>710</v>
      </c>
      <c r="N114" s="2">
        <v>35.5</v>
      </c>
      <c r="O114" s="2">
        <v>0.5</v>
      </c>
      <c r="P114" s="2">
        <v>746</v>
      </c>
      <c r="Q114" t="s">
        <v>30</v>
      </c>
      <c r="S114" t="s">
        <v>27</v>
      </c>
      <c r="T114" s="8">
        <v>45998</v>
      </c>
      <c r="U114" s="7">
        <v>0.89124999999999999</v>
      </c>
    </row>
    <row r="115" spans="1:21" x14ac:dyDescent="0.2">
      <c r="A115">
        <v>440</v>
      </c>
      <c r="B115" t="s">
        <v>994</v>
      </c>
      <c r="C115" t="s">
        <v>24</v>
      </c>
      <c r="D115" t="s">
        <v>995</v>
      </c>
      <c r="J115" t="s">
        <v>996</v>
      </c>
      <c r="K115" s="3">
        <v>495</v>
      </c>
      <c r="L115" s="2">
        <v>0</v>
      </c>
      <c r="M115" s="2">
        <f>+K115-L115</f>
        <v>495</v>
      </c>
      <c r="N115" s="2">
        <v>24.76</v>
      </c>
      <c r="O115" s="2">
        <v>0.24</v>
      </c>
      <c r="P115" s="2">
        <v>520</v>
      </c>
      <c r="Q115" t="s">
        <v>30</v>
      </c>
      <c r="S115" t="s">
        <v>27</v>
      </c>
      <c r="T115" s="8">
        <v>45998</v>
      </c>
      <c r="U115" s="7">
        <v>0.89362268518518517</v>
      </c>
    </row>
    <row r="116" spans="1:21" x14ac:dyDescent="0.2">
      <c r="A116">
        <v>441</v>
      </c>
      <c r="B116" t="s">
        <v>991</v>
      </c>
      <c r="C116" t="s">
        <v>24</v>
      </c>
      <c r="D116" t="s">
        <v>992</v>
      </c>
      <c r="J116" t="s">
        <v>993</v>
      </c>
      <c r="K116" s="3">
        <v>1340</v>
      </c>
      <c r="L116" s="2">
        <v>0</v>
      </c>
      <c r="M116" s="2">
        <f>+K116-L116</f>
        <v>1340</v>
      </c>
      <c r="N116" s="2">
        <v>67</v>
      </c>
      <c r="O116" s="2">
        <v>0</v>
      </c>
      <c r="P116" s="2">
        <v>1407</v>
      </c>
      <c r="Q116" t="s">
        <v>40</v>
      </c>
      <c r="S116" t="s">
        <v>27</v>
      </c>
      <c r="T116" s="8">
        <v>45998</v>
      </c>
      <c r="U116" s="7">
        <v>0.9098032407407407</v>
      </c>
    </row>
    <row r="117" spans="1:21" x14ac:dyDescent="0.2">
      <c r="A117">
        <v>442</v>
      </c>
      <c r="B117" t="s">
        <v>988</v>
      </c>
      <c r="C117" t="s">
        <v>24</v>
      </c>
      <c r="D117" t="s">
        <v>989</v>
      </c>
      <c r="J117" t="s">
        <v>990</v>
      </c>
      <c r="K117" s="3">
        <v>710</v>
      </c>
      <c r="L117" s="2">
        <v>0</v>
      </c>
      <c r="M117" s="2">
        <f>+K117-L117</f>
        <v>710</v>
      </c>
      <c r="N117" s="2">
        <v>35.5</v>
      </c>
      <c r="O117" s="2">
        <v>0.5</v>
      </c>
      <c r="P117" s="2">
        <v>746</v>
      </c>
      <c r="Q117" t="s">
        <v>40</v>
      </c>
      <c r="S117" t="s">
        <v>27</v>
      </c>
      <c r="T117" s="8">
        <v>45998</v>
      </c>
      <c r="U117" s="7">
        <v>0.91040509259259261</v>
      </c>
    </row>
    <row r="118" spans="1:21" x14ac:dyDescent="0.2">
      <c r="A118">
        <v>443</v>
      </c>
      <c r="B118" t="s">
        <v>925</v>
      </c>
      <c r="C118" t="s">
        <v>24</v>
      </c>
      <c r="D118" t="s">
        <v>926</v>
      </c>
      <c r="J118" t="s">
        <v>987</v>
      </c>
      <c r="K118" s="3">
        <v>1400</v>
      </c>
      <c r="L118" s="2">
        <v>0</v>
      </c>
      <c r="M118" s="2">
        <f>+K118-L118</f>
        <v>1400</v>
      </c>
      <c r="N118" s="2">
        <v>70</v>
      </c>
      <c r="O118" s="2">
        <v>0</v>
      </c>
      <c r="P118" s="2">
        <v>1470</v>
      </c>
      <c r="Q118" t="s">
        <v>30</v>
      </c>
      <c r="S118" t="s">
        <v>27</v>
      </c>
      <c r="T118" s="8">
        <v>45998</v>
      </c>
      <c r="U118" s="7">
        <v>0.91543981481481485</v>
      </c>
    </row>
    <row r="119" spans="1:21" x14ac:dyDescent="0.2">
      <c r="A119">
        <v>444</v>
      </c>
      <c r="B119" t="s">
        <v>394</v>
      </c>
      <c r="C119" t="s">
        <v>24</v>
      </c>
      <c r="D119" t="s">
        <v>986</v>
      </c>
      <c r="J119" t="s">
        <v>244</v>
      </c>
      <c r="K119" s="3">
        <v>122</v>
      </c>
      <c r="L119" s="2">
        <v>0</v>
      </c>
      <c r="M119" s="2">
        <f>+K119-L119</f>
        <v>122</v>
      </c>
      <c r="N119" s="2">
        <v>21.96</v>
      </c>
      <c r="O119" s="2">
        <v>0.04</v>
      </c>
      <c r="P119" s="2">
        <v>144</v>
      </c>
      <c r="Q119" t="s">
        <v>40</v>
      </c>
      <c r="S119" t="s">
        <v>27</v>
      </c>
      <c r="T119" s="8">
        <v>45998</v>
      </c>
      <c r="U119" s="7">
        <v>0.94160879629629635</v>
      </c>
    </row>
    <row r="120" spans="1:21" x14ac:dyDescent="0.2">
      <c r="A120">
        <v>445</v>
      </c>
      <c r="B120" t="s">
        <v>813</v>
      </c>
      <c r="C120" t="s">
        <v>24</v>
      </c>
      <c r="D120" t="s">
        <v>814</v>
      </c>
      <c r="J120" t="s">
        <v>985</v>
      </c>
      <c r="K120" s="3">
        <v>1074</v>
      </c>
      <c r="L120" s="2">
        <v>0</v>
      </c>
      <c r="M120" s="2">
        <f>+K120-L120</f>
        <v>1074</v>
      </c>
      <c r="N120" s="2">
        <v>85.42</v>
      </c>
      <c r="O120" s="2">
        <v>-0.42</v>
      </c>
      <c r="P120" s="2">
        <v>1159</v>
      </c>
      <c r="Q120" t="s">
        <v>40</v>
      </c>
      <c r="S120" t="s">
        <v>27</v>
      </c>
      <c r="T120" s="8">
        <v>45998</v>
      </c>
      <c r="U120" s="7">
        <v>0.95787037037037037</v>
      </c>
    </row>
    <row r="121" spans="1:21" x14ac:dyDescent="0.2">
      <c r="A121">
        <v>446</v>
      </c>
      <c r="B121" t="s">
        <v>54</v>
      </c>
      <c r="C121" t="s">
        <v>24</v>
      </c>
      <c r="J121" t="s">
        <v>244</v>
      </c>
      <c r="K121" s="3">
        <v>122</v>
      </c>
      <c r="L121" s="2">
        <v>0</v>
      </c>
      <c r="M121" s="2">
        <f>+K121-L121</f>
        <v>122</v>
      </c>
      <c r="N121" s="2">
        <v>21.96</v>
      </c>
      <c r="O121" s="2">
        <v>0.04</v>
      </c>
      <c r="P121" s="2">
        <v>144</v>
      </c>
      <c r="Q121" t="s">
        <v>30</v>
      </c>
      <c r="S121" t="s">
        <v>27</v>
      </c>
      <c r="T121" s="8">
        <v>45998</v>
      </c>
      <c r="U121" s="7">
        <v>0.96231481481481485</v>
      </c>
    </row>
    <row r="122" spans="1:21" x14ac:dyDescent="0.2">
      <c r="A122">
        <v>447</v>
      </c>
      <c r="B122" t="s">
        <v>982</v>
      </c>
      <c r="C122" t="s">
        <v>24</v>
      </c>
      <c r="D122" t="s">
        <v>983</v>
      </c>
      <c r="E122">
        <v>8799798731</v>
      </c>
      <c r="J122" t="s">
        <v>984</v>
      </c>
      <c r="K122" s="3">
        <v>0</v>
      </c>
      <c r="L122" s="2">
        <v>0</v>
      </c>
      <c r="M122" s="2">
        <f>+K122-L122</f>
        <v>0</v>
      </c>
      <c r="N122" s="2">
        <v>0</v>
      </c>
      <c r="O122" s="2">
        <v>0</v>
      </c>
      <c r="P122" s="2">
        <v>0</v>
      </c>
      <c r="Q122" t="s">
        <v>33</v>
      </c>
      <c r="S122" t="s">
        <v>27</v>
      </c>
      <c r="T122" s="8">
        <v>45998</v>
      </c>
      <c r="U122" s="7">
        <v>0.96880787037037042</v>
      </c>
    </row>
    <row r="123" spans="1:21" x14ac:dyDescent="0.2">
      <c r="A123">
        <v>448</v>
      </c>
      <c r="B123" t="s">
        <v>52</v>
      </c>
      <c r="C123" t="s">
        <v>24</v>
      </c>
      <c r="J123" t="s">
        <v>981</v>
      </c>
      <c r="K123" s="3">
        <v>755</v>
      </c>
      <c r="L123" s="2">
        <v>0</v>
      </c>
      <c r="M123" s="2">
        <f>+K123-L123</f>
        <v>755</v>
      </c>
      <c r="N123" s="2">
        <v>37.76</v>
      </c>
      <c r="O123" s="2">
        <v>0.24</v>
      </c>
      <c r="P123" s="2">
        <v>793</v>
      </c>
      <c r="Q123" t="s">
        <v>40</v>
      </c>
      <c r="S123" t="s">
        <v>27</v>
      </c>
      <c r="T123" s="8">
        <v>45999</v>
      </c>
      <c r="U123" s="7">
        <v>0.67587962962962966</v>
      </c>
    </row>
    <row r="124" spans="1:21" x14ac:dyDescent="0.2">
      <c r="A124">
        <v>449</v>
      </c>
      <c r="B124" t="s">
        <v>978</v>
      </c>
      <c r="C124" t="s">
        <v>24</v>
      </c>
      <c r="D124" t="s">
        <v>979</v>
      </c>
      <c r="J124" t="s">
        <v>980</v>
      </c>
      <c r="K124" s="3">
        <v>615</v>
      </c>
      <c r="L124" s="2">
        <v>0</v>
      </c>
      <c r="M124" s="2">
        <f>+K124-L124</f>
        <v>615</v>
      </c>
      <c r="N124" s="2">
        <v>30.76</v>
      </c>
      <c r="O124" s="2">
        <v>0.24</v>
      </c>
      <c r="P124" s="2">
        <v>646</v>
      </c>
      <c r="Q124" t="s">
        <v>30</v>
      </c>
      <c r="S124" t="s">
        <v>27</v>
      </c>
      <c r="T124" s="8">
        <v>45999</v>
      </c>
      <c r="U124" s="7">
        <v>0.80081018518518521</v>
      </c>
    </row>
    <row r="125" spans="1:21" x14ac:dyDescent="0.2">
      <c r="A125">
        <v>450</v>
      </c>
      <c r="B125" t="s">
        <v>975</v>
      </c>
      <c r="C125" t="s">
        <v>24</v>
      </c>
      <c r="D125" t="s">
        <v>976</v>
      </c>
      <c r="J125" t="s">
        <v>977</v>
      </c>
      <c r="K125" s="3">
        <v>850</v>
      </c>
      <c r="L125" s="2">
        <v>0</v>
      </c>
      <c r="M125" s="2">
        <f>+K125-L125</f>
        <v>850</v>
      </c>
      <c r="N125" s="2">
        <v>42.5</v>
      </c>
      <c r="O125" s="2">
        <v>0.5</v>
      </c>
      <c r="P125" s="2">
        <v>893</v>
      </c>
      <c r="Q125" t="s">
        <v>33</v>
      </c>
      <c r="S125" t="s">
        <v>27</v>
      </c>
      <c r="T125" s="8">
        <v>45999</v>
      </c>
      <c r="U125" s="7">
        <v>0.82121527777777781</v>
      </c>
    </row>
    <row r="126" spans="1:21" x14ac:dyDescent="0.2">
      <c r="A126">
        <v>451</v>
      </c>
      <c r="B126" t="s">
        <v>972</v>
      </c>
      <c r="C126" t="s">
        <v>24</v>
      </c>
      <c r="D126" t="s">
        <v>973</v>
      </c>
      <c r="J126" t="s">
        <v>974</v>
      </c>
      <c r="K126" s="3">
        <v>925</v>
      </c>
      <c r="L126" s="2">
        <v>0</v>
      </c>
      <c r="M126" s="2">
        <f>+K126-L126</f>
        <v>925</v>
      </c>
      <c r="N126" s="2">
        <v>46.26</v>
      </c>
      <c r="O126" s="2">
        <v>-0.26</v>
      </c>
      <c r="P126" s="2">
        <v>971</v>
      </c>
      <c r="Q126" t="s">
        <v>30</v>
      </c>
      <c r="S126" t="s">
        <v>27</v>
      </c>
      <c r="T126" s="8">
        <v>45999</v>
      </c>
      <c r="U126" s="7">
        <v>0.83829861111111115</v>
      </c>
    </row>
    <row r="127" spans="1:21" x14ac:dyDescent="0.2">
      <c r="A127">
        <v>452</v>
      </c>
      <c r="B127" t="s">
        <v>970</v>
      </c>
      <c r="C127" t="s">
        <v>24</v>
      </c>
      <c r="D127" t="s">
        <v>971</v>
      </c>
      <c r="J127" t="s">
        <v>509</v>
      </c>
      <c r="K127" s="3">
        <v>190</v>
      </c>
      <c r="L127" s="2">
        <v>0</v>
      </c>
      <c r="M127" s="2">
        <f>+K127-L127</f>
        <v>190</v>
      </c>
      <c r="N127" s="2">
        <v>9.5</v>
      </c>
      <c r="O127" s="2">
        <v>0.5</v>
      </c>
      <c r="P127" s="2">
        <v>200</v>
      </c>
      <c r="Q127" t="s">
        <v>40</v>
      </c>
      <c r="S127" t="s">
        <v>27</v>
      </c>
      <c r="T127" s="8">
        <v>45999</v>
      </c>
      <c r="U127" s="7">
        <v>0.83848379629629632</v>
      </c>
    </row>
    <row r="128" spans="1:21" x14ac:dyDescent="0.2">
      <c r="A128">
        <v>453</v>
      </c>
      <c r="B128" t="s">
        <v>52</v>
      </c>
      <c r="C128" t="s">
        <v>24</v>
      </c>
      <c r="J128" t="s">
        <v>969</v>
      </c>
      <c r="K128" s="3">
        <v>1265</v>
      </c>
      <c r="L128" s="2">
        <v>0</v>
      </c>
      <c r="M128" s="2">
        <f>+K128-L128</f>
        <v>1265</v>
      </c>
      <c r="N128" s="2">
        <v>60.26</v>
      </c>
      <c r="O128" s="2">
        <v>-0.26</v>
      </c>
      <c r="P128" s="2">
        <v>1325</v>
      </c>
      <c r="Q128" t="s">
        <v>40</v>
      </c>
      <c r="S128" t="s">
        <v>27</v>
      </c>
      <c r="T128" s="8">
        <v>45999</v>
      </c>
      <c r="U128" s="7">
        <v>0.86239583333333336</v>
      </c>
    </row>
    <row r="129" spans="1:21" x14ac:dyDescent="0.2">
      <c r="A129">
        <v>454</v>
      </c>
      <c r="B129" t="s">
        <v>903</v>
      </c>
      <c r="C129" t="s">
        <v>24</v>
      </c>
      <c r="D129" t="s">
        <v>904</v>
      </c>
      <c r="J129" t="s">
        <v>968</v>
      </c>
      <c r="K129" s="3">
        <v>1260</v>
      </c>
      <c r="L129" s="2">
        <v>0</v>
      </c>
      <c r="M129" s="2">
        <f>+K129-L129</f>
        <v>1260</v>
      </c>
      <c r="N129" s="2">
        <v>63</v>
      </c>
      <c r="O129" s="2">
        <v>0</v>
      </c>
      <c r="P129" s="2">
        <v>1323</v>
      </c>
      <c r="Q129" t="s">
        <v>30</v>
      </c>
      <c r="S129" t="s">
        <v>27</v>
      </c>
      <c r="T129" s="8">
        <v>45999</v>
      </c>
      <c r="U129" s="7">
        <v>0.91997685185185185</v>
      </c>
    </row>
    <row r="130" spans="1:21" x14ac:dyDescent="0.2">
      <c r="A130">
        <v>455</v>
      </c>
      <c r="B130" t="s">
        <v>622</v>
      </c>
      <c r="C130" t="s">
        <v>24</v>
      </c>
      <c r="D130" t="s">
        <v>623</v>
      </c>
      <c r="J130" t="s">
        <v>967</v>
      </c>
      <c r="K130" s="3">
        <v>0</v>
      </c>
      <c r="L130" s="2">
        <v>0</v>
      </c>
      <c r="M130" s="2">
        <f>+K130-L130</f>
        <v>0</v>
      </c>
      <c r="N130" s="2">
        <v>0</v>
      </c>
      <c r="O130" s="2">
        <v>0</v>
      </c>
      <c r="P130" s="2">
        <v>0</v>
      </c>
      <c r="Q130" t="s">
        <v>33</v>
      </c>
      <c r="S130" t="s">
        <v>27</v>
      </c>
      <c r="T130" s="8">
        <v>45999</v>
      </c>
      <c r="U130" s="7">
        <v>0.97707175925925926</v>
      </c>
    </row>
    <row r="131" spans="1:21" x14ac:dyDescent="0.2">
      <c r="A131">
        <v>456</v>
      </c>
      <c r="B131" t="s">
        <v>964</v>
      </c>
      <c r="C131" t="s">
        <v>24</v>
      </c>
      <c r="D131" t="s">
        <v>965</v>
      </c>
      <c r="J131" t="s">
        <v>966</v>
      </c>
      <c r="K131" s="3">
        <v>0</v>
      </c>
      <c r="L131" s="2">
        <v>0</v>
      </c>
      <c r="M131" s="2">
        <f>+K131-L131</f>
        <v>0</v>
      </c>
      <c r="N131" s="2">
        <v>0</v>
      </c>
      <c r="O131" s="2">
        <v>0</v>
      </c>
      <c r="P131" s="2">
        <v>0</v>
      </c>
      <c r="Q131" t="s">
        <v>33</v>
      </c>
      <c r="S131" t="s">
        <v>27</v>
      </c>
      <c r="T131" s="8">
        <v>45999</v>
      </c>
      <c r="U131" s="7">
        <v>0.97947916666666668</v>
      </c>
    </row>
    <row r="132" spans="1:21" x14ac:dyDescent="0.2">
      <c r="A132">
        <v>457</v>
      </c>
      <c r="B132" t="s">
        <v>102</v>
      </c>
      <c r="C132" t="s">
        <v>24</v>
      </c>
      <c r="J132" t="s">
        <v>76</v>
      </c>
      <c r="K132" s="3">
        <v>500</v>
      </c>
      <c r="L132" s="2">
        <v>0</v>
      </c>
      <c r="M132" s="2">
        <f>+K132-L132</f>
        <v>500</v>
      </c>
      <c r="N132" s="2">
        <v>25</v>
      </c>
      <c r="O132" s="2">
        <v>0</v>
      </c>
      <c r="P132" s="2">
        <v>525</v>
      </c>
      <c r="Q132" t="s">
        <v>33</v>
      </c>
      <c r="S132" t="s">
        <v>27</v>
      </c>
      <c r="T132" s="8">
        <v>46000</v>
      </c>
      <c r="U132" s="7">
        <v>0.57815972222222223</v>
      </c>
    </row>
    <row r="133" spans="1:21" x14ac:dyDescent="0.2">
      <c r="A133">
        <v>458</v>
      </c>
      <c r="B133" t="s">
        <v>52</v>
      </c>
      <c r="C133" t="s">
        <v>24</v>
      </c>
      <c r="J133" t="s">
        <v>963</v>
      </c>
      <c r="K133" s="3">
        <v>1080</v>
      </c>
      <c r="L133" s="2">
        <v>0</v>
      </c>
      <c r="M133" s="2">
        <f>+K133-L133</f>
        <v>1080</v>
      </c>
      <c r="N133" s="2">
        <v>54</v>
      </c>
      <c r="O133" s="2">
        <v>0</v>
      </c>
      <c r="P133" s="2">
        <v>1134</v>
      </c>
      <c r="Q133" t="s">
        <v>40</v>
      </c>
      <c r="S133" t="s">
        <v>27</v>
      </c>
      <c r="T133" s="8">
        <v>46000</v>
      </c>
      <c r="U133" s="7">
        <v>0.63401620370370371</v>
      </c>
    </row>
    <row r="134" spans="1:21" x14ac:dyDescent="0.2">
      <c r="A134">
        <v>459</v>
      </c>
      <c r="B134" t="s">
        <v>805</v>
      </c>
      <c r="C134" t="s">
        <v>24</v>
      </c>
      <c r="D134" t="s">
        <v>806</v>
      </c>
      <c r="J134" t="s">
        <v>962</v>
      </c>
      <c r="K134" s="3">
        <v>1435</v>
      </c>
      <c r="L134" s="2">
        <v>0</v>
      </c>
      <c r="M134" s="2">
        <f>+K134-L134</f>
        <v>1435</v>
      </c>
      <c r="N134" s="2">
        <v>71.760000000000005</v>
      </c>
      <c r="O134" s="2">
        <v>0.24</v>
      </c>
      <c r="P134" s="2">
        <v>1507</v>
      </c>
      <c r="Q134" t="s">
        <v>30</v>
      </c>
      <c r="S134" t="s">
        <v>27</v>
      </c>
      <c r="T134" s="8">
        <v>46000</v>
      </c>
      <c r="U134" s="7">
        <v>0.6473726851851852</v>
      </c>
    </row>
    <row r="135" spans="1:21" x14ac:dyDescent="0.2">
      <c r="A135">
        <v>460</v>
      </c>
      <c r="B135" t="s">
        <v>23</v>
      </c>
      <c r="C135" t="s">
        <v>24</v>
      </c>
      <c r="J135" t="s">
        <v>477</v>
      </c>
      <c r="K135" s="3">
        <v>590</v>
      </c>
      <c r="L135" s="2">
        <v>0</v>
      </c>
      <c r="M135" s="2">
        <f>+K135-L135</f>
        <v>590</v>
      </c>
      <c r="N135" s="2">
        <v>29.5</v>
      </c>
      <c r="O135" s="2">
        <v>0.5</v>
      </c>
      <c r="P135" s="2">
        <v>620</v>
      </c>
      <c r="Q135" t="s">
        <v>40</v>
      </c>
      <c r="S135" t="s">
        <v>27</v>
      </c>
      <c r="T135" s="8">
        <v>46000</v>
      </c>
      <c r="U135" s="7">
        <v>0.69497685185185187</v>
      </c>
    </row>
    <row r="136" spans="1:21" x14ac:dyDescent="0.2">
      <c r="A136">
        <v>461</v>
      </c>
      <c r="B136" t="s">
        <v>52</v>
      </c>
      <c r="C136" t="s">
        <v>24</v>
      </c>
      <c r="J136" t="s">
        <v>961</v>
      </c>
      <c r="K136" s="3">
        <v>1060</v>
      </c>
      <c r="L136" s="2">
        <v>0</v>
      </c>
      <c r="M136" s="2">
        <f>+K136-L136</f>
        <v>1060</v>
      </c>
      <c r="N136" s="2">
        <v>53</v>
      </c>
      <c r="O136" s="2">
        <v>0</v>
      </c>
      <c r="P136" s="2">
        <v>1113</v>
      </c>
      <c r="Q136" t="s">
        <v>33</v>
      </c>
      <c r="S136" t="s">
        <v>27</v>
      </c>
      <c r="T136" s="8">
        <v>46000</v>
      </c>
      <c r="U136" s="7">
        <v>0.72321759259259255</v>
      </c>
    </row>
    <row r="137" spans="1:21" x14ac:dyDescent="0.2">
      <c r="A137">
        <v>462</v>
      </c>
      <c r="B137" t="s">
        <v>959</v>
      </c>
      <c r="C137" t="s">
        <v>24</v>
      </c>
      <c r="D137" t="s">
        <v>960</v>
      </c>
      <c r="J137" t="s">
        <v>337</v>
      </c>
      <c r="K137" s="3">
        <v>600</v>
      </c>
      <c r="L137" s="2">
        <v>0</v>
      </c>
      <c r="M137" s="2">
        <f>+K137-L137</f>
        <v>600</v>
      </c>
      <c r="N137" s="2">
        <v>30</v>
      </c>
      <c r="O137" s="2">
        <v>0</v>
      </c>
      <c r="P137" s="2">
        <v>630</v>
      </c>
      <c r="Q137" t="s">
        <v>40</v>
      </c>
      <c r="S137" t="s">
        <v>27</v>
      </c>
      <c r="T137" s="8">
        <v>46000</v>
      </c>
      <c r="U137" s="7">
        <v>0.74153935185185182</v>
      </c>
    </row>
    <row r="138" spans="1:21" x14ac:dyDescent="0.2">
      <c r="A138">
        <v>463</v>
      </c>
      <c r="B138" t="s">
        <v>957</v>
      </c>
      <c r="C138" t="s">
        <v>24</v>
      </c>
      <c r="D138" t="s">
        <v>958</v>
      </c>
      <c r="J138" t="s">
        <v>722</v>
      </c>
      <c r="K138" s="3">
        <v>570</v>
      </c>
      <c r="L138" s="2">
        <v>0</v>
      </c>
      <c r="M138" s="2">
        <f>+K138-L138</f>
        <v>570</v>
      </c>
      <c r="N138" s="2">
        <v>28.5</v>
      </c>
      <c r="O138" s="2">
        <v>0.5</v>
      </c>
      <c r="P138" s="2">
        <v>599</v>
      </c>
      <c r="Q138" t="s">
        <v>33</v>
      </c>
      <c r="S138" t="s">
        <v>27</v>
      </c>
      <c r="T138" s="8">
        <v>46000</v>
      </c>
      <c r="U138" s="7">
        <v>0.93990740740740741</v>
      </c>
    </row>
    <row r="139" spans="1:21" x14ac:dyDescent="0.2">
      <c r="A139">
        <v>464</v>
      </c>
      <c r="B139" t="s">
        <v>954</v>
      </c>
      <c r="C139" t="s">
        <v>24</v>
      </c>
      <c r="D139" t="s">
        <v>955</v>
      </c>
      <c r="J139" t="s">
        <v>956</v>
      </c>
      <c r="K139" s="3">
        <v>440</v>
      </c>
      <c r="L139" s="2">
        <v>0</v>
      </c>
      <c r="M139" s="2">
        <f>+K139-L139</f>
        <v>440</v>
      </c>
      <c r="N139" s="2">
        <v>22</v>
      </c>
      <c r="O139" s="2">
        <v>0</v>
      </c>
      <c r="P139" s="2">
        <v>462</v>
      </c>
      <c r="Q139" t="s">
        <v>30</v>
      </c>
      <c r="S139" t="s">
        <v>27</v>
      </c>
      <c r="T139" s="8">
        <v>46000</v>
      </c>
      <c r="U139" s="7">
        <v>0.95340277777777782</v>
      </c>
    </row>
    <row r="140" spans="1:21" x14ac:dyDescent="0.2">
      <c r="A140">
        <v>465</v>
      </c>
      <c r="B140" t="s">
        <v>951</v>
      </c>
      <c r="C140" t="s">
        <v>24</v>
      </c>
      <c r="D140" t="s">
        <v>952</v>
      </c>
      <c r="J140" t="s">
        <v>953</v>
      </c>
      <c r="K140" s="3">
        <v>792</v>
      </c>
      <c r="L140" s="2">
        <v>0</v>
      </c>
      <c r="M140" s="2">
        <f>+K140-L140</f>
        <v>792</v>
      </c>
      <c r="N140" s="2">
        <v>55.46</v>
      </c>
      <c r="O140" s="2">
        <v>-0.46</v>
      </c>
      <c r="P140" s="2">
        <v>847</v>
      </c>
      <c r="Q140" t="s">
        <v>40</v>
      </c>
      <c r="S140" t="s">
        <v>27</v>
      </c>
      <c r="T140" s="8">
        <v>46000</v>
      </c>
      <c r="U140" s="7">
        <v>0.95400462962962962</v>
      </c>
    </row>
    <row r="141" spans="1:21" x14ac:dyDescent="0.2">
      <c r="A141">
        <v>466</v>
      </c>
      <c r="B141" t="s">
        <v>949</v>
      </c>
      <c r="C141" t="s">
        <v>24</v>
      </c>
      <c r="D141" t="s">
        <v>950</v>
      </c>
      <c r="J141" t="s">
        <v>274</v>
      </c>
      <c r="K141" s="3">
        <v>695</v>
      </c>
      <c r="L141" s="2">
        <v>0</v>
      </c>
      <c r="M141" s="2">
        <f>+K141-L141</f>
        <v>695</v>
      </c>
      <c r="N141" s="2">
        <v>34.76</v>
      </c>
      <c r="O141" s="2">
        <v>0.24</v>
      </c>
      <c r="P141" s="2">
        <v>730</v>
      </c>
      <c r="Q141" t="s">
        <v>40</v>
      </c>
      <c r="S141" t="s">
        <v>27</v>
      </c>
      <c r="T141" s="8">
        <v>46000</v>
      </c>
      <c r="U141" s="7">
        <v>0.95462962962962961</v>
      </c>
    </row>
    <row r="142" spans="1:21" x14ac:dyDescent="0.2">
      <c r="A142">
        <v>467</v>
      </c>
      <c r="B142" t="s">
        <v>946</v>
      </c>
      <c r="C142" t="s">
        <v>24</v>
      </c>
      <c r="D142" t="s">
        <v>947</v>
      </c>
      <c r="J142" t="s">
        <v>948</v>
      </c>
      <c r="K142" s="3">
        <v>0</v>
      </c>
      <c r="L142" s="2">
        <v>0</v>
      </c>
      <c r="M142" s="2">
        <f>+K142-L142</f>
        <v>0</v>
      </c>
      <c r="N142" s="2">
        <v>0</v>
      </c>
      <c r="O142" s="2">
        <v>0</v>
      </c>
      <c r="P142" s="2">
        <v>0</v>
      </c>
      <c r="Q142" t="s">
        <v>33</v>
      </c>
      <c r="S142" t="s">
        <v>27</v>
      </c>
      <c r="T142" s="8">
        <v>46000</v>
      </c>
      <c r="U142" s="7">
        <v>0.95597222222222222</v>
      </c>
    </row>
    <row r="143" spans="1:21" x14ac:dyDescent="0.2">
      <c r="A143">
        <v>468</v>
      </c>
      <c r="B143" t="s">
        <v>943</v>
      </c>
      <c r="C143" t="s">
        <v>24</v>
      </c>
      <c r="D143" t="s">
        <v>944</v>
      </c>
      <c r="J143" t="s">
        <v>945</v>
      </c>
      <c r="K143" s="3">
        <v>1040</v>
      </c>
      <c r="L143" s="2">
        <v>0</v>
      </c>
      <c r="M143" s="2">
        <f>+K143-L143</f>
        <v>1040</v>
      </c>
      <c r="N143" s="2">
        <v>52</v>
      </c>
      <c r="O143" s="2">
        <v>0</v>
      </c>
      <c r="P143" s="2">
        <v>1092</v>
      </c>
      <c r="Q143" t="s">
        <v>33</v>
      </c>
      <c r="S143" t="s">
        <v>27</v>
      </c>
      <c r="T143" s="8">
        <v>46000</v>
      </c>
      <c r="U143" s="7">
        <v>0.98263888888888884</v>
      </c>
    </row>
    <row r="144" spans="1:21" x14ac:dyDescent="0.2">
      <c r="A144">
        <v>469</v>
      </c>
      <c r="B144" t="s">
        <v>82</v>
      </c>
      <c r="C144" t="s">
        <v>24</v>
      </c>
      <c r="D144" t="s">
        <v>671</v>
      </c>
      <c r="J144" t="s">
        <v>942</v>
      </c>
      <c r="K144" s="3">
        <v>1120</v>
      </c>
      <c r="L144" s="2">
        <v>0</v>
      </c>
      <c r="M144" s="2">
        <f>+K144-L144</f>
        <v>1120</v>
      </c>
      <c r="N144" s="2">
        <v>56</v>
      </c>
      <c r="O144" s="2">
        <v>0</v>
      </c>
      <c r="P144" s="2">
        <v>1176</v>
      </c>
      <c r="Q144" t="s">
        <v>30</v>
      </c>
      <c r="S144" t="s">
        <v>27</v>
      </c>
      <c r="T144" s="8">
        <v>46000</v>
      </c>
      <c r="U144" s="7">
        <v>0.98850694444444442</v>
      </c>
    </row>
    <row r="145" spans="1:21" x14ac:dyDescent="0.2">
      <c r="A145">
        <v>470</v>
      </c>
      <c r="B145" t="s">
        <v>622</v>
      </c>
      <c r="C145" t="s">
        <v>24</v>
      </c>
      <c r="D145" t="s">
        <v>623</v>
      </c>
      <c r="J145" t="s">
        <v>941</v>
      </c>
      <c r="K145" s="3">
        <v>0</v>
      </c>
      <c r="L145" s="2">
        <v>0</v>
      </c>
      <c r="M145" s="2">
        <f>+K145-L145</f>
        <v>0</v>
      </c>
      <c r="N145" s="2">
        <v>0</v>
      </c>
      <c r="O145" s="2">
        <v>0</v>
      </c>
      <c r="P145" s="2">
        <v>0</v>
      </c>
      <c r="Q145" t="s">
        <v>33</v>
      </c>
      <c r="S145" t="s">
        <v>27</v>
      </c>
      <c r="T145" s="8">
        <v>46000</v>
      </c>
      <c r="U145" s="7">
        <v>0.99641203703703707</v>
      </c>
    </row>
    <row r="146" spans="1:21" x14ac:dyDescent="0.2">
      <c r="A146">
        <v>471</v>
      </c>
      <c r="B146" t="s">
        <v>938</v>
      </c>
      <c r="C146" t="s">
        <v>24</v>
      </c>
      <c r="D146" t="s">
        <v>939</v>
      </c>
      <c r="J146" t="s">
        <v>940</v>
      </c>
      <c r="K146" s="3">
        <v>0</v>
      </c>
      <c r="L146" s="2">
        <v>0</v>
      </c>
      <c r="M146" s="2">
        <f>+K146-L146</f>
        <v>0</v>
      </c>
      <c r="N146" s="2">
        <v>0</v>
      </c>
      <c r="O146" s="2">
        <v>0</v>
      </c>
      <c r="P146" s="2">
        <v>0</v>
      </c>
      <c r="Q146" t="s">
        <v>33</v>
      </c>
      <c r="S146" t="s">
        <v>27</v>
      </c>
      <c r="T146" s="8">
        <v>46000</v>
      </c>
      <c r="U146" s="7">
        <v>0.99697916666666664</v>
      </c>
    </row>
    <row r="147" spans="1:21" x14ac:dyDescent="0.2">
      <c r="A147">
        <v>472</v>
      </c>
      <c r="B147" t="s">
        <v>935</v>
      </c>
      <c r="C147" t="s">
        <v>24</v>
      </c>
      <c r="D147" t="s">
        <v>936</v>
      </c>
      <c r="J147" t="s">
        <v>937</v>
      </c>
      <c r="K147" s="3">
        <v>525</v>
      </c>
      <c r="L147" s="2">
        <v>0</v>
      </c>
      <c r="M147" s="2">
        <f>+K147-L147</f>
        <v>525</v>
      </c>
      <c r="N147" s="2">
        <v>26.26</v>
      </c>
      <c r="O147" s="2">
        <v>-0.26</v>
      </c>
      <c r="P147" s="2">
        <v>551</v>
      </c>
      <c r="Q147" t="s">
        <v>40</v>
      </c>
      <c r="S147" t="s">
        <v>27</v>
      </c>
      <c r="T147" s="8">
        <v>46001</v>
      </c>
      <c r="U147" s="7">
        <v>0.76340277777777776</v>
      </c>
    </row>
    <row r="148" spans="1:21" x14ac:dyDescent="0.2">
      <c r="A148">
        <v>473</v>
      </c>
      <c r="B148" t="s">
        <v>52</v>
      </c>
      <c r="C148" t="s">
        <v>24</v>
      </c>
      <c r="J148" t="s">
        <v>934</v>
      </c>
      <c r="K148" s="3">
        <v>1750</v>
      </c>
      <c r="L148" s="2">
        <v>0</v>
      </c>
      <c r="M148" s="2">
        <f>+K148-L148</f>
        <v>1750</v>
      </c>
      <c r="N148" s="2">
        <v>87.5</v>
      </c>
      <c r="O148" s="2">
        <v>0.5</v>
      </c>
      <c r="P148" s="2">
        <v>1838</v>
      </c>
      <c r="Q148" t="s">
        <v>40</v>
      </c>
      <c r="S148" t="s">
        <v>27</v>
      </c>
      <c r="T148" s="8">
        <v>46001</v>
      </c>
      <c r="U148" s="7">
        <v>0.82636574074074076</v>
      </c>
    </row>
    <row r="149" spans="1:21" x14ac:dyDescent="0.2">
      <c r="A149">
        <v>474</v>
      </c>
      <c r="B149" t="s">
        <v>932</v>
      </c>
      <c r="C149" t="s">
        <v>24</v>
      </c>
      <c r="D149" t="s">
        <v>933</v>
      </c>
      <c r="J149" t="s">
        <v>1229</v>
      </c>
      <c r="K149" s="3">
        <v>12479</v>
      </c>
      <c r="L149" s="2">
        <v>1871.85</v>
      </c>
      <c r="M149" s="2">
        <f>+K149-L149</f>
        <v>10607.15</v>
      </c>
      <c r="N149" s="2">
        <v>829.16</v>
      </c>
      <c r="O149" s="2">
        <v>-0.31</v>
      </c>
      <c r="P149" s="2">
        <v>11436</v>
      </c>
      <c r="Q149" t="s">
        <v>30</v>
      </c>
      <c r="S149" t="s">
        <v>27</v>
      </c>
      <c r="T149" s="8">
        <v>46001</v>
      </c>
      <c r="U149" s="7">
        <v>0.8611805555555555</v>
      </c>
    </row>
    <row r="150" spans="1:21" x14ac:dyDescent="0.2">
      <c r="A150">
        <v>475</v>
      </c>
      <c r="B150" t="s">
        <v>930</v>
      </c>
      <c r="C150" t="s">
        <v>24</v>
      </c>
      <c r="D150" t="s">
        <v>868</v>
      </c>
      <c r="J150" t="s">
        <v>931</v>
      </c>
      <c r="K150" s="3">
        <v>999</v>
      </c>
      <c r="L150" s="2">
        <v>0</v>
      </c>
      <c r="M150" s="2">
        <f>+K150-L150</f>
        <v>999</v>
      </c>
      <c r="N150" s="2">
        <v>47.5</v>
      </c>
      <c r="O150" s="2">
        <v>0.5</v>
      </c>
      <c r="P150" s="2">
        <v>1047</v>
      </c>
      <c r="Q150" t="s">
        <v>33</v>
      </c>
      <c r="S150" t="s">
        <v>27</v>
      </c>
      <c r="T150" s="8">
        <v>46001</v>
      </c>
      <c r="U150" s="7">
        <v>0.8651388888888889</v>
      </c>
    </row>
    <row r="151" spans="1:21" x14ac:dyDescent="0.2">
      <c r="A151">
        <v>476</v>
      </c>
      <c r="B151" t="s">
        <v>928</v>
      </c>
      <c r="C151" t="s">
        <v>24</v>
      </c>
      <c r="D151" t="s">
        <v>929</v>
      </c>
      <c r="J151" t="s">
        <v>310</v>
      </c>
      <c r="K151" s="3">
        <v>360</v>
      </c>
      <c r="L151" s="2">
        <v>0</v>
      </c>
      <c r="M151" s="2">
        <f>+K151-L151</f>
        <v>360</v>
      </c>
      <c r="N151" s="2">
        <v>18</v>
      </c>
      <c r="O151" s="2">
        <v>0</v>
      </c>
      <c r="P151" s="2">
        <v>378</v>
      </c>
      <c r="Q151" t="s">
        <v>33</v>
      </c>
      <c r="S151" t="s">
        <v>27</v>
      </c>
      <c r="T151" s="8">
        <v>46001</v>
      </c>
      <c r="U151" s="7">
        <v>0.9565393518518519</v>
      </c>
    </row>
    <row r="152" spans="1:21" x14ac:dyDescent="0.2">
      <c r="A152">
        <v>477</v>
      </c>
      <c r="B152" t="s">
        <v>925</v>
      </c>
      <c r="C152" t="s">
        <v>24</v>
      </c>
      <c r="D152" t="s">
        <v>926</v>
      </c>
      <c r="J152" t="s">
        <v>927</v>
      </c>
      <c r="K152" s="3">
        <v>637</v>
      </c>
      <c r="L152" s="2">
        <v>0</v>
      </c>
      <c r="M152" s="2">
        <f>+K152-L152</f>
        <v>637</v>
      </c>
      <c r="N152" s="2">
        <v>47.72</v>
      </c>
      <c r="O152" s="2">
        <v>0.28000000000000003</v>
      </c>
      <c r="P152" s="2">
        <v>685</v>
      </c>
      <c r="Q152" t="s">
        <v>40</v>
      </c>
      <c r="S152" t="s">
        <v>27</v>
      </c>
      <c r="T152" s="8">
        <v>46001</v>
      </c>
      <c r="U152" s="7">
        <v>0.96109953703703699</v>
      </c>
    </row>
    <row r="153" spans="1:21" x14ac:dyDescent="0.2">
      <c r="A153">
        <v>478</v>
      </c>
      <c r="B153" t="s">
        <v>394</v>
      </c>
      <c r="C153" t="s">
        <v>24</v>
      </c>
      <c r="J153" t="s">
        <v>924</v>
      </c>
      <c r="K153" s="3">
        <v>30</v>
      </c>
      <c r="L153" s="2">
        <v>0</v>
      </c>
      <c r="M153" s="2">
        <f>+K153-L153</f>
        <v>30</v>
      </c>
      <c r="N153" s="2">
        <v>0</v>
      </c>
      <c r="O153" s="2">
        <v>0</v>
      </c>
      <c r="P153" s="2">
        <v>30</v>
      </c>
      <c r="Q153" t="s">
        <v>40</v>
      </c>
      <c r="S153" t="s">
        <v>27</v>
      </c>
      <c r="T153" s="8">
        <v>46001</v>
      </c>
      <c r="U153" s="7">
        <v>0.96460648148148154</v>
      </c>
    </row>
    <row r="154" spans="1:21" x14ac:dyDescent="0.2">
      <c r="A154">
        <v>479</v>
      </c>
      <c r="B154" t="s">
        <v>922</v>
      </c>
      <c r="C154" t="s">
        <v>24</v>
      </c>
      <c r="D154" t="s">
        <v>923</v>
      </c>
      <c r="J154" t="s">
        <v>602</v>
      </c>
      <c r="K154" s="3">
        <v>285</v>
      </c>
      <c r="L154" s="2">
        <v>0</v>
      </c>
      <c r="M154" s="2">
        <f>+K154-L154</f>
        <v>285</v>
      </c>
      <c r="N154" s="2">
        <v>14.26</v>
      </c>
      <c r="O154" s="2">
        <v>-0.26</v>
      </c>
      <c r="P154" s="2">
        <v>299</v>
      </c>
      <c r="Q154" t="s">
        <v>40</v>
      </c>
      <c r="S154" t="s">
        <v>27</v>
      </c>
      <c r="T154" s="8">
        <v>46001</v>
      </c>
      <c r="U154" s="7">
        <v>0.96706018518518522</v>
      </c>
    </row>
    <row r="155" spans="1:21" x14ac:dyDescent="0.2">
      <c r="A155">
        <v>480</v>
      </c>
      <c r="B155" t="s">
        <v>919</v>
      </c>
      <c r="C155" t="s">
        <v>24</v>
      </c>
      <c r="D155" t="s">
        <v>920</v>
      </c>
      <c r="J155" t="s">
        <v>921</v>
      </c>
      <c r="K155" s="3">
        <v>350</v>
      </c>
      <c r="L155" s="2">
        <v>0</v>
      </c>
      <c r="M155" s="2">
        <f>+K155-L155</f>
        <v>350</v>
      </c>
      <c r="N155" s="2">
        <v>17.5</v>
      </c>
      <c r="O155" s="2">
        <v>0.5</v>
      </c>
      <c r="P155" s="2">
        <v>368</v>
      </c>
      <c r="Q155" t="s">
        <v>40</v>
      </c>
      <c r="S155" t="s">
        <v>27</v>
      </c>
      <c r="T155" s="8">
        <v>46001</v>
      </c>
      <c r="U155" s="7">
        <v>0.96877314814814819</v>
      </c>
    </row>
    <row r="156" spans="1:21" x14ac:dyDescent="0.2">
      <c r="A156">
        <v>481</v>
      </c>
      <c r="B156" t="s">
        <v>916</v>
      </c>
      <c r="C156" t="s">
        <v>24</v>
      </c>
      <c r="D156" t="s">
        <v>917</v>
      </c>
      <c r="J156" t="s">
        <v>918</v>
      </c>
      <c r="K156" s="3">
        <v>930</v>
      </c>
      <c r="L156" s="2">
        <v>0</v>
      </c>
      <c r="M156" s="2">
        <f>+K156-L156</f>
        <v>930</v>
      </c>
      <c r="N156" s="2">
        <v>46.5</v>
      </c>
      <c r="O156" s="2">
        <v>0.5</v>
      </c>
      <c r="P156" s="2">
        <v>977</v>
      </c>
      <c r="Q156" t="s">
        <v>40</v>
      </c>
      <c r="S156" t="s">
        <v>27</v>
      </c>
      <c r="T156" s="8">
        <v>46001</v>
      </c>
      <c r="U156" s="7">
        <v>0.96974537037037034</v>
      </c>
    </row>
    <row r="157" spans="1:21" x14ac:dyDescent="0.2">
      <c r="A157">
        <v>482</v>
      </c>
      <c r="B157" t="s">
        <v>622</v>
      </c>
      <c r="C157" t="s">
        <v>24</v>
      </c>
      <c r="D157" t="s">
        <v>623</v>
      </c>
      <c r="J157" t="s">
        <v>915</v>
      </c>
      <c r="K157" s="3">
        <v>0</v>
      </c>
      <c r="L157" s="2">
        <v>0</v>
      </c>
      <c r="M157" s="2">
        <f>+K157-L157</f>
        <v>0</v>
      </c>
      <c r="N157" s="2">
        <v>0</v>
      </c>
      <c r="O157" s="2">
        <v>0</v>
      </c>
      <c r="P157" s="2">
        <v>0</v>
      </c>
      <c r="Q157" t="s">
        <v>33</v>
      </c>
      <c r="S157" t="s">
        <v>27</v>
      </c>
      <c r="T157" s="8">
        <v>46001</v>
      </c>
      <c r="U157" s="7">
        <v>0.97025462962962961</v>
      </c>
    </row>
    <row r="158" spans="1:21" x14ac:dyDescent="0.2">
      <c r="A158">
        <v>483</v>
      </c>
      <c r="B158" t="s">
        <v>912</v>
      </c>
      <c r="C158" t="s">
        <v>24</v>
      </c>
      <c r="D158" t="s">
        <v>913</v>
      </c>
      <c r="J158" t="s">
        <v>914</v>
      </c>
      <c r="K158" s="3">
        <v>0</v>
      </c>
      <c r="L158" s="2">
        <v>0</v>
      </c>
      <c r="M158" s="2">
        <f>+K158-L158</f>
        <v>0</v>
      </c>
      <c r="N158" s="2">
        <v>0</v>
      </c>
      <c r="O158" s="2">
        <v>0</v>
      </c>
      <c r="P158" s="2">
        <v>0</v>
      </c>
      <c r="Q158" t="s">
        <v>33</v>
      </c>
      <c r="S158" t="s">
        <v>27</v>
      </c>
      <c r="T158" s="8">
        <v>46001</v>
      </c>
      <c r="U158" s="7">
        <v>0.97146990740740746</v>
      </c>
    </row>
    <row r="159" spans="1:21" x14ac:dyDescent="0.2">
      <c r="A159">
        <v>484</v>
      </c>
      <c r="B159" t="s">
        <v>82</v>
      </c>
      <c r="C159" t="s">
        <v>24</v>
      </c>
      <c r="D159" t="s">
        <v>671</v>
      </c>
      <c r="J159" t="s">
        <v>911</v>
      </c>
      <c r="K159" s="3">
        <v>850</v>
      </c>
      <c r="L159" s="2">
        <v>0</v>
      </c>
      <c r="M159" s="2">
        <f>+K159-L159</f>
        <v>850</v>
      </c>
      <c r="N159" s="2">
        <v>42.5</v>
      </c>
      <c r="O159" s="2">
        <v>0.5</v>
      </c>
      <c r="P159" s="2">
        <v>893</v>
      </c>
      <c r="Q159" t="s">
        <v>30</v>
      </c>
      <c r="S159" t="s">
        <v>27</v>
      </c>
      <c r="T159" s="8">
        <v>46001</v>
      </c>
      <c r="U159" s="7">
        <v>0.97157407407407403</v>
      </c>
    </row>
    <row r="160" spans="1:21" x14ac:dyDescent="0.2">
      <c r="A160">
        <v>485</v>
      </c>
      <c r="B160" t="s">
        <v>43</v>
      </c>
      <c r="C160" t="s">
        <v>24</v>
      </c>
      <c r="J160" t="s">
        <v>1228</v>
      </c>
      <c r="K160" s="3">
        <v>4570</v>
      </c>
      <c r="L160" s="2">
        <v>0</v>
      </c>
      <c r="M160" s="2">
        <f>+K160-L160</f>
        <v>4570</v>
      </c>
      <c r="N160" s="2">
        <v>228.5</v>
      </c>
      <c r="O160" s="2">
        <v>0.5</v>
      </c>
      <c r="P160" s="2">
        <v>4799</v>
      </c>
      <c r="Q160" t="s">
        <v>30</v>
      </c>
      <c r="S160" t="s">
        <v>27</v>
      </c>
      <c r="T160" s="8">
        <v>46001</v>
      </c>
      <c r="U160" s="7">
        <v>0.97320601851851851</v>
      </c>
    </row>
    <row r="161" spans="1:21" x14ac:dyDescent="0.2">
      <c r="A161">
        <v>486</v>
      </c>
      <c r="B161" t="s">
        <v>394</v>
      </c>
      <c r="C161" t="s">
        <v>24</v>
      </c>
      <c r="J161" t="s">
        <v>244</v>
      </c>
      <c r="K161" s="3">
        <v>122</v>
      </c>
      <c r="L161" s="2">
        <v>0</v>
      </c>
      <c r="M161" s="2">
        <f>+K161-L161</f>
        <v>122</v>
      </c>
      <c r="N161" s="2">
        <v>21.96</v>
      </c>
      <c r="O161" s="2">
        <v>0.04</v>
      </c>
      <c r="P161" s="2">
        <v>144</v>
      </c>
      <c r="Q161" t="s">
        <v>40</v>
      </c>
      <c r="S161" t="s">
        <v>27</v>
      </c>
      <c r="T161" s="8">
        <v>46001</v>
      </c>
      <c r="U161" s="7">
        <v>0.9785300925925926</v>
      </c>
    </row>
    <row r="162" spans="1:21" x14ac:dyDescent="0.2">
      <c r="A162">
        <v>487</v>
      </c>
      <c r="B162" t="s">
        <v>760</v>
      </c>
      <c r="C162" t="s">
        <v>24</v>
      </c>
      <c r="J162" t="s">
        <v>244</v>
      </c>
      <c r="K162" s="3">
        <v>122</v>
      </c>
      <c r="L162" s="2">
        <v>0</v>
      </c>
      <c r="M162" s="2">
        <f>+K162-L162</f>
        <v>122</v>
      </c>
      <c r="N162" s="2">
        <v>21.96</v>
      </c>
      <c r="O162" s="2">
        <v>0.04</v>
      </c>
      <c r="P162" s="2">
        <v>144</v>
      </c>
      <c r="Q162" t="s">
        <v>40</v>
      </c>
      <c r="S162" t="s">
        <v>27</v>
      </c>
      <c r="T162" s="8">
        <v>46001</v>
      </c>
      <c r="U162" s="7">
        <v>0.9786111111111111</v>
      </c>
    </row>
    <row r="163" spans="1:21" x14ac:dyDescent="0.2">
      <c r="A163">
        <v>488</v>
      </c>
      <c r="B163" t="s">
        <v>759</v>
      </c>
      <c r="C163" t="s">
        <v>24</v>
      </c>
      <c r="J163" t="s">
        <v>244</v>
      </c>
      <c r="K163" s="3">
        <v>122</v>
      </c>
      <c r="L163" s="2">
        <v>0</v>
      </c>
      <c r="M163" s="2">
        <f>+K163-L163</f>
        <v>122</v>
      </c>
      <c r="N163" s="2">
        <v>21.96</v>
      </c>
      <c r="O163" s="2">
        <v>0.04</v>
      </c>
      <c r="P163" s="2">
        <v>144</v>
      </c>
      <c r="Q163" t="s">
        <v>40</v>
      </c>
      <c r="S163" t="s">
        <v>27</v>
      </c>
      <c r="T163" s="8">
        <v>46001</v>
      </c>
      <c r="U163" s="7">
        <v>0.97869212962962959</v>
      </c>
    </row>
    <row r="164" spans="1:21" x14ac:dyDescent="0.2">
      <c r="A164">
        <v>489</v>
      </c>
      <c r="B164" t="s">
        <v>394</v>
      </c>
      <c r="C164" t="s">
        <v>24</v>
      </c>
      <c r="J164" t="s">
        <v>910</v>
      </c>
      <c r="K164" s="3">
        <v>430</v>
      </c>
      <c r="L164" s="2">
        <v>0</v>
      </c>
      <c r="M164" s="2">
        <f>+K164-L164</f>
        <v>430</v>
      </c>
      <c r="N164" s="2">
        <v>21.5</v>
      </c>
      <c r="O164" s="2">
        <v>0.5</v>
      </c>
      <c r="P164" s="2">
        <v>452</v>
      </c>
      <c r="Q164" t="s">
        <v>33</v>
      </c>
      <c r="S164" t="s">
        <v>27</v>
      </c>
      <c r="T164" s="8">
        <v>46002</v>
      </c>
      <c r="U164" s="7">
        <v>0.50368055555555558</v>
      </c>
    </row>
    <row r="165" spans="1:21" x14ac:dyDescent="0.2">
      <c r="A165">
        <v>490</v>
      </c>
      <c r="B165" t="s">
        <v>52</v>
      </c>
      <c r="C165" t="s">
        <v>24</v>
      </c>
      <c r="J165" t="s">
        <v>909</v>
      </c>
      <c r="K165" s="3">
        <v>920</v>
      </c>
      <c r="L165" s="2">
        <v>0</v>
      </c>
      <c r="M165" s="2">
        <f>+K165-L165</f>
        <v>920</v>
      </c>
      <c r="N165" s="2">
        <v>46</v>
      </c>
      <c r="O165" s="2">
        <v>0</v>
      </c>
      <c r="P165" s="2">
        <v>966</v>
      </c>
      <c r="Q165" t="s">
        <v>40</v>
      </c>
      <c r="S165" t="s">
        <v>27</v>
      </c>
      <c r="T165" s="8">
        <v>46002</v>
      </c>
      <c r="U165" s="7">
        <v>0.58045138888888892</v>
      </c>
    </row>
    <row r="166" spans="1:21" x14ac:dyDescent="0.2">
      <c r="A166">
        <v>491</v>
      </c>
      <c r="B166" t="s">
        <v>906</v>
      </c>
      <c r="C166" t="s">
        <v>24</v>
      </c>
      <c r="D166" t="s">
        <v>907</v>
      </c>
      <c r="J166" t="s">
        <v>908</v>
      </c>
      <c r="K166" s="3">
        <v>1520</v>
      </c>
      <c r="L166" s="2">
        <v>0</v>
      </c>
      <c r="M166" s="2">
        <f>+K166-L166</f>
        <v>1520</v>
      </c>
      <c r="N166" s="2">
        <v>76</v>
      </c>
      <c r="O166" s="2">
        <v>0</v>
      </c>
      <c r="P166" s="2">
        <v>1596</v>
      </c>
      <c r="Q166" t="s">
        <v>40</v>
      </c>
      <c r="S166" t="s">
        <v>27</v>
      </c>
      <c r="T166" s="8">
        <v>46002</v>
      </c>
      <c r="U166" s="7">
        <v>0.63230324074074074</v>
      </c>
    </row>
    <row r="167" spans="1:21" x14ac:dyDescent="0.2">
      <c r="A167">
        <v>492</v>
      </c>
      <c r="B167" t="s">
        <v>903</v>
      </c>
      <c r="C167" t="s">
        <v>24</v>
      </c>
      <c r="D167" t="s">
        <v>904</v>
      </c>
      <c r="J167" t="s">
        <v>905</v>
      </c>
      <c r="K167" s="3">
        <v>1005</v>
      </c>
      <c r="L167" s="2">
        <v>0</v>
      </c>
      <c r="M167" s="2">
        <f>+K167-L167</f>
        <v>1005</v>
      </c>
      <c r="N167" s="2">
        <v>50.26</v>
      </c>
      <c r="O167" s="2">
        <v>-0.26</v>
      </c>
      <c r="P167" s="2">
        <v>1055</v>
      </c>
      <c r="Q167" t="s">
        <v>30</v>
      </c>
      <c r="S167" t="s">
        <v>27</v>
      </c>
      <c r="T167" s="8">
        <v>46002</v>
      </c>
      <c r="U167" s="7">
        <v>0.64500000000000002</v>
      </c>
    </row>
    <row r="168" spans="1:21" x14ac:dyDescent="0.2">
      <c r="A168">
        <v>493</v>
      </c>
      <c r="B168" t="s">
        <v>900</v>
      </c>
      <c r="C168" t="s">
        <v>24</v>
      </c>
      <c r="D168" t="s">
        <v>901</v>
      </c>
      <c r="J168" t="s">
        <v>902</v>
      </c>
      <c r="K168" s="3">
        <v>1400</v>
      </c>
      <c r="L168" s="2">
        <v>0</v>
      </c>
      <c r="M168" s="2">
        <f>+K168-L168</f>
        <v>1400</v>
      </c>
      <c r="N168" s="2">
        <v>70</v>
      </c>
      <c r="O168" s="2">
        <v>0</v>
      </c>
      <c r="P168" s="2">
        <v>1470</v>
      </c>
      <c r="Q168" t="s">
        <v>40</v>
      </c>
      <c r="S168" t="s">
        <v>27</v>
      </c>
      <c r="T168" s="8">
        <v>46002</v>
      </c>
      <c r="U168" s="7">
        <v>0.64712962962962961</v>
      </c>
    </row>
    <row r="169" spans="1:21" x14ac:dyDescent="0.2">
      <c r="A169">
        <v>494</v>
      </c>
      <c r="B169" t="s">
        <v>897</v>
      </c>
      <c r="C169" t="s">
        <v>24</v>
      </c>
      <c r="D169" t="s">
        <v>898</v>
      </c>
      <c r="J169" t="s">
        <v>899</v>
      </c>
      <c r="K169" s="3">
        <v>1665</v>
      </c>
      <c r="L169" s="2">
        <v>0</v>
      </c>
      <c r="M169" s="2">
        <f>+K169-L169</f>
        <v>1665</v>
      </c>
      <c r="N169" s="2">
        <v>83.26</v>
      </c>
      <c r="O169" s="2">
        <v>-0.26</v>
      </c>
      <c r="P169" s="2">
        <v>1748</v>
      </c>
      <c r="Q169" t="s">
        <v>40</v>
      </c>
      <c r="S169" t="s">
        <v>27</v>
      </c>
      <c r="T169" s="8">
        <v>46002</v>
      </c>
      <c r="U169" s="7">
        <v>0.67175925925925928</v>
      </c>
    </row>
    <row r="170" spans="1:21" x14ac:dyDescent="0.2">
      <c r="A170">
        <v>495</v>
      </c>
      <c r="B170" t="s">
        <v>894</v>
      </c>
      <c r="C170" t="s">
        <v>24</v>
      </c>
      <c r="D170" t="s">
        <v>895</v>
      </c>
      <c r="J170" t="s">
        <v>896</v>
      </c>
      <c r="K170" s="3">
        <v>645</v>
      </c>
      <c r="L170" s="2">
        <v>0</v>
      </c>
      <c r="M170" s="2">
        <f>+K170-L170</f>
        <v>645</v>
      </c>
      <c r="N170" s="2">
        <v>32.26</v>
      </c>
      <c r="O170" s="2">
        <v>-0.26</v>
      </c>
      <c r="P170" s="2">
        <v>677</v>
      </c>
      <c r="Q170" t="s">
        <v>30</v>
      </c>
      <c r="S170" t="s">
        <v>27</v>
      </c>
      <c r="T170" s="8">
        <v>46002</v>
      </c>
      <c r="U170" s="7">
        <v>0.75376157407407407</v>
      </c>
    </row>
    <row r="171" spans="1:21" x14ac:dyDescent="0.2">
      <c r="A171">
        <v>496</v>
      </c>
      <c r="B171" t="s">
        <v>54</v>
      </c>
      <c r="C171" t="s">
        <v>24</v>
      </c>
      <c r="J171" t="s">
        <v>893</v>
      </c>
      <c r="K171" s="3">
        <v>1120</v>
      </c>
      <c r="L171" s="2">
        <v>168</v>
      </c>
      <c r="M171" s="2">
        <f>+K171-L171</f>
        <v>952</v>
      </c>
      <c r="N171" s="2">
        <v>47.6</v>
      </c>
      <c r="O171" s="2">
        <v>0.4</v>
      </c>
      <c r="P171" s="2">
        <v>1000</v>
      </c>
      <c r="Q171" t="s">
        <v>40</v>
      </c>
      <c r="S171" t="s">
        <v>27</v>
      </c>
      <c r="T171" s="8">
        <v>46002</v>
      </c>
      <c r="U171" s="7">
        <v>0.77123842592592595</v>
      </c>
    </row>
    <row r="172" spans="1:21" x14ac:dyDescent="0.2">
      <c r="A172">
        <v>497</v>
      </c>
      <c r="B172" t="s">
        <v>539</v>
      </c>
      <c r="C172" t="s">
        <v>24</v>
      </c>
      <c r="D172" t="s">
        <v>540</v>
      </c>
      <c r="J172" t="s">
        <v>892</v>
      </c>
      <c r="K172" s="3">
        <v>280</v>
      </c>
      <c r="L172" s="2">
        <v>0</v>
      </c>
      <c r="M172" s="2">
        <f>+K172-L172</f>
        <v>280</v>
      </c>
      <c r="N172" s="2">
        <v>14</v>
      </c>
      <c r="O172" s="2">
        <v>0</v>
      </c>
      <c r="P172" s="2">
        <v>294</v>
      </c>
      <c r="Q172" t="s">
        <v>30</v>
      </c>
      <c r="S172" t="s">
        <v>27</v>
      </c>
      <c r="T172" s="8">
        <v>46002</v>
      </c>
      <c r="U172" s="7">
        <v>0.77795138888888893</v>
      </c>
    </row>
    <row r="173" spans="1:21" x14ac:dyDescent="0.2">
      <c r="A173">
        <v>498</v>
      </c>
      <c r="B173" t="s">
        <v>178</v>
      </c>
      <c r="C173" t="s">
        <v>24</v>
      </c>
      <c r="D173" t="s">
        <v>890</v>
      </c>
      <c r="J173" t="s">
        <v>891</v>
      </c>
      <c r="K173" s="3">
        <v>1175</v>
      </c>
      <c r="L173" s="2">
        <v>0</v>
      </c>
      <c r="M173" s="2">
        <f>+K173-L173</f>
        <v>1175</v>
      </c>
      <c r="N173" s="2">
        <v>58.76</v>
      </c>
      <c r="O173" s="2">
        <v>0.24</v>
      </c>
      <c r="P173" s="2">
        <v>1234</v>
      </c>
      <c r="Q173" t="s">
        <v>33</v>
      </c>
      <c r="S173" t="s">
        <v>27</v>
      </c>
      <c r="T173" s="8">
        <v>46002</v>
      </c>
      <c r="U173" s="7">
        <v>0.86375000000000002</v>
      </c>
    </row>
    <row r="174" spans="1:21" x14ac:dyDescent="0.2">
      <c r="A174">
        <v>499</v>
      </c>
      <c r="B174" t="s">
        <v>888</v>
      </c>
      <c r="C174" t="s">
        <v>24</v>
      </c>
      <c r="D174" t="s">
        <v>889</v>
      </c>
      <c r="J174" t="s">
        <v>462</v>
      </c>
      <c r="K174" s="3">
        <v>290</v>
      </c>
      <c r="L174" s="2">
        <v>0</v>
      </c>
      <c r="M174" s="2">
        <f>+K174-L174</f>
        <v>290</v>
      </c>
      <c r="N174" s="2">
        <v>14.5</v>
      </c>
      <c r="O174" s="2">
        <v>0.5</v>
      </c>
      <c r="P174" s="2">
        <v>305</v>
      </c>
      <c r="Q174" t="s">
        <v>40</v>
      </c>
      <c r="S174" t="s">
        <v>27</v>
      </c>
      <c r="T174" s="8">
        <v>46002</v>
      </c>
      <c r="U174" s="7">
        <v>0.86615740740740743</v>
      </c>
    </row>
    <row r="175" spans="1:21" x14ac:dyDescent="0.2">
      <c r="A175">
        <v>500</v>
      </c>
      <c r="B175" t="s">
        <v>54</v>
      </c>
      <c r="C175" t="s">
        <v>24</v>
      </c>
      <c r="J175" t="s">
        <v>90</v>
      </c>
      <c r="K175" s="3">
        <v>325</v>
      </c>
      <c r="L175" s="2">
        <v>0</v>
      </c>
      <c r="M175" s="2">
        <f>+K175-L175</f>
        <v>325</v>
      </c>
      <c r="N175" s="2">
        <v>16.260000000000002</v>
      </c>
      <c r="O175" s="2">
        <v>-0.26</v>
      </c>
      <c r="P175" s="2">
        <v>341</v>
      </c>
      <c r="Q175" t="s">
        <v>40</v>
      </c>
      <c r="S175" t="s">
        <v>27</v>
      </c>
      <c r="T175" s="8">
        <v>46002</v>
      </c>
      <c r="U175" s="7">
        <v>0.88615740740740745</v>
      </c>
    </row>
    <row r="176" spans="1:21" x14ac:dyDescent="0.2">
      <c r="A176">
        <v>501</v>
      </c>
      <c r="B176" t="s">
        <v>38</v>
      </c>
      <c r="C176" t="s">
        <v>24</v>
      </c>
      <c r="D176" t="s">
        <v>855</v>
      </c>
      <c r="J176" t="s">
        <v>418</v>
      </c>
      <c r="K176" s="3">
        <v>280</v>
      </c>
      <c r="L176" s="2">
        <v>0</v>
      </c>
      <c r="M176" s="2">
        <f>+K176-L176</f>
        <v>280</v>
      </c>
      <c r="N176" s="2">
        <v>14</v>
      </c>
      <c r="O176" s="2">
        <v>0</v>
      </c>
      <c r="P176" s="2">
        <v>294</v>
      </c>
      <c r="Q176" t="s">
        <v>40</v>
      </c>
      <c r="S176" t="s">
        <v>27</v>
      </c>
      <c r="T176" s="8">
        <v>46002</v>
      </c>
      <c r="U176" s="7">
        <v>0.8925925925925926</v>
      </c>
    </row>
    <row r="177" spans="1:21" x14ac:dyDescent="0.2">
      <c r="A177">
        <v>502</v>
      </c>
      <c r="B177" t="s">
        <v>886</v>
      </c>
      <c r="C177" t="s">
        <v>24</v>
      </c>
      <c r="D177" t="s">
        <v>887</v>
      </c>
      <c r="J177" t="s">
        <v>628</v>
      </c>
      <c r="K177" s="3">
        <v>0</v>
      </c>
      <c r="L177" s="2">
        <v>0</v>
      </c>
      <c r="M177" s="2">
        <f>+K177-L177</f>
        <v>0</v>
      </c>
      <c r="N177" s="2">
        <v>0</v>
      </c>
      <c r="O177" s="2">
        <v>0</v>
      </c>
      <c r="P177" s="2">
        <v>0</v>
      </c>
      <c r="Q177" t="s">
        <v>33</v>
      </c>
      <c r="S177" t="s">
        <v>27</v>
      </c>
      <c r="T177" s="8">
        <v>46002</v>
      </c>
      <c r="U177" s="7">
        <v>0.95398148148148143</v>
      </c>
    </row>
    <row r="178" spans="1:21" x14ac:dyDescent="0.2">
      <c r="A178">
        <v>503</v>
      </c>
      <c r="B178" t="s">
        <v>884</v>
      </c>
      <c r="C178" t="s">
        <v>24</v>
      </c>
      <c r="D178" t="s">
        <v>848</v>
      </c>
      <c r="J178" t="s">
        <v>885</v>
      </c>
      <c r="K178" s="3">
        <v>0</v>
      </c>
      <c r="L178" s="2">
        <v>0</v>
      </c>
      <c r="M178" s="2">
        <f>+K178-L178</f>
        <v>0</v>
      </c>
      <c r="N178" s="2">
        <v>0</v>
      </c>
      <c r="O178" s="2">
        <v>0</v>
      </c>
      <c r="P178" s="2">
        <v>0</v>
      </c>
      <c r="Q178" t="s">
        <v>33</v>
      </c>
      <c r="S178" t="s">
        <v>27</v>
      </c>
      <c r="T178" s="8">
        <v>46002</v>
      </c>
      <c r="U178" s="7">
        <v>0.95587962962962958</v>
      </c>
    </row>
    <row r="179" spans="1:21" x14ac:dyDescent="0.2">
      <c r="A179">
        <v>504</v>
      </c>
      <c r="B179" t="s">
        <v>54</v>
      </c>
      <c r="C179" t="s">
        <v>24</v>
      </c>
      <c r="J179" t="s">
        <v>883</v>
      </c>
      <c r="K179" s="3">
        <v>2575</v>
      </c>
      <c r="L179" s="2">
        <v>0</v>
      </c>
      <c r="M179" s="2">
        <f>+K179-L179</f>
        <v>2575</v>
      </c>
      <c r="N179" s="2">
        <v>128.76</v>
      </c>
      <c r="O179" s="2">
        <v>0.24</v>
      </c>
      <c r="P179" s="2">
        <v>2704</v>
      </c>
      <c r="Q179" t="s">
        <v>30</v>
      </c>
      <c r="S179" t="s">
        <v>27</v>
      </c>
      <c r="T179" s="8">
        <v>46002</v>
      </c>
      <c r="U179" s="7">
        <v>0.96722222222222221</v>
      </c>
    </row>
    <row r="180" spans="1:21" x14ac:dyDescent="0.2">
      <c r="A180">
        <v>505</v>
      </c>
      <c r="B180" t="s">
        <v>31</v>
      </c>
      <c r="C180" t="s">
        <v>24</v>
      </c>
      <c r="D180" t="s">
        <v>882</v>
      </c>
      <c r="J180" t="s">
        <v>1227</v>
      </c>
      <c r="K180" s="3">
        <v>4280</v>
      </c>
      <c r="L180" s="2">
        <v>0</v>
      </c>
      <c r="M180" s="2">
        <f>+K180-L180</f>
        <v>4280</v>
      </c>
      <c r="N180" s="2">
        <v>214</v>
      </c>
      <c r="O180" s="2">
        <v>0</v>
      </c>
      <c r="P180" s="2">
        <v>4494</v>
      </c>
      <c r="Q180" t="s">
        <v>40</v>
      </c>
      <c r="S180" t="s">
        <v>27</v>
      </c>
      <c r="T180" s="8">
        <v>46002</v>
      </c>
      <c r="U180" s="7">
        <v>0.96900462962962963</v>
      </c>
    </row>
    <row r="181" spans="1:21" x14ac:dyDescent="0.2">
      <c r="A181">
        <v>506</v>
      </c>
      <c r="B181" t="s">
        <v>43</v>
      </c>
      <c r="C181" t="s">
        <v>24</v>
      </c>
      <c r="J181" t="s">
        <v>881</v>
      </c>
      <c r="K181" s="3">
        <v>1040</v>
      </c>
      <c r="L181" s="2">
        <v>208</v>
      </c>
      <c r="M181" s="2">
        <f>+K181-L181</f>
        <v>832</v>
      </c>
      <c r="N181" s="2">
        <v>41.6</v>
      </c>
      <c r="O181" s="2">
        <v>0.4</v>
      </c>
      <c r="P181" s="2">
        <v>874</v>
      </c>
      <c r="Q181" t="s">
        <v>40</v>
      </c>
      <c r="S181" t="s">
        <v>27</v>
      </c>
      <c r="T181" s="8">
        <v>46002</v>
      </c>
      <c r="U181" s="7">
        <v>0.97013888888888888</v>
      </c>
    </row>
    <row r="182" spans="1:21" x14ac:dyDescent="0.2">
      <c r="A182">
        <v>507</v>
      </c>
      <c r="B182" t="s">
        <v>58</v>
      </c>
      <c r="C182" t="s">
        <v>24</v>
      </c>
      <c r="J182" t="s">
        <v>880</v>
      </c>
      <c r="K182" s="3">
        <v>585</v>
      </c>
      <c r="L182" s="2">
        <v>0</v>
      </c>
      <c r="M182" s="2">
        <f>+K182-L182</f>
        <v>585</v>
      </c>
      <c r="N182" s="2">
        <v>29.26</v>
      </c>
      <c r="O182" s="2">
        <v>-0.26</v>
      </c>
      <c r="P182" s="2">
        <v>614</v>
      </c>
      <c r="Q182" t="s">
        <v>40</v>
      </c>
      <c r="R182" t="s">
        <v>844</v>
      </c>
      <c r="S182" t="s">
        <v>27</v>
      </c>
      <c r="T182" s="8">
        <v>46003</v>
      </c>
      <c r="U182" s="7">
        <v>0.58508101851851857</v>
      </c>
    </row>
    <row r="183" spans="1:21" x14ac:dyDescent="0.2">
      <c r="A183">
        <v>508</v>
      </c>
      <c r="B183" t="s">
        <v>47</v>
      </c>
      <c r="C183" t="s">
        <v>24</v>
      </c>
      <c r="J183" t="s">
        <v>879</v>
      </c>
      <c r="K183" s="3">
        <v>2200</v>
      </c>
      <c r="L183" s="2">
        <v>0</v>
      </c>
      <c r="M183" s="2">
        <f>+K183-L183</f>
        <v>2200</v>
      </c>
      <c r="N183" s="2">
        <v>110</v>
      </c>
      <c r="O183" s="2">
        <v>0</v>
      </c>
      <c r="P183" s="2">
        <v>2310</v>
      </c>
      <c r="Q183" t="s">
        <v>40</v>
      </c>
      <c r="S183" t="s">
        <v>27</v>
      </c>
      <c r="T183" s="8">
        <v>46003</v>
      </c>
      <c r="U183" s="7">
        <v>0.61968749999999995</v>
      </c>
    </row>
    <row r="184" spans="1:21" x14ac:dyDescent="0.2">
      <c r="A184">
        <v>509</v>
      </c>
      <c r="B184" t="s">
        <v>52</v>
      </c>
      <c r="C184" t="s">
        <v>24</v>
      </c>
      <c r="J184" t="s">
        <v>878</v>
      </c>
      <c r="K184" s="3">
        <v>640</v>
      </c>
      <c r="L184" s="2">
        <v>0</v>
      </c>
      <c r="M184" s="2">
        <f>+K184-L184</f>
        <v>640</v>
      </c>
      <c r="N184" s="2">
        <v>32</v>
      </c>
      <c r="O184" s="2">
        <v>0</v>
      </c>
      <c r="P184" s="2">
        <v>672</v>
      </c>
      <c r="Q184" t="s">
        <v>40</v>
      </c>
      <c r="S184" t="s">
        <v>27</v>
      </c>
      <c r="T184" s="8">
        <v>46003</v>
      </c>
      <c r="U184" s="7">
        <v>0.63677083333333329</v>
      </c>
    </row>
    <row r="185" spans="1:21" x14ac:dyDescent="0.2">
      <c r="A185">
        <v>510</v>
      </c>
      <c r="B185" t="s">
        <v>876</v>
      </c>
      <c r="C185" t="s">
        <v>24</v>
      </c>
      <c r="D185" t="s">
        <v>877</v>
      </c>
      <c r="J185" t="s">
        <v>161</v>
      </c>
      <c r="K185" s="3">
        <v>995</v>
      </c>
      <c r="L185" s="2">
        <v>0</v>
      </c>
      <c r="M185" s="2">
        <f>+K185-L185</f>
        <v>995</v>
      </c>
      <c r="N185" s="2">
        <v>49.76</v>
      </c>
      <c r="O185" s="2">
        <v>0.24</v>
      </c>
      <c r="P185" s="2">
        <v>1045</v>
      </c>
      <c r="Q185" t="s">
        <v>33</v>
      </c>
      <c r="S185" t="s">
        <v>27</v>
      </c>
      <c r="T185" s="8">
        <v>46003</v>
      </c>
      <c r="U185" s="7">
        <v>0.65909722222222222</v>
      </c>
    </row>
    <row r="186" spans="1:21" x14ac:dyDescent="0.2">
      <c r="A186">
        <v>511</v>
      </c>
      <c r="B186" t="s">
        <v>394</v>
      </c>
      <c r="C186" t="s">
        <v>24</v>
      </c>
      <c r="J186" t="s">
        <v>724</v>
      </c>
      <c r="K186" s="3">
        <v>190</v>
      </c>
      <c r="L186" s="2">
        <v>0</v>
      </c>
      <c r="M186" s="2">
        <f>+K186-L186</f>
        <v>190</v>
      </c>
      <c r="N186" s="2">
        <v>9.5</v>
      </c>
      <c r="O186" s="2">
        <v>0.5</v>
      </c>
      <c r="P186" s="2">
        <v>200</v>
      </c>
      <c r="Q186" t="s">
        <v>33</v>
      </c>
      <c r="S186" t="s">
        <v>27</v>
      </c>
      <c r="T186" s="8">
        <v>46003</v>
      </c>
      <c r="U186" s="7">
        <v>0.68108796296296292</v>
      </c>
    </row>
    <row r="187" spans="1:21" x14ac:dyDescent="0.2">
      <c r="A187">
        <v>512</v>
      </c>
      <c r="B187" t="s">
        <v>23</v>
      </c>
      <c r="C187" t="s">
        <v>24</v>
      </c>
      <c r="J187" t="s">
        <v>875</v>
      </c>
      <c r="K187" s="3">
        <v>1035</v>
      </c>
      <c r="L187" s="2">
        <v>155.25</v>
      </c>
      <c r="M187" s="2">
        <f>+K187-L187</f>
        <v>879.75</v>
      </c>
      <c r="N187" s="2">
        <v>43.98</v>
      </c>
      <c r="O187" s="2">
        <v>0.27</v>
      </c>
      <c r="P187" s="2">
        <v>924</v>
      </c>
      <c r="Q187" t="s">
        <v>40</v>
      </c>
      <c r="S187" t="s">
        <v>27</v>
      </c>
      <c r="T187" s="8">
        <v>46003</v>
      </c>
      <c r="U187" s="7">
        <v>0.68374999999999997</v>
      </c>
    </row>
    <row r="188" spans="1:21" x14ac:dyDescent="0.2">
      <c r="A188">
        <v>513</v>
      </c>
      <c r="B188" t="s">
        <v>164</v>
      </c>
      <c r="C188" t="s">
        <v>24</v>
      </c>
      <c r="D188" t="s">
        <v>873</v>
      </c>
      <c r="J188" t="s">
        <v>874</v>
      </c>
      <c r="K188" s="3">
        <v>1460</v>
      </c>
      <c r="L188" s="2">
        <v>0</v>
      </c>
      <c r="M188" s="2">
        <f>+K188-L188</f>
        <v>1460</v>
      </c>
      <c r="N188" s="2">
        <v>67</v>
      </c>
      <c r="O188" s="2">
        <v>0</v>
      </c>
      <c r="P188" s="2">
        <v>1527</v>
      </c>
      <c r="Q188" t="s">
        <v>40</v>
      </c>
      <c r="S188" t="s">
        <v>27</v>
      </c>
      <c r="T188" s="8">
        <v>46003</v>
      </c>
      <c r="U188" s="7">
        <v>0.90207175925925931</v>
      </c>
    </row>
    <row r="189" spans="1:21" x14ac:dyDescent="0.2">
      <c r="A189">
        <v>514</v>
      </c>
      <c r="B189" t="s">
        <v>870</v>
      </c>
      <c r="C189" t="s">
        <v>24</v>
      </c>
      <c r="D189" t="s">
        <v>871</v>
      </c>
      <c r="J189" t="s">
        <v>872</v>
      </c>
      <c r="K189" s="3">
        <v>1575</v>
      </c>
      <c r="L189" s="2">
        <v>236.25</v>
      </c>
      <c r="M189" s="2">
        <f>+K189-L189</f>
        <v>1338.75</v>
      </c>
      <c r="N189" s="2">
        <v>66.94</v>
      </c>
      <c r="O189" s="2">
        <v>0.31</v>
      </c>
      <c r="P189" s="2">
        <v>1406</v>
      </c>
      <c r="Q189" t="s">
        <v>30</v>
      </c>
      <c r="S189" t="s">
        <v>27</v>
      </c>
      <c r="T189" s="8">
        <v>46003</v>
      </c>
      <c r="U189" s="7">
        <v>0.91526620370370371</v>
      </c>
    </row>
    <row r="190" spans="1:21" x14ac:dyDescent="0.2">
      <c r="A190">
        <v>515</v>
      </c>
      <c r="B190" t="s">
        <v>58</v>
      </c>
      <c r="C190" t="s">
        <v>24</v>
      </c>
      <c r="J190" t="s">
        <v>869</v>
      </c>
      <c r="K190" s="3">
        <v>440</v>
      </c>
      <c r="L190" s="2">
        <v>0</v>
      </c>
      <c r="M190" s="2">
        <f>+K190-L190</f>
        <v>440</v>
      </c>
      <c r="N190" s="2">
        <v>22</v>
      </c>
      <c r="O190" s="2">
        <v>0</v>
      </c>
      <c r="P190" s="2">
        <v>462</v>
      </c>
      <c r="Q190" t="s">
        <v>40</v>
      </c>
      <c r="S190" t="s">
        <v>27</v>
      </c>
      <c r="T190" s="8">
        <v>46003</v>
      </c>
      <c r="U190" s="7">
        <v>0.91695601851851849</v>
      </c>
    </row>
    <row r="191" spans="1:21" x14ac:dyDescent="0.2">
      <c r="A191">
        <v>516</v>
      </c>
      <c r="B191" t="s">
        <v>867</v>
      </c>
      <c r="C191" t="s">
        <v>24</v>
      </c>
      <c r="D191" t="s">
        <v>868</v>
      </c>
      <c r="J191" t="s">
        <v>447</v>
      </c>
      <c r="K191" s="3">
        <v>520</v>
      </c>
      <c r="L191" s="2">
        <v>0</v>
      </c>
      <c r="M191" s="2">
        <f>+K191-L191</f>
        <v>520</v>
      </c>
      <c r="N191" s="2">
        <v>26</v>
      </c>
      <c r="O191" s="2">
        <v>0</v>
      </c>
      <c r="P191" s="2">
        <v>546</v>
      </c>
      <c r="Q191" t="s">
        <v>30</v>
      </c>
      <c r="S191" t="s">
        <v>27</v>
      </c>
      <c r="T191" s="8">
        <v>46003</v>
      </c>
      <c r="U191" s="7">
        <v>0.92420138888888892</v>
      </c>
    </row>
    <row r="192" spans="1:21" x14ac:dyDescent="0.2">
      <c r="A192">
        <v>517</v>
      </c>
      <c r="B192" t="s">
        <v>864</v>
      </c>
      <c r="C192" t="s">
        <v>24</v>
      </c>
      <c r="D192" t="s">
        <v>865</v>
      </c>
      <c r="J192" t="s">
        <v>866</v>
      </c>
      <c r="K192" s="3">
        <v>1550</v>
      </c>
      <c r="L192" s="2">
        <v>0</v>
      </c>
      <c r="M192" s="2">
        <f>+K192-L192</f>
        <v>1550</v>
      </c>
      <c r="N192" s="2">
        <v>77.5</v>
      </c>
      <c r="O192" s="2">
        <v>0.5</v>
      </c>
      <c r="P192" s="2">
        <v>1628</v>
      </c>
      <c r="Q192" t="s">
        <v>30</v>
      </c>
      <c r="S192" t="s">
        <v>27</v>
      </c>
      <c r="T192" s="8">
        <v>46003</v>
      </c>
      <c r="U192" s="7">
        <v>0.94435185185185189</v>
      </c>
    </row>
    <row r="193" spans="1:21" x14ac:dyDescent="0.2">
      <c r="A193">
        <v>518</v>
      </c>
      <c r="B193" t="s">
        <v>861</v>
      </c>
      <c r="C193" t="s">
        <v>24</v>
      </c>
      <c r="D193" t="s">
        <v>862</v>
      </c>
      <c r="J193" t="s">
        <v>863</v>
      </c>
      <c r="K193" s="3">
        <v>240</v>
      </c>
      <c r="L193" s="2">
        <v>0</v>
      </c>
      <c r="M193" s="2">
        <f>+K193-L193</f>
        <v>240</v>
      </c>
      <c r="N193" s="2">
        <v>12</v>
      </c>
      <c r="O193" s="2">
        <v>0</v>
      </c>
      <c r="P193" s="2">
        <v>252</v>
      </c>
      <c r="Q193" t="s">
        <v>40</v>
      </c>
      <c r="S193" t="s">
        <v>27</v>
      </c>
      <c r="T193" s="8">
        <v>46003</v>
      </c>
      <c r="U193" s="7">
        <v>0.95966435185185184</v>
      </c>
    </row>
    <row r="194" spans="1:21" x14ac:dyDescent="0.2">
      <c r="A194">
        <v>519</v>
      </c>
      <c r="B194" t="s">
        <v>858</v>
      </c>
      <c r="C194" t="s">
        <v>24</v>
      </c>
      <c r="D194" t="s">
        <v>859</v>
      </c>
      <c r="J194" t="s">
        <v>860</v>
      </c>
      <c r="K194" s="3">
        <v>540</v>
      </c>
      <c r="L194" s="2">
        <v>0</v>
      </c>
      <c r="M194" s="2">
        <f>+K194-L194</f>
        <v>540</v>
      </c>
      <c r="N194" s="2">
        <v>27</v>
      </c>
      <c r="O194" s="2">
        <v>0</v>
      </c>
      <c r="P194" s="2">
        <v>567</v>
      </c>
      <c r="Q194" t="s">
        <v>30</v>
      </c>
      <c r="S194" t="s">
        <v>27</v>
      </c>
      <c r="T194" s="8">
        <v>46003</v>
      </c>
      <c r="U194" s="7">
        <v>0.96009259259259261</v>
      </c>
    </row>
    <row r="195" spans="1:21" x14ac:dyDescent="0.2">
      <c r="A195">
        <v>520</v>
      </c>
      <c r="B195" t="s">
        <v>768</v>
      </c>
      <c r="C195" t="s">
        <v>24</v>
      </c>
      <c r="D195" t="s">
        <v>769</v>
      </c>
      <c r="J195" t="s">
        <v>202</v>
      </c>
      <c r="K195" s="3">
        <v>250</v>
      </c>
      <c r="L195" s="2">
        <v>0</v>
      </c>
      <c r="M195" s="2">
        <f>+K195-L195</f>
        <v>250</v>
      </c>
      <c r="N195" s="2">
        <v>12.5</v>
      </c>
      <c r="O195" s="2">
        <v>0.5</v>
      </c>
      <c r="P195" s="2">
        <v>263</v>
      </c>
      <c r="Q195" t="s">
        <v>40</v>
      </c>
      <c r="S195" t="s">
        <v>27</v>
      </c>
      <c r="T195" s="8">
        <v>46003</v>
      </c>
      <c r="U195" s="7">
        <v>0.96166666666666667</v>
      </c>
    </row>
    <row r="196" spans="1:21" x14ac:dyDescent="0.2">
      <c r="A196">
        <v>521</v>
      </c>
      <c r="B196" t="s">
        <v>54</v>
      </c>
      <c r="C196" t="s">
        <v>24</v>
      </c>
      <c r="J196" t="s">
        <v>857</v>
      </c>
      <c r="K196" s="3">
        <v>295</v>
      </c>
      <c r="L196" s="2">
        <v>0</v>
      </c>
      <c r="M196" s="2">
        <f>+K196-L196</f>
        <v>295</v>
      </c>
      <c r="N196" s="2">
        <v>14.76</v>
      </c>
      <c r="O196" s="2">
        <v>0.24</v>
      </c>
      <c r="P196" s="2">
        <v>310</v>
      </c>
      <c r="Q196" t="s">
        <v>40</v>
      </c>
      <c r="S196" t="s">
        <v>27</v>
      </c>
      <c r="T196" s="8">
        <v>46003</v>
      </c>
      <c r="U196" s="7">
        <v>0.9682291666666667</v>
      </c>
    </row>
    <row r="197" spans="1:21" x14ac:dyDescent="0.2">
      <c r="A197">
        <v>522</v>
      </c>
      <c r="B197" t="s">
        <v>38</v>
      </c>
      <c r="C197" t="s">
        <v>24</v>
      </c>
      <c r="D197" t="s">
        <v>855</v>
      </c>
      <c r="J197" t="s">
        <v>856</v>
      </c>
      <c r="K197" s="3">
        <v>715</v>
      </c>
      <c r="L197" s="2">
        <v>0</v>
      </c>
      <c r="M197" s="2">
        <f>+K197-L197</f>
        <v>715</v>
      </c>
      <c r="N197" s="2">
        <v>35.76</v>
      </c>
      <c r="O197" s="2">
        <v>0.24</v>
      </c>
      <c r="P197" s="2">
        <v>751</v>
      </c>
      <c r="Q197" t="s">
        <v>40</v>
      </c>
      <c r="S197" t="s">
        <v>27</v>
      </c>
      <c r="T197" s="8">
        <v>46003</v>
      </c>
      <c r="U197" s="7">
        <v>0.96861111111111109</v>
      </c>
    </row>
    <row r="198" spans="1:21" x14ac:dyDescent="0.2">
      <c r="A198">
        <v>523</v>
      </c>
      <c r="B198" t="s">
        <v>435</v>
      </c>
      <c r="C198" t="s">
        <v>24</v>
      </c>
      <c r="D198" t="s">
        <v>853</v>
      </c>
      <c r="J198" t="s">
        <v>854</v>
      </c>
      <c r="K198" s="3">
        <v>670</v>
      </c>
      <c r="L198" s="2">
        <v>0</v>
      </c>
      <c r="M198" s="2">
        <f>+K198-L198</f>
        <v>670</v>
      </c>
      <c r="N198" s="2">
        <v>33.5</v>
      </c>
      <c r="O198" s="2">
        <v>0.5</v>
      </c>
      <c r="P198" s="2">
        <v>704</v>
      </c>
      <c r="Q198" t="s">
        <v>30</v>
      </c>
      <c r="S198" t="s">
        <v>27</v>
      </c>
      <c r="T198" s="8">
        <v>46003</v>
      </c>
      <c r="U198" s="7">
        <v>0.98472222222222228</v>
      </c>
    </row>
    <row r="199" spans="1:21" x14ac:dyDescent="0.2">
      <c r="A199">
        <v>524</v>
      </c>
      <c r="B199" t="s">
        <v>850</v>
      </c>
      <c r="C199" t="s">
        <v>24</v>
      </c>
      <c r="D199" t="s">
        <v>851</v>
      </c>
      <c r="J199" t="s">
        <v>852</v>
      </c>
      <c r="K199" s="3">
        <v>0</v>
      </c>
      <c r="L199" s="2">
        <v>0</v>
      </c>
      <c r="M199" s="2">
        <f>+K199-L199</f>
        <v>0</v>
      </c>
      <c r="N199" s="2">
        <v>0</v>
      </c>
      <c r="O199" s="2">
        <v>0</v>
      </c>
      <c r="P199" s="2">
        <v>0</v>
      </c>
      <c r="Q199" t="s">
        <v>33</v>
      </c>
      <c r="S199" t="s">
        <v>27</v>
      </c>
      <c r="T199" s="8">
        <v>46003</v>
      </c>
      <c r="U199" s="7">
        <v>0.98493055555555553</v>
      </c>
    </row>
    <row r="200" spans="1:21" x14ac:dyDescent="0.2">
      <c r="A200">
        <v>525</v>
      </c>
      <c r="B200" t="s">
        <v>847</v>
      </c>
      <c r="C200" t="s">
        <v>24</v>
      </c>
      <c r="D200" t="s">
        <v>848</v>
      </c>
      <c r="J200" t="s">
        <v>849</v>
      </c>
      <c r="K200" s="3">
        <v>0</v>
      </c>
      <c r="L200" s="2">
        <v>0</v>
      </c>
      <c r="M200" s="2">
        <f>+K200-L200</f>
        <v>0</v>
      </c>
      <c r="N200" s="2">
        <v>0</v>
      </c>
      <c r="O200" s="2">
        <v>0</v>
      </c>
      <c r="P200" s="2">
        <v>0</v>
      </c>
      <c r="Q200" t="s">
        <v>33</v>
      </c>
      <c r="S200" t="s">
        <v>27</v>
      </c>
      <c r="T200" s="8">
        <v>46003</v>
      </c>
      <c r="U200" s="7">
        <v>0.9856597222222222</v>
      </c>
    </row>
    <row r="201" spans="1:21" x14ac:dyDescent="0.2">
      <c r="A201">
        <v>526</v>
      </c>
      <c r="B201" t="s">
        <v>845</v>
      </c>
      <c r="C201" t="s">
        <v>24</v>
      </c>
      <c r="J201" t="s">
        <v>846</v>
      </c>
      <c r="K201" s="3">
        <v>1370</v>
      </c>
      <c r="L201" s="2">
        <v>0</v>
      </c>
      <c r="M201" s="2">
        <f>+K201-L201</f>
        <v>1370</v>
      </c>
      <c r="N201" s="2">
        <v>68.5</v>
      </c>
      <c r="O201" s="2">
        <v>0.5</v>
      </c>
      <c r="P201" s="2">
        <v>1439</v>
      </c>
      <c r="Q201" t="s">
        <v>40</v>
      </c>
      <c r="S201" t="s">
        <v>27</v>
      </c>
      <c r="T201" s="8">
        <v>46003</v>
      </c>
      <c r="U201" s="7">
        <v>0.98856481481481484</v>
      </c>
    </row>
    <row r="202" spans="1:21" x14ac:dyDescent="0.2">
      <c r="A202">
        <v>527</v>
      </c>
      <c r="B202" t="s">
        <v>43</v>
      </c>
      <c r="C202" t="s">
        <v>24</v>
      </c>
      <c r="J202" t="s">
        <v>1226</v>
      </c>
      <c r="K202" s="3">
        <v>4300</v>
      </c>
      <c r="L202" s="2">
        <v>0</v>
      </c>
      <c r="M202" s="2">
        <f>+K202-L202</f>
        <v>4300</v>
      </c>
      <c r="N202" s="2">
        <v>215</v>
      </c>
      <c r="O202" s="2">
        <v>0</v>
      </c>
      <c r="P202" s="2">
        <v>4515</v>
      </c>
      <c r="Q202" t="s">
        <v>40</v>
      </c>
      <c r="S202" t="s">
        <v>27</v>
      </c>
      <c r="T202" s="8">
        <v>46003</v>
      </c>
      <c r="U202" s="7">
        <v>0.98962962962962964</v>
      </c>
    </row>
    <row r="203" spans="1:21" x14ac:dyDescent="0.2">
      <c r="A203">
        <v>528</v>
      </c>
      <c r="B203" t="s">
        <v>23</v>
      </c>
      <c r="C203" t="s">
        <v>24</v>
      </c>
      <c r="J203" t="s">
        <v>327</v>
      </c>
      <c r="K203" s="3">
        <v>240</v>
      </c>
      <c r="L203" s="2">
        <v>0</v>
      </c>
      <c r="M203" s="2">
        <f>+K203-L203</f>
        <v>240</v>
      </c>
      <c r="N203" s="2">
        <v>12</v>
      </c>
      <c r="O203" s="2">
        <v>0</v>
      </c>
      <c r="P203" s="2">
        <v>252</v>
      </c>
      <c r="Q203" t="s">
        <v>40</v>
      </c>
      <c r="R203" t="s">
        <v>844</v>
      </c>
      <c r="S203" t="s">
        <v>27</v>
      </c>
      <c r="T203" s="8">
        <v>46004</v>
      </c>
      <c r="U203" s="7">
        <v>0.51391203703703703</v>
      </c>
    </row>
    <row r="204" spans="1:21" x14ac:dyDescent="0.2">
      <c r="A204">
        <v>529</v>
      </c>
      <c r="B204" t="s">
        <v>47</v>
      </c>
      <c r="C204" t="s">
        <v>24</v>
      </c>
      <c r="J204" t="s">
        <v>843</v>
      </c>
      <c r="K204" s="3">
        <v>555</v>
      </c>
      <c r="L204" s="2">
        <v>0</v>
      </c>
      <c r="M204" s="2">
        <f>+K204-L204</f>
        <v>555</v>
      </c>
      <c r="N204" s="2">
        <v>27.76</v>
      </c>
      <c r="O204" s="2">
        <v>0.24</v>
      </c>
      <c r="P204" s="2">
        <v>583</v>
      </c>
      <c r="Q204" t="s">
        <v>33</v>
      </c>
      <c r="S204" t="s">
        <v>27</v>
      </c>
      <c r="T204" s="8">
        <v>46004</v>
      </c>
      <c r="U204" s="7">
        <v>0.54032407407407412</v>
      </c>
    </row>
    <row r="205" spans="1:21" x14ac:dyDescent="0.2">
      <c r="A205">
        <v>530</v>
      </c>
      <c r="B205" t="s">
        <v>52</v>
      </c>
      <c r="C205" t="s">
        <v>24</v>
      </c>
      <c r="J205" t="s">
        <v>842</v>
      </c>
      <c r="K205" s="3">
        <v>1120</v>
      </c>
      <c r="L205" s="2">
        <v>168</v>
      </c>
      <c r="M205" s="2">
        <f>+K205-L205</f>
        <v>952</v>
      </c>
      <c r="N205" s="2">
        <v>47.6</v>
      </c>
      <c r="O205" s="2">
        <v>0.4</v>
      </c>
      <c r="P205" s="2">
        <v>1000</v>
      </c>
      <c r="Q205" t="s">
        <v>30</v>
      </c>
      <c r="S205" t="s">
        <v>27</v>
      </c>
      <c r="T205" s="8">
        <v>46004</v>
      </c>
      <c r="U205" s="7">
        <v>0.5473958333333333</v>
      </c>
    </row>
    <row r="206" spans="1:21" x14ac:dyDescent="0.2">
      <c r="A206">
        <v>531</v>
      </c>
      <c r="B206" t="s">
        <v>58</v>
      </c>
      <c r="C206" t="s">
        <v>24</v>
      </c>
      <c r="J206" t="s">
        <v>841</v>
      </c>
      <c r="K206" s="3">
        <v>1505</v>
      </c>
      <c r="L206" s="2">
        <v>0</v>
      </c>
      <c r="M206" s="2">
        <f>+K206-L206</f>
        <v>1505</v>
      </c>
      <c r="N206" s="2">
        <v>75.260000000000005</v>
      </c>
      <c r="O206" s="2">
        <v>-0.26</v>
      </c>
      <c r="P206" s="2">
        <v>1580</v>
      </c>
      <c r="Q206" t="s">
        <v>40</v>
      </c>
      <c r="S206" t="s">
        <v>27</v>
      </c>
      <c r="T206" s="8">
        <v>46004</v>
      </c>
      <c r="U206" s="7">
        <v>0.56571759259259258</v>
      </c>
    </row>
    <row r="207" spans="1:21" x14ac:dyDescent="0.2">
      <c r="A207">
        <v>532</v>
      </c>
      <c r="B207" t="s">
        <v>839</v>
      </c>
      <c r="C207" t="s">
        <v>24</v>
      </c>
      <c r="D207" t="s">
        <v>840</v>
      </c>
      <c r="J207" t="s">
        <v>418</v>
      </c>
      <c r="K207" s="3">
        <v>280</v>
      </c>
      <c r="L207" s="2">
        <v>0</v>
      </c>
      <c r="M207" s="2">
        <f>+K207-L207</f>
        <v>280</v>
      </c>
      <c r="N207" s="2">
        <v>14</v>
      </c>
      <c r="O207" s="2">
        <v>0</v>
      </c>
      <c r="P207" s="2">
        <v>294</v>
      </c>
      <c r="Q207" t="s">
        <v>33</v>
      </c>
      <c r="S207" t="s">
        <v>27</v>
      </c>
      <c r="T207" s="8">
        <v>46004</v>
      </c>
      <c r="U207" s="7">
        <v>0.58011574074074079</v>
      </c>
    </row>
    <row r="208" spans="1:21" x14ac:dyDescent="0.2">
      <c r="A208">
        <v>533</v>
      </c>
      <c r="B208" t="s">
        <v>23</v>
      </c>
      <c r="C208" t="s">
        <v>24</v>
      </c>
      <c r="J208" t="s">
        <v>838</v>
      </c>
      <c r="K208" s="3">
        <v>1040</v>
      </c>
      <c r="L208" s="2">
        <v>0</v>
      </c>
      <c r="M208" s="2">
        <f>+K208-L208</f>
        <v>1040</v>
      </c>
      <c r="N208" s="2">
        <v>52</v>
      </c>
      <c r="O208" s="2">
        <v>0</v>
      </c>
      <c r="P208" s="2">
        <v>1092</v>
      </c>
      <c r="Q208" t="s">
        <v>40</v>
      </c>
      <c r="S208" t="s">
        <v>27</v>
      </c>
      <c r="T208" s="8">
        <v>46004</v>
      </c>
      <c r="U208" s="7">
        <v>0.58900462962962963</v>
      </c>
    </row>
    <row r="209" spans="1:21" x14ac:dyDescent="0.2">
      <c r="A209">
        <v>534</v>
      </c>
      <c r="B209" t="s">
        <v>835</v>
      </c>
      <c r="C209" t="s">
        <v>24</v>
      </c>
      <c r="D209" t="s">
        <v>836</v>
      </c>
      <c r="J209" t="s">
        <v>837</v>
      </c>
      <c r="K209" s="3">
        <v>615</v>
      </c>
      <c r="L209" s="2">
        <v>0</v>
      </c>
      <c r="M209" s="2">
        <f>+K209-L209</f>
        <v>615</v>
      </c>
      <c r="N209" s="2">
        <v>30.76</v>
      </c>
      <c r="O209" s="2">
        <v>0.24</v>
      </c>
      <c r="P209" s="2">
        <v>646</v>
      </c>
      <c r="Q209" t="s">
        <v>40</v>
      </c>
      <c r="S209" t="s">
        <v>27</v>
      </c>
      <c r="T209" s="8">
        <v>46004</v>
      </c>
      <c r="U209" s="7">
        <v>0.60332175925925924</v>
      </c>
    </row>
    <row r="210" spans="1:21" x14ac:dyDescent="0.2">
      <c r="A210">
        <v>535</v>
      </c>
      <c r="B210" t="s">
        <v>54</v>
      </c>
      <c r="C210" t="s">
        <v>24</v>
      </c>
      <c r="J210" t="s">
        <v>834</v>
      </c>
      <c r="K210" s="3">
        <v>750</v>
      </c>
      <c r="L210" s="2">
        <v>0</v>
      </c>
      <c r="M210" s="2">
        <f>+K210-L210</f>
        <v>750</v>
      </c>
      <c r="N210" s="2">
        <v>37.5</v>
      </c>
      <c r="O210" s="2">
        <v>0.5</v>
      </c>
      <c r="P210" s="2">
        <v>788</v>
      </c>
      <c r="Q210" t="s">
        <v>33</v>
      </c>
      <c r="S210" t="s">
        <v>27</v>
      </c>
      <c r="T210" s="8">
        <v>46004</v>
      </c>
      <c r="U210" s="7">
        <v>0.60454861111111113</v>
      </c>
    </row>
    <row r="211" spans="1:21" x14ac:dyDescent="0.2">
      <c r="A211">
        <v>536</v>
      </c>
      <c r="B211" t="s">
        <v>831</v>
      </c>
      <c r="C211" t="s">
        <v>24</v>
      </c>
      <c r="D211" t="s">
        <v>832</v>
      </c>
      <c r="J211" t="s">
        <v>833</v>
      </c>
      <c r="K211" s="3">
        <v>3200</v>
      </c>
      <c r="L211" s="2">
        <v>0</v>
      </c>
      <c r="M211" s="2">
        <f>+K211-L211</f>
        <v>3200</v>
      </c>
      <c r="N211" s="2">
        <v>160</v>
      </c>
      <c r="O211" s="2">
        <v>0</v>
      </c>
      <c r="P211" s="2">
        <v>3360</v>
      </c>
      <c r="Q211" t="s">
        <v>40</v>
      </c>
      <c r="S211" t="s">
        <v>27</v>
      </c>
      <c r="T211" s="8">
        <v>46004</v>
      </c>
      <c r="U211" s="7">
        <v>0.60991898148148149</v>
      </c>
    </row>
    <row r="212" spans="1:21" x14ac:dyDescent="0.2">
      <c r="A212">
        <v>537</v>
      </c>
      <c r="B212" t="s">
        <v>539</v>
      </c>
      <c r="C212" t="s">
        <v>24</v>
      </c>
      <c r="D212" t="s">
        <v>540</v>
      </c>
      <c r="J212" t="s">
        <v>830</v>
      </c>
      <c r="K212" s="3">
        <v>640</v>
      </c>
      <c r="L212" s="2">
        <v>0</v>
      </c>
      <c r="M212" s="2">
        <f>+K212-L212</f>
        <v>640</v>
      </c>
      <c r="N212" s="2">
        <v>32</v>
      </c>
      <c r="O212" s="2">
        <v>0</v>
      </c>
      <c r="P212" s="2">
        <v>672</v>
      </c>
      <c r="Q212" t="s">
        <v>40</v>
      </c>
      <c r="S212" t="s">
        <v>27</v>
      </c>
      <c r="T212" s="8">
        <v>46004</v>
      </c>
      <c r="U212" s="7">
        <v>0.64090277777777782</v>
      </c>
    </row>
    <row r="213" spans="1:21" x14ac:dyDescent="0.2">
      <c r="A213">
        <v>538</v>
      </c>
      <c r="B213" t="s">
        <v>52</v>
      </c>
      <c r="C213" t="s">
        <v>24</v>
      </c>
      <c r="J213" t="s">
        <v>376</v>
      </c>
      <c r="K213" s="3">
        <v>690</v>
      </c>
      <c r="L213" s="2">
        <v>103.5</v>
      </c>
      <c r="M213" s="2">
        <f>+K213-L213</f>
        <v>586.5</v>
      </c>
      <c r="N213" s="2">
        <v>29.32</v>
      </c>
      <c r="O213" s="2">
        <v>0.18</v>
      </c>
      <c r="P213" s="2">
        <v>616</v>
      </c>
      <c r="Q213" t="s">
        <v>40</v>
      </c>
      <c r="S213" t="s">
        <v>27</v>
      </c>
      <c r="T213" s="8">
        <v>46004</v>
      </c>
      <c r="U213" s="7">
        <v>0.65877314814814814</v>
      </c>
    </row>
    <row r="214" spans="1:21" x14ac:dyDescent="0.2">
      <c r="A214">
        <v>539</v>
      </c>
      <c r="B214" t="s">
        <v>828</v>
      </c>
      <c r="C214" t="s">
        <v>24</v>
      </c>
      <c r="J214" t="s">
        <v>829</v>
      </c>
      <c r="K214" s="3">
        <v>1420</v>
      </c>
      <c r="L214" s="2">
        <v>0</v>
      </c>
      <c r="M214" s="2">
        <f>+K214-L214</f>
        <v>1420</v>
      </c>
      <c r="N214" s="2">
        <v>71</v>
      </c>
      <c r="O214" s="2">
        <v>0</v>
      </c>
      <c r="P214" s="2">
        <v>1491</v>
      </c>
      <c r="Q214" t="s">
        <v>33</v>
      </c>
      <c r="S214" t="s">
        <v>27</v>
      </c>
      <c r="T214" s="8">
        <v>46004</v>
      </c>
      <c r="U214" s="7">
        <v>0.67906250000000001</v>
      </c>
    </row>
    <row r="215" spans="1:21" x14ac:dyDescent="0.2">
      <c r="A215">
        <v>540</v>
      </c>
      <c r="B215" t="s">
        <v>825</v>
      </c>
      <c r="C215" t="s">
        <v>24</v>
      </c>
      <c r="D215" t="s">
        <v>826</v>
      </c>
      <c r="J215" t="s">
        <v>827</v>
      </c>
      <c r="K215" s="3">
        <v>1600</v>
      </c>
      <c r="L215" s="2">
        <v>240</v>
      </c>
      <c r="M215" s="2">
        <f>+K215-L215</f>
        <v>1360</v>
      </c>
      <c r="N215" s="2">
        <v>68</v>
      </c>
      <c r="O215" s="2">
        <v>0</v>
      </c>
      <c r="P215" s="2">
        <v>1428</v>
      </c>
      <c r="Q215" t="s">
        <v>33</v>
      </c>
      <c r="S215" t="s">
        <v>27</v>
      </c>
      <c r="T215" s="8">
        <v>46004</v>
      </c>
      <c r="U215" s="7">
        <v>0.72642361111111109</v>
      </c>
    </row>
    <row r="216" spans="1:21" x14ac:dyDescent="0.2">
      <c r="A216">
        <v>541</v>
      </c>
      <c r="B216" t="s">
        <v>822</v>
      </c>
      <c r="C216" t="s">
        <v>24</v>
      </c>
      <c r="D216" t="s">
        <v>823</v>
      </c>
      <c r="J216" t="s">
        <v>824</v>
      </c>
      <c r="K216" s="3">
        <v>1390</v>
      </c>
      <c r="L216" s="2">
        <v>0</v>
      </c>
      <c r="M216" s="2">
        <f>+K216-L216</f>
        <v>1390</v>
      </c>
      <c r="N216" s="2">
        <v>69.5</v>
      </c>
      <c r="O216" s="2">
        <v>0.5</v>
      </c>
      <c r="P216" s="2">
        <v>1460</v>
      </c>
      <c r="Q216" t="s">
        <v>30</v>
      </c>
      <c r="S216" t="s">
        <v>27</v>
      </c>
      <c r="T216" s="8">
        <v>46004</v>
      </c>
      <c r="U216" s="7">
        <v>0.73704861111111108</v>
      </c>
    </row>
    <row r="217" spans="1:21" x14ac:dyDescent="0.2">
      <c r="A217">
        <v>542</v>
      </c>
      <c r="B217" t="s">
        <v>819</v>
      </c>
      <c r="C217" t="s">
        <v>24</v>
      </c>
      <c r="D217" t="s">
        <v>820</v>
      </c>
      <c r="J217" t="s">
        <v>821</v>
      </c>
      <c r="K217" s="3">
        <v>770</v>
      </c>
      <c r="L217" s="2">
        <v>115.5</v>
      </c>
      <c r="M217" s="2">
        <f>+K217-L217</f>
        <v>654.5</v>
      </c>
      <c r="N217" s="2">
        <v>32.72</v>
      </c>
      <c r="O217" s="2">
        <v>-0.22</v>
      </c>
      <c r="P217" s="2">
        <v>687</v>
      </c>
      <c r="Q217" t="s">
        <v>33</v>
      </c>
      <c r="S217" t="s">
        <v>27</v>
      </c>
      <c r="T217" s="8">
        <v>46004</v>
      </c>
      <c r="U217" s="7">
        <v>0.75070601851851848</v>
      </c>
    </row>
    <row r="218" spans="1:21" x14ac:dyDescent="0.2">
      <c r="A218">
        <v>543</v>
      </c>
      <c r="B218" t="s">
        <v>816</v>
      </c>
      <c r="C218" t="s">
        <v>24</v>
      </c>
      <c r="D218" t="s">
        <v>817</v>
      </c>
      <c r="J218" t="s">
        <v>818</v>
      </c>
      <c r="K218" s="3">
        <v>635</v>
      </c>
      <c r="L218" s="2">
        <v>0</v>
      </c>
      <c r="M218" s="2">
        <f>+K218-L218</f>
        <v>635</v>
      </c>
      <c r="N218" s="2">
        <v>31.76</v>
      </c>
      <c r="O218" s="2">
        <v>0.24</v>
      </c>
      <c r="P218" s="2">
        <v>667</v>
      </c>
      <c r="Q218" t="s">
        <v>40</v>
      </c>
      <c r="S218" t="s">
        <v>27</v>
      </c>
      <c r="T218" s="8">
        <v>46004</v>
      </c>
      <c r="U218" s="7">
        <v>0.76209490740740737</v>
      </c>
    </row>
    <row r="219" spans="1:21" x14ac:dyDescent="0.2">
      <c r="A219">
        <v>544</v>
      </c>
      <c r="B219" t="s">
        <v>813</v>
      </c>
      <c r="C219" t="s">
        <v>24</v>
      </c>
      <c r="D219" t="s">
        <v>814</v>
      </c>
      <c r="J219" t="s">
        <v>815</v>
      </c>
      <c r="K219" s="3">
        <v>1025</v>
      </c>
      <c r="L219" s="2">
        <v>0</v>
      </c>
      <c r="M219" s="2">
        <f>+K219-L219</f>
        <v>1025</v>
      </c>
      <c r="N219" s="2">
        <v>51.26</v>
      </c>
      <c r="O219" s="2">
        <v>-0.26</v>
      </c>
      <c r="P219" s="2">
        <v>1076</v>
      </c>
      <c r="Q219" t="s">
        <v>40</v>
      </c>
      <c r="S219" t="s">
        <v>27</v>
      </c>
      <c r="T219" s="8">
        <v>46004</v>
      </c>
      <c r="U219" s="7">
        <v>0.77510416666666671</v>
      </c>
    </row>
    <row r="220" spans="1:21" x14ac:dyDescent="0.2">
      <c r="A220">
        <v>545</v>
      </c>
      <c r="B220" t="s">
        <v>811</v>
      </c>
      <c r="C220" t="s">
        <v>24</v>
      </c>
      <c r="D220" t="s">
        <v>812</v>
      </c>
      <c r="J220" t="s">
        <v>1225</v>
      </c>
      <c r="K220" s="3">
        <v>3900</v>
      </c>
      <c r="L220" s="2">
        <v>0</v>
      </c>
      <c r="M220" s="2">
        <f>+K220-L220</f>
        <v>3900</v>
      </c>
      <c r="N220" s="2">
        <v>195</v>
      </c>
      <c r="O220" s="2">
        <v>0</v>
      </c>
      <c r="P220" s="2">
        <v>4095</v>
      </c>
      <c r="Q220" t="s">
        <v>40</v>
      </c>
      <c r="S220" t="s">
        <v>27</v>
      </c>
      <c r="T220" s="8">
        <v>46004</v>
      </c>
      <c r="U220" s="7">
        <v>0.78236111111111106</v>
      </c>
    </row>
    <row r="221" spans="1:21" x14ac:dyDescent="0.2">
      <c r="A221">
        <v>546</v>
      </c>
      <c r="B221" t="s">
        <v>808</v>
      </c>
      <c r="C221" t="s">
        <v>24</v>
      </c>
      <c r="D221" t="s">
        <v>809</v>
      </c>
      <c r="J221" t="s">
        <v>810</v>
      </c>
      <c r="K221" s="3">
        <v>750</v>
      </c>
      <c r="L221" s="2">
        <v>0</v>
      </c>
      <c r="M221" s="2">
        <f>+K221-L221</f>
        <v>750</v>
      </c>
      <c r="N221" s="2">
        <v>37.5</v>
      </c>
      <c r="O221" s="2">
        <v>0.5</v>
      </c>
      <c r="P221" s="2">
        <v>788</v>
      </c>
      <c r="Q221" t="s">
        <v>40</v>
      </c>
      <c r="S221" t="s">
        <v>27</v>
      </c>
      <c r="T221" s="8">
        <v>46004</v>
      </c>
      <c r="U221" s="7">
        <v>0.78668981481481481</v>
      </c>
    </row>
    <row r="222" spans="1:21" x14ac:dyDescent="0.2">
      <c r="A222">
        <v>547</v>
      </c>
      <c r="B222" t="s">
        <v>805</v>
      </c>
      <c r="C222" t="s">
        <v>24</v>
      </c>
      <c r="D222" t="s">
        <v>806</v>
      </c>
      <c r="J222" t="s">
        <v>807</v>
      </c>
      <c r="K222" s="3">
        <v>345</v>
      </c>
      <c r="L222" s="2">
        <v>0</v>
      </c>
      <c r="M222" s="2">
        <f>+K222-L222</f>
        <v>345</v>
      </c>
      <c r="N222" s="2">
        <v>17.260000000000002</v>
      </c>
      <c r="O222" s="2">
        <v>-0.26</v>
      </c>
      <c r="P222" s="2">
        <v>362</v>
      </c>
      <c r="Q222" t="s">
        <v>40</v>
      </c>
      <c r="S222" t="s">
        <v>27</v>
      </c>
      <c r="T222" s="8">
        <v>46004</v>
      </c>
      <c r="U222" s="7">
        <v>0.79432870370370368</v>
      </c>
    </row>
    <row r="223" spans="1:21" x14ac:dyDescent="0.2">
      <c r="A223">
        <v>548</v>
      </c>
      <c r="B223" t="s">
        <v>803</v>
      </c>
      <c r="C223" t="s">
        <v>24</v>
      </c>
      <c r="D223" t="s">
        <v>804</v>
      </c>
      <c r="J223" t="s">
        <v>378</v>
      </c>
      <c r="K223" s="3">
        <v>280</v>
      </c>
      <c r="L223" s="2">
        <v>0</v>
      </c>
      <c r="M223" s="2">
        <f>+K223-L223</f>
        <v>280</v>
      </c>
      <c r="N223" s="2">
        <v>14</v>
      </c>
      <c r="O223" s="2">
        <v>0</v>
      </c>
      <c r="P223" s="2">
        <v>294</v>
      </c>
      <c r="Q223" t="s">
        <v>40</v>
      </c>
      <c r="S223" t="s">
        <v>27</v>
      </c>
      <c r="T223" s="8">
        <v>46004</v>
      </c>
      <c r="U223" s="7">
        <v>0.79458333333333331</v>
      </c>
    </row>
    <row r="224" spans="1:21" x14ac:dyDescent="0.2">
      <c r="A224">
        <v>549</v>
      </c>
      <c r="B224" t="s">
        <v>800</v>
      </c>
      <c r="C224" t="s">
        <v>24</v>
      </c>
      <c r="D224" t="s">
        <v>801</v>
      </c>
      <c r="J224" t="s">
        <v>802</v>
      </c>
      <c r="K224" s="3">
        <v>1290</v>
      </c>
      <c r="L224" s="2">
        <v>0</v>
      </c>
      <c r="M224" s="2">
        <f>+K224-L224</f>
        <v>1290</v>
      </c>
      <c r="N224" s="2">
        <v>58.5</v>
      </c>
      <c r="O224" s="2">
        <v>0.5</v>
      </c>
      <c r="P224" s="2">
        <v>1349</v>
      </c>
      <c r="Q224" t="s">
        <v>40</v>
      </c>
      <c r="S224" t="s">
        <v>27</v>
      </c>
      <c r="T224" s="8">
        <v>46004</v>
      </c>
      <c r="U224" s="7">
        <v>0.79724537037037035</v>
      </c>
    </row>
    <row r="225" spans="1:21" x14ac:dyDescent="0.2">
      <c r="A225">
        <v>550</v>
      </c>
      <c r="B225" t="s">
        <v>797</v>
      </c>
      <c r="C225" t="s">
        <v>24</v>
      </c>
      <c r="D225" t="s">
        <v>798</v>
      </c>
      <c r="J225" t="s">
        <v>799</v>
      </c>
      <c r="K225" s="3">
        <v>885</v>
      </c>
      <c r="L225" s="2">
        <v>132.75</v>
      </c>
      <c r="M225" s="2">
        <f>+K225-L225</f>
        <v>752.25</v>
      </c>
      <c r="N225" s="2">
        <v>37.619999999999997</v>
      </c>
      <c r="O225" s="2">
        <v>0.13</v>
      </c>
      <c r="P225" s="2">
        <v>790</v>
      </c>
      <c r="Q225" t="s">
        <v>33</v>
      </c>
      <c r="S225" t="s">
        <v>27</v>
      </c>
      <c r="T225" s="8">
        <v>46004</v>
      </c>
      <c r="U225" s="7">
        <v>0.80065972222222226</v>
      </c>
    </row>
    <row r="226" spans="1:21" x14ac:dyDescent="0.2">
      <c r="A226">
        <v>551</v>
      </c>
      <c r="B226" t="s">
        <v>130</v>
      </c>
      <c r="C226" t="s">
        <v>24</v>
      </c>
      <c r="D226" t="s">
        <v>670</v>
      </c>
      <c r="J226" t="s">
        <v>796</v>
      </c>
      <c r="K226" s="3">
        <v>1505</v>
      </c>
      <c r="L226" s="2">
        <v>0</v>
      </c>
      <c r="M226" s="2">
        <f>+K226-L226</f>
        <v>1505</v>
      </c>
      <c r="N226" s="2">
        <v>75.260000000000005</v>
      </c>
      <c r="O226" s="2">
        <v>-0.26</v>
      </c>
      <c r="P226" s="2">
        <v>1580</v>
      </c>
      <c r="Q226" t="s">
        <v>30</v>
      </c>
      <c r="S226" t="s">
        <v>27</v>
      </c>
      <c r="T226" s="8">
        <v>46004</v>
      </c>
      <c r="U226" s="7">
        <v>0.84232638888888889</v>
      </c>
    </row>
    <row r="227" spans="1:21" x14ac:dyDescent="0.2">
      <c r="A227">
        <v>552</v>
      </c>
      <c r="B227" t="s">
        <v>153</v>
      </c>
      <c r="C227" t="s">
        <v>24</v>
      </c>
      <c r="D227" t="s">
        <v>794</v>
      </c>
      <c r="J227" t="s">
        <v>795</v>
      </c>
      <c r="K227" s="3">
        <v>1570</v>
      </c>
      <c r="L227" s="2">
        <v>0</v>
      </c>
      <c r="M227" s="2">
        <f>+K227-L227</f>
        <v>1570</v>
      </c>
      <c r="N227" s="2">
        <v>78.5</v>
      </c>
      <c r="O227" s="2">
        <v>0.5</v>
      </c>
      <c r="P227" s="2">
        <v>1649</v>
      </c>
      <c r="Q227" t="s">
        <v>40</v>
      </c>
      <c r="S227" t="s">
        <v>27</v>
      </c>
      <c r="T227" s="8">
        <v>46004</v>
      </c>
      <c r="U227" s="7">
        <v>0.85076388888888888</v>
      </c>
    </row>
    <row r="228" spans="1:21" x14ac:dyDescent="0.2">
      <c r="A228">
        <v>553</v>
      </c>
      <c r="B228" t="s">
        <v>791</v>
      </c>
      <c r="C228" t="s">
        <v>24</v>
      </c>
      <c r="D228" t="s">
        <v>792</v>
      </c>
      <c r="J228" t="s">
        <v>793</v>
      </c>
      <c r="K228" s="3">
        <v>1540</v>
      </c>
      <c r="L228" s="2">
        <v>0</v>
      </c>
      <c r="M228" s="2">
        <f>+K228-L228</f>
        <v>1540</v>
      </c>
      <c r="N228" s="2">
        <v>77</v>
      </c>
      <c r="O228" s="2">
        <v>0</v>
      </c>
      <c r="P228" s="2">
        <v>1617</v>
      </c>
      <c r="Q228" t="s">
        <v>30</v>
      </c>
      <c r="S228" t="s">
        <v>27</v>
      </c>
      <c r="T228" s="8">
        <v>46004</v>
      </c>
      <c r="U228" s="7">
        <v>0.87461805555555561</v>
      </c>
    </row>
    <row r="229" spans="1:21" x14ac:dyDescent="0.2">
      <c r="A229">
        <v>554</v>
      </c>
      <c r="B229" t="s">
        <v>331</v>
      </c>
      <c r="C229" t="s">
        <v>24</v>
      </c>
      <c r="D229" t="s">
        <v>789</v>
      </c>
      <c r="J229" t="s">
        <v>790</v>
      </c>
      <c r="K229" s="3">
        <v>1445</v>
      </c>
      <c r="L229" s="2">
        <v>0</v>
      </c>
      <c r="M229" s="2">
        <f>+K229-L229</f>
        <v>1445</v>
      </c>
      <c r="N229" s="2">
        <v>72.260000000000005</v>
      </c>
      <c r="O229" s="2">
        <v>-0.26</v>
      </c>
      <c r="P229" s="2">
        <v>1517</v>
      </c>
      <c r="Q229" t="s">
        <v>26</v>
      </c>
      <c r="S229" t="s">
        <v>27</v>
      </c>
      <c r="T229" s="8">
        <v>46004</v>
      </c>
      <c r="U229" s="7">
        <v>0.9176157407407407</v>
      </c>
    </row>
    <row r="230" spans="1:21" x14ac:dyDescent="0.2">
      <c r="A230">
        <v>555</v>
      </c>
      <c r="B230" t="s">
        <v>786</v>
      </c>
      <c r="C230" t="s">
        <v>24</v>
      </c>
      <c r="D230" t="s">
        <v>787</v>
      </c>
      <c r="J230" t="s">
        <v>788</v>
      </c>
      <c r="K230" s="3">
        <v>745</v>
      </c>
      <c r="L230" s="2">
        <v>0</v>
      </c>
      <c r="M230" s="2">
        <f>+K230-L230</f>
        <v>745</v>
      </c>
      <c r="N230" s="2">
        <v>37.26</v>
      </c>
      <c r="O230" s="2">
        <v>-0.26</v>
      </c>
      <c r="P230" s="2">
        <v>782</v>
      </c>
      <c r="Q230" t="s">
        <v>40</v>
      </c>
      <c r="S230" t="s">
        <v>27</v>
      </c>
      <c r="T230" s="8">
        <v>46004</v>
      </c>
      <c r="U230" s="7">
        <v>0.92299768518518521</v>
      </c>
    </row>
    <row r="231" spans="1:21" x14ac:dyDescent="0.2">
      <c r="A231">
        <v>556</v>
      </c>
      <c r="B231" t="s">
        <v>784</v>
      </c>
      <c r="C231" t="s">
        <v>24</v>
      </c>
      <c r="J231" t="s">
        <v>785</v>
      </c>
      <c r="K231" s="3">
        <v>1890</v>
      </c>
      <c r="L231" s="2">
        <v>0</v>
      </c>
      <c r="M231" s="2">
        <f>+K231-L231</f>
        <v>1890</v>
      </c>
      <c r="N231" s="2">
        <v>94.5</v>
      </c>
      <c r="O231" s="2">
        <v>0.5</v>
      </c>
      <c r="P231" s="2">
        <v>1985</v>
      </c>
      <c r="Q231" t="s">
        <v>26</v>
      </c>
      <c r="S231" t="s">
        <v>27</v>
      </c>
      <c r="T231" s="8">
        <v>46004</v>
      </c>
      <c r="U231" s="7">
        <v>0.93030092592592595</v>
      </c>
    </row>
    <row r="232" spans="1:21" x14ac:dyDescent="0.2">
      <c r="A232">
        <v>557</v>
      </c>
      <c r="B232" t="s">
        <v>783</v>
      </c>
      <c r="C232" t="s">
        <v>24</v>
      </c>
      <c r="J232" t="s">
        <v>327</v>
      </c>
      <c r="K232" s="3">
        <v>240</v>
      </c>
      <c r="L232" s="2">
        <v>0</v>
      </c>
      <c r="M232" s="2">
        <f>+K232-L232</f>
        <v>240</v>
      </c>
      <c r="N232" s="2">
        <v>12</v>
      </c>
      <c r="O232" s="2">
        <v>0</v>
      </c>
      <c r="P232" s="2">
        <v>252</v>
      </c>
      <c r="Q232" t="s">
        <v>40</v>
      </c>
      <c r="S232" t="s">
        <v>27</v>
      </c>
      <c r="T232" s="8">
        <v>46004</v>
      </c>
      <c r="U232" s="7">
        <v>0.93667824074074069</v>
      </c>
    </row>
    <row r="233" spans="1:21" x14ac:dyDescent="0.2">
      <c r="A233">
        <v>558</v>
      </c>
      <c r="B233" t="s">
        <v>781</v>
      </c>
      <c r="C233" t="s">
        <v>24</v>
      </c>
      <c r="D233" t="s">
        <v>782</v>
      </c>
      <c r="J233" t="s">
        <v>1224</v>
      </c>
      <c r="K233" s="3">
        <v>3266</v>
      </c>
      <c r="L233" s="2">
        <v>326.60000000000002</v>
      </c>
      <c r="M233" s="2">
        <f>+K233-L233</f>
        <v>2939.4</v>
      </c>
      <c r="N233" s="2">
        <v>226.08</v>
      </c>
      <c r="O233" s="2">
        <v>-0.48</v>
      </c>
      <c r="P233" s="2">
        <v>3165</v>
      </c>
      <c r="Q233" t="s">
        <v>40</v>
      </c>
      <c r="S233" t="s">
        <v>27</v>
      </c>
      <c r="T233" s="8">
        <v>46004</v>
      </c>
      <c r="U233" s="7">
        <v>0.94416666666666671</v>
      </c>
    </row>
    <row r="234" spans="1:21" x14ac:dyDescent="0.2">
      <c r="A234">
        <v>559</v>
      </c>
      <c r="B234" t="s">
        <v>779</v>
      </c>
      <c r="C234" t="s">
        <v>24</v>
      </c>
      <c r="J234" t="s">
        <v>780</v>
      </c>
      <c r="K234" s="3">
        <v>950</v>
      </c>
      <c r="L234" s="2">
        <v>0</v>
      </c>
      <c r="M234" s="2">
        <f>+K234-L234</f>
        <v>950</v>
      </c>
      <c r="N234" s="2">
        <v>47.5</v>
      </c>
      <c r="O234" s="2">
        <v>0.5</v>
      </c>
      <c r="P234" s="2">
        <v>998</v>
      </c>
      <c r="Q234" t="s">
        <v>40</v>
      </c>
      <c r="S234" t="s">
        <v>27</v>
      </c>
      <c r="T234" s="8">
        <v>46004</v>
      </c>
      <c r="U234" s="7">
        <v>0.95564814814814814</v>
      </c>
    </row>
    <row r="235" spans="1:21" x14ac:dyDescent="0.2">
      <c r="A235">
        <v>560</v>
      </c>
      <c r="B235" t="s">
        <v>776</v>
      </c>
      <c r="C235" t="s">
        <v>24</v>
      </c>
      <c r="D235" t="s">
        <v>777</v>
      </c>
      <c r="J235" t="s">
        <v>778</v>
      </c>
      <c r="K235" s="3">
        <v>535</v>
      </c>
      <c r="L235" s="2">
        <v>0</v>
      </c>
      <c r="M235" s="2">
        <f>+K235-L235</f>
        <v>535</v>
      </c>
      <c r="N235" s="2">
        <v>26.76</v>
      </c>
      <c r="O235" s="2">
        <v>0.24</v>
      </c>
      <c r="P235" s="2">
        <v>562</v>
      </c>
      <c r="Q235" t="s">
        <v>40</v>
      </c>
      <c r="S235" t="s">
        <v>27</v>
      </c>
      <c r="T235" s="8">
        <v>46004</v>
      </c>
      <c r="U235" s="7">
        <v>0.96144675925925926</v>
      </c>
    </row>
    <row r="236" spans="1:21" x14ac:dyDescent="0.2">
      <c r="A236">
        <v>561</v>
      </c>
      <c r="B236" t="s">
        <v>773</v>
      </c>
      <c r="C236" t="s">
        <v>24</v>
      </c>
      <c r="D236" t="s">
        <v>774</v>
      </c>
      <c r="J236" t="s">
        <v>775</v>
      </c>
      <c r="K236" s="3">
        <v>0</v>
      </c>
      <c r="L236" s="2">
        <v>0</v>
      </c>
      <c r="M236" s="2">
        <f>+K236-L236</f>
        <v>0</v>
      </c>
      <c r="N236" s="2">
        <v>0</v>
      </c>
      <c r="O236" s="2">
        <v>0</v>
      </c>
      <c r="P236" s="2">
        <v>0</v>
      </c>
      <c r="Q236" t="s">
        <v>33</v>
      </c>
      <c r="S236" t="s">
        <v>27</v>
      </c>
      <c r="T236" s="8">
        <v>46004</v>
      </c>
      <c r="U236" s="7">
        <v>0.96267361111111116</v>
      </c>
    </row>
    <row r="237" spans="1:21" x14ac:dyDescent="0.2">
      <c r="A237">
        <v>562</v>
      </c>
      <c r="B237" t="s">
        <v>770</v>
      </c>
      <c r="C237" t="s">
        <v>24</v>
      </c>
      <c r="D237" t="s">
        <v>771</v>
      </c>
      <c r="J237" t="s">
        <v>772</v>
      </c>
      <c r="K237" s="3">
        <v>565</v>
      </c>
      <c r="L237" s="2">
        <v>0</v>
      </c>
      <c r="M237" s="2">
        <f>+K237-L237</f>
        <v>565</v>
      </c>
      <c r="N237" s="2">
        <v>28.26</v>
      </c>
      <c r="O237" s="2">
        <v>-0.26</v>
      </c>
      <c r="P237" s="2">
        <v>593</v>
      </c>
      <c r="Q237" t="s">
        <v>40</v>
      </c>
      <c r="S237" t="s">
        <v>27</v>
      </c>
      <c r="T237" s="8">
        <v>46004</v>
      </c>
      <c r="U237" s="7">
        <v>0.96300925925925929</v>
      </c>
    </row>
    <row r="238" spans="1:21" x14ac:dyDescent="0.2">
      <c r="A238">
        <v>563</v>
      </c>
      <c r="B238" t="s">
        <v>768</v>
      </c>
      <c r="C238" t="s">
        <v>24</v>
      </c>
      <c r="D238" t="s">
        <v>769</v>
      </c>
      <c r="J238" t="s">
        <v>202</v>
      </c>
      <c r="K238" s="3">
        <v>0</v>
      </c>
      <c r="L238" s="2">
        <v>0</v>
      </c>
      <c r="M238" s="2">
        <f>+K238-L238</f>
        <v>0</v>
      </c>
      <c r="N238" s="2">
        <v>0</v>
      </c>
      <c r="O238" s="2">
        <v>0</v>
      </c>
      <c r="P238" s="2">
        <v>0</v>
      </c>
      <c r="Q238" t="s">
        <v>33</v>
      </c>
      <c r="S238" t="s">
        <v>27</v>
      </c>
      <c r="T238" s="8">
        <v>46004</v>
      </c>
      <c r="U238" s="7">
        <v>0.96342592592592591</v>
      </c>
    </row>
    <row r="239" spans="1:21" x14ac:dyDescent="0.2">
      <c r="A239">
        <v>564</v>
      </c>
      <c r="B239" t="s">
        <v>102</v>
      </c>
      <c r="C239" t="s">
        <v>24</v>
      </c>
      <c r="J239" t="s">
        <v>767</v>
      </c>
      <c r="K239" s="3">
        <v>200</v>
      </c>
      <c r="L239" s="2">
        <v>20</v>
      </c>
      <c r="M239" s="2">
        <f>+K239-L239</f>
        <v>180</v>
      </c>
      <c r="N239" s="2">
        <v>9</v>
      </c>
      <c r="O239" s="2">
        <v>0</v>
      </c>
      <c r="P239" s="2">
        <v>189</v>
      </c>
      <c r="Q239" t="s">
        <v>40</v>
      </c>
      <c r="S239" t="s">
        <v>27</v>
      </c>
      <c r="T239" s="8">
        <v>46004</v>
      </c>
      <c r="U239" s="7">
        <v>0.96531250000000002</v>
      </c>
    </row>
    <row r="240" spans="1:21" x14ac:dyDescent="0.2">
      <c r="A240">
        <v>565</v>
      </c>
      <c r="B240" t="s">
        <v>34</v>
      </c>
      <c r="C240" t="s">
        <v>24</v>
      </c>
      <c r="J240" t="s">
        <v>32</v>
      </c>
      <c r="K240" s="3">
        <v>0</v>
      </c>
      <c r="L240" s="2">
        <v>0</v>
      </c>
      <c r="M240" s="2">
        <f>+K240-L240</f>
        <v>0</v>
      </c>
      <c r="N240" s="2">
        <v>0</v>
      </c>
      <c r="O240" s="2">
        <v>0</v>
      </c>
      <c r="P240" s="2">
        <v>0</v>
      </c>
      <c r="Q240" t="s">
        <v>33</v>
      </c>
      <c r="S240" t="s">
        <v>27</v>
      </c>
      <c r="T240" s="8">
        <v>46004</v>
      </c>
      <c r="U240" s="7">
        <v>0.96556712962962965</v>
      </c>
    </row>
    <row r="241" spans="1:21" x14ac:dyDescent="0.2">
      <c r="A241">
        <v>566</v>
      </c>
      <c r="B241" t="s">
        <v>764</v>
      </c>
      <c r="C241" t="s">
        <v>24</v>
      </c>
      <c r="D241" t="s">
        <v>765</v>
      </c>
      <c r="J241" t="s">
        <v>766</v>
      </c>
      <c r="K241" s="3">
        <v>0</v>
      </c>
      <c r="L241" s="2">
        <v>0</v>
      </c>
      <c r="M241" s="2">
        <f>+K241-L241</f>
        <v>0</v>
      </c>
      <c r="N241" s="2">
        <v>0</v>
      </c>
      <c r="O241" s="2">
        <v>0</v>
      </c>
      <c r="P241" s="2">
        <v>0</v>
      </c>
      <c r="Q241" t="s">
        <v>33</v>
      </c>
      <c r="S241" t="s">
        <v>27</v>
      </c>
      <c r="T241" s="8">
        <v>46004</v>
      </c>
      <c r="U241" s="7">
        <v>0.96592592592592597</v>
      </c>
    </row>
    <row r="242" spans="1:21" x14ac:dyDescent="0.2">
      <c r="A242">
        <v>567</v>
      </c>
      <c r="B242" t="s">
        <v>82</v>
      </c>
      <c r="C242" t="s">
        <v>24</v>
      </c>
      <c r="D242" t="s">
        <v>671</v>
      </c>
      <c r="J242" t="s">
        <v>763</v>
      </c>
      <c r="K242" s="3">
        <v>1075</v>
      </c>
      <c r="L242" s="2">
        <v>0</v>
      </c>
      <c r="M242" s="2">
        <f>+K242-L242</f>
        <v>1075</v>
      </c>
      <c r="N242" s="2">
        <v>53.76</v>
      </c>
      <c r="O242" s="2">
        <v>0.24</v>
      </c>
      <c r="P242" s="2">
        <v>1129</v>
      </c>
      <c r="Q242" t="s">
        <v>30</v>
      </c>
      <c r="S242" t="s">
        <v>27</v>
      </c>
      <c r="T242" s="8">
        <v>46004</v>
      </c>
      <c r="U242" s="7">
        <v>0.96616898148148145</v>
      </c>
    </row>
    <row r="243" spans="1:21" x14ac:dyDescent="0.2">
      <c r="A243">
        <v>568</v>
      </c>
      <c r="B243" t="s">
        <v>43</v>
      </c>
      <c r="C243" t="s">
        <v>24</v>
      </c>
      <c r="J243" t="s">
        <v>762</v>
      </c>
      <c r="K243" s="3">
        <v>450</v>
      </c>
      <c r="L243" s="2">
        <v>0</v>
      </c>
      <c r="M243" s="2">
        <f>+K243-L243</f>
        <v>450</v>
      </c>
      <c r="N243" s="2">
        <v>22.5</v>
      </c>
      <c r="O243" s="2">
        <v>0.5</v>
      </c>
      <c r="P243" s="2">
        <v>473</v>
      </c>
      <c r="Q243" t="s">
        <v>33</v>
      </c>
      <c r="S243" t="s">
        <v>27</v>
      </c>
      <c r="T243" s="8">
        <v>46004</v>
      </c>
      <c r="U243" s="7">
        <v>0.96627314814814813</v>
      </c>
    </row>
    <row r="244" spans="1:21" x14ac:dyDescent="0.2">
      <c r="A244">
        <v>569</v>
      </c>
      <c r="B244" t="s">
        <v>512</v>
      </c>
      <c r="C244" t="s">
        <v>24</v>
      </c>
      <c r="D244" t="s">
        <v>761</v>
      </c>
      <c r="J244" t="s">
        <v>477</v>
      </c>
      <c r="K244" s="3">
        <v>590</v>
      </c>
      <c r="L244" s="2">
        <v>0</v>
      </c>
      <c r="M244" s="2">
        <f>+K244-L244</f>
        <v>590</v>
      </c>
      <c r="N244" s="2">
        <v>29.5</v>
      </c>
      <c r="O244" s="2">
        <v>0.5</v>
      </c>
      <c r="P244" s="2">
        <v>620</v>
      </c>
      <c r="Q244" t="s">
        <v>33</v>
      </c>
      <c r="S244" t="s">
        <v>27</v>
      </c>
      <c r="T244" s="8">
        <v>46004</v>
      </c>
      <c r="U244" s="7">
        <v>0.96630787037037036</v>
      </c>
    </row>
    <row r="245" spans="1:21" x14ac:dyDescent="0.2">
      <c r="A245">
        <v>570</v>
      </c>
      <c r="B245" t="s">
        <v>394</v>
      </c>
      <c r="C245" t="s">
        <v>24</v>
      </c>
      <c r="J245" t="s">
        <v>167</v>
      </c>
      <c r="K245" s="3">
        <v>338</v>
      </c>
      <c r="L245" s="2">
        <v>0</v>
      </c>
      <c r="M245" s="2">
        <f>+K245-L245</f>
        <v>338</v>
      </c>
      <c r="N245" s="2">
        <v>60.84</v>
      </c>
      <c r="O245" s="2">
        <v>0.16</v>
      </c>
      <c r="P245" s="2">
        <v>399</v>
      </c>
      <c r="Q245" t="s">
        <v>40</v>
      </c>
      <c r="S245" t="s">
        <v>27</v>
      </c>
      <c r="T245" s="8">
        <v>46004</v>
      </c>
      <c r="U245" s="7">
        <v>0.98233796296296294</v>
      </c>
    </row>
    <row r="246" spans="1:21" x14ac:dyDescent="0.2">
      <c r="A246">
        <v>571</v>
      </c>
      <c r="B246" t="s">
        <v>760</v>
      </c>
      <c r="C246" t="s">
        <v>24</v>
      </c>
      <c r="J246" t="s">
        <v>167</v>
      </c>
      <c r="K246" s="3">
        <v>169</v>
      </c>
      <c r="L246" s="2">
        <v>0</v>
      </c>
      <c r="M246" s="2">
        <f>+K246-L246</f>
        <v>169</v>
      </c>
      <c r="N246" s="2">
        <v>30.42</v>
      </c>
      <c r="O246" s="2">
        <v>-0.42</v>
      </c>
      <c r="P246" s="2">
        <v>199</v>
      </c>
      <c r="Q246" t="s">
        <v>40</v>
      </c>
      <c r="S246" t="s">
        <v>27</v>
      </c>
      <c r="T246" s="8">
        <v>46004</v>
      </c>
      <c r="U246" s="7">
        <v>0.98247685185185185</v>
      </c>
    </row>
    <row r="247" spans="1:21" x14ac:dyDescent="0.2">
      <c r="A247">
        <v>572</v>
      </c>
      <c r="B247" t="s">
        <v>759</v>
      </c>
      <c r="C247" t="s">
        <v>24</v>
      </c>
      <c r="J247" t="s">
        <v>167</v>
      </c>
      <c r="K247" s="3">
        <v>169</v>
      </c>
      <c r="L247" s="2">
        <v>0</v>
      </c>
      <c r="M247" s="2">
        <f>+K247-L247</f>
        <v>169</v>
      </c>
      <c r="N247" s="2">
        <v>30.42</v>
      </c>
      <c r="O247" s="2">
        <v>-0.42</v>
      </c>
      <c r="P247" s="2">
        <v>199</v>
      </c>
      <c r="Q247" t="s">
        <v>40</v>
      </c>
      <c r="S247" t="s">
        <v>27</v>
      </c>
      <c r="T247" s="8">
        <v>46004</v>
      </c>
      <c r="U247" s="7">
        <v>0.98259259259259257</v>
      </c>
    </row>
    <row r="248" spans="1:21" x14ac:dyDescent="0.2">
      <c r="A248">
        <v>573</v>
      </c>
      <c r="B248" t="s">
        <v>47</v>
      </c>
      <c r="C248" t="s">
        <v>24</v>
      </c>
      <c r="J248" t="s">
        <v>141</v>
      </c>
      <c r="K248" s="3">
        <v>220</v>
      </c>
      <c r="L248" s="2">
        <v>0</v>
      </c>
      <c r="M248" s="2">
        <f>+K248-L248</f>
        <v>220</v>
      </c>
      <c r="N248" s="2">
        <v>11</v>
      </c>
      <c r="O248" s="2">
        <v>0</v>
      </c>
      <c r="P248" s="2">
        <v>231</v>
      </c>
      <c r="Q248" t="s">
        <v>40</v>
      </c>
      <c r="S248" t="s">
        <v>27</v>
      </c>
      <c r="T248" s="8">
        <v>46005</v>
      </c>
      <c r="U248" s="7">
        <v>0.54957175925925927</v>
      </c>
    </row>
    <row r="249" spans="1:21" x14ac:dyDescent="0.2">
      <c r="A249">
        <v>574</v>
      </c>
      <c r="B249" t="s">
        <v>603</v>
      </c>
      <c r="C249" t="s">
        <v>24</v>
      </c>
      <c r="D249" t="s">
        <v>758</v>
      </c>
      <c r="J249" t="s">
        <v>141</v>
      </c>
      <c r="K249" s="3">
        <v>220</v>
      </c>
      <c r="L249" s="2">
        <v>0</v>
      </c>
      <c r="M249" s="2">
        <f>+K249-L249</f>
        <v>220</v>
      </c>
      <c r="N249" s="2">
        <v>11</v>
      </c>
      <c r="O249" s="2">
        <v>0</v>
      </c>
      <c r="P249" s="2">
        <v>231</v>
      </c>
      <c r="Q249" t="s">
        <v>33</v>
      </c>
      <c r="S249" t="s">
        <v>27</v>
      </c>
      <c r="T249" s="8">
        <v>46005</v>
      </c>
      <c r="U249" s="7">
        <v>0.56081018518518522</v>
      </c>
    </row>
    <row r="250" spans="1:21" x14ac:dyDescent="0.2">
      <c r="A250">
        <v>575</v>
      </c>
      <c r="B250" t="s">
        <v>755</v>
      </c>
      <c r="C250" t="s">
        <v>24</v>
      </c>
      <c r="D250" t="s">
        <v>756</v>
      </c>
      <c r="J250" t="s">
        <v>757</v>
      </c>
      <c r="K250" s="3">
        <v>1195</v>
      </c>
      <c r="L250" s="2">
        <v>0</v>
      </c>
      <c r="M250" s="2">
        <f>+K250-L250</f>
        <v>1195</v>
      </c>
      <c r="N250" s="2">
        <v>59.76</v>
      </c>
      <c r="O250" s="2">
        <v>0.24</v>
      </c>
      <c r="P250" s="2">
        <v>1255</v>
      </c>
      <c r="Q250" t="s">
        <v>30</v>
      </c>
      <c r="S250" t="s">
        <v>27</v>
      </c>
      <c r="T250" s="8">
        <v>46005</v>
      </c>
      <c r="U250" s="7">
        <v>0.59517361111111111</v>
      </c>
    </row>
    <row r="251" spans="1:21" x14ac:dyDescent="0.2">
      <c r="A251">
        <v>576</v>
      </c>
      <c r="B251" t="s">
        <v>752</v>
      </c>
      <c r="C251" t="s">
        <v>24</v>
      </c>
      <c r="D251" t="s">
        <v>753</v>
      </c>
      <c r="J251" t="s">
        <v>754</v>
      </c>
      <c r="K251" s="3">
        <v>860</v>
      </c>
      <c r="L251" s="2">
        <v>0</v>
      </c>
      <c r="M251" s="2">
        <f>+K251-L251</f>
        <v>860</v>
      </c>
      <c r="N251" s="2">
        <v>43</v>
      </c>
      <c r="O251" s="2">
        <v>0</v>
      </c>
      <c r="P251" s="2">
        <v>903</v>
      </c>
      <c r="Q251" t="s">
        <v>30</v>
      </c>
      <c r="S251" t="s">
        <v>27</v>
      </c>
      <c r="T251" s="8">
        <v>46005</v>
      </c>
      <c r="U251" s="7">
        <v>0.62151620370370375</v>
      </c>
    </row>
    <row r="252" spans="1:21" x14ac:dyDescent="0.2">
      <c r="A252">
        <v>577</v>
      </c>
      <c r="B252" t="s">
        <v>23</v>
      </c>
      <c r="C252" t="s">
        <v>24</v>
      </c>
      <c r="J252" t="s">
        <v>751</v>
      </c>
      <c r="K252" s="3">
        <v>845</v>
      </c>
      <c r="L252" s="2">
        <v>0</v>
      </c>
      <c r="M252" s="2">
        <f>+K252-L252</f>
        <v>845</v>
      </c>
      <c r="N252" s="2">
        <v>42.26</v>
      </c>
      <c r="O252" s="2">
        <v>-0.26</v>
      </c>
      <c r="P252" s="2">
        <v>887</v>
      </c>
      <c r="Q252" t="s">
        <v>40</v>
      </c>
      <c r="S252" t="s">
        <v>27</v>
      </c>
      <c r="T252" s="8">
        <v>46005</v>
      </c>
      <c r="U252" s="7">
        <v>0.63905092592592594</v>
      </c>
    </row>
    <row r="253" spans="1:21" x14ac:dyDescent="0.2">
      <c r="A253">
        <v>578</v>
      </c>
      <c r="B253" t="s">
        <v>750</v>
      </c>
      <c r="C253" t="s">
        <v>24</v>
      </c>
      <c r="J253" t="s">
        <v>260</v>
      </c>
      <c r="K253" s="3">
        <v>640</v>
      </c>
      <c r="L253" s="2">
        <v>0</v>
      </c>
      <c r="M253" s="2">
        <f>+K253-L253</f>
        <v>640</v>
      </c>
      <c r="N253" s="2">
        <v>32</v>
      </c>
      <c r="O253" s="2">
        <v>0</v>
      </c>
      <c r="P253" s="2">
        <v>672</v>
      </c>
      <c r="Q253" t="s">
        <v>30</v>
      </c>
      <c r="S253" t="s">
        <v>27</v>
      </c>
      <c r="T253" s="8">
        <v>46005</v>
      </c>
      <c r="U253" s="7">
        <v>0.66831018518518515</v>
      </c>
    </row>
    <row r="254" spans="1:21" x14ac:dyDescent="0.2">
      <c r="A254">
        <v>579</v>
      </c>
      <c r="B254" t="s">
        <v>490</v>
      </c>
      <c r="C254" t="s">
        <v>24</v>
      </c>
      <c r="J254" t="s">
        <v>749</v>
      </c>
      <c r="K254" s="3">
        <v>1455</v>
      </c>
      <c r="L254" s="2">
        <v>0</v>
      </c>
      <c r="M254" s="2">
        <f>+K254-L254</f>
        <v>1455</v>
      </c>
      <c r="N254" s="2">
        <v>72.760000000000005</v>
      </c>
      <c r="O254" s="2">
        <v>0.24</v>
      </c>
      <c r="P254" s="2">
        <v>1528</v>
      </c>
      <c r="Q254" t="s">
        <v>40</v>
      </c>
      <c r="S254" t="s">
        <v>27</v>
      </c>
      <c r="T254" s="8">
        <v>46005</v>
      </c>
      <c r="U254" s="7">
        <v>0.72377314814814819</v>
      </c>
    </row>
    <row r="255" spans="1:21" x14ac:dyDescent="0.2">
      <c r="A255">
        <v>580</v>
      </c>
      <c r="B255" t="s">
        <v>746</v>
      </c>
      <c r="C255" t="s">
        <v>24</v>
      </c>
      <c r="D255" t="s">
        <v>747</v>
      </c>
      <c r="J255" t="s">
        <v>748</v>
      </c>
      <c r="K255" s="3">
        <v>454</v>
      </c>
      <c r="L255" s="2">
        <v>0</v>
      </c>
      <c r="M255" s="2">
        <f>+K255-L255</f>
        <v>454</v>
      </c>
      <c r="N255" s="2">
        <v>21.26</v>
      </c>
      <c r="O255" s="2">
        <v>-0.26</v>
      </c>
      <c r="P255" s="2">
        <v>475</v>
      </c>
      <c r="Q255" t="s">
        <v>40</v>
      </c>
      <c r="S255" t="s">
        <v>27</v>
      </c>
      <c r="T255" s="8">
        <v>46005</v>
      </c>
      <c r="U255" s="7">
        <v>0.72782407407407412</v>
      </c>
    </row>
    <row r="256" spans="1:21" x14ac:dyDescent="0.2">
      <c r="A256">
        <v>581</v>
      </c>
      <c r="B256" t="s">
        <v>744</v>
      </c>
      <c r="C256" t="s">
        <v>24</v>
      </c>
      <c r="J256" t="s">
        <v>745</v>
      </c>
      <c r="K256" s="3">
        <v>499</v>
      </c>
      <c r="L256" s="2">
        <v>0</v>
      </c>
      <c r="M256" s="2">
        <f>+K256-L256</f>
        <v>499</v>
      </c>
      <c r="N256" s="2">
        <v>23.5</v>
      </c>
      <c r="O256" s="2">
        <v>0.5</v>
      </c>
      <c r="P256" s="2">
        <v>523</v>
      </c>
      <c r="Q256" t="s">
        <v>30</v>
      </c>
      <c r="S256" t="s">
        <v>27</v>
      </c>
      <c r="T256" s="8">
        <v>46005</v>
      </c>
      <c r="U256" s="7">
        <v>0.73284722222222221</v>
      </c>
    </row>
    <row r="257" spans="1:21" x14ac:dyDescent="0.2">
      <c r="A257">
        <v>582</v>
      </c>
      <c r="B257" t="s">
        <v>742</v>
      </c>
      <c r="C257" t="s">
        <v>24</v>
      </c>
      <c r="J257" t="s">
        <v>743</v>
      </c>
      <c r="K257" s="3">
        <v>780</v>
      </c>
      <c r="L257" s="2">
        <v>0</v>
      </c>
      <c r="M257" s="2">
        <f>+K257-L257</f>
        <v>780</v>
      </c>
      <c r="N257" s="2">
        <v>39</v>
      </c>
      <c r="O257" s="2">
        <v>0</v>
      </c>
      <c r="P257" s="2">
        <v>819</v>
      </c>
      <c r="Q257" t="s">
        <v>40</v>
      </c>
      <c r="S257" t="s">
        <v>27</v>
      </c>
      <c r="T257" s="8">
        <v>46005</v>
      </c>
      <c r="U257" s="7">
        <v>0.73725694444444445</v>
      </c>
    </row>
    <row r="258" spans="1:21" x14ac:dyDescent="0.2">
      <c r="A258">
        <v>583</v>
      </c>
      <c r="B258" t="s">
        <v>740</v>
      </c>
      <c r="C258" t="s">
        <v>24</v>
      </c>
      <c r="D258" t="s">
        <v>282</v>
      </c>
      <c r="E258">
        <v>9536971573</v>
      </c>
      <c r="J258" t="s">
        <v>741</v>
      </c>
      <c r="K258" s="3">
        <v>2440</v>
      </c>
      <c r="L258" s="2">
        <v>0</v>
      </c>
      <c r="M258" s="2">
        <f>+K258-L258</f>
        <v>2440</v>
      </c>
      <c r="N258" s="2">
        <v>122</v>
      </c>
      <c r="O258" s="2">
        <v>0</v>
      </c>
      <c r="P258" s="2">
        <v>2562</v>
      </c>
      <c r="Q258" t="s">
        <v>30</v>
      </c>
      <c r="S258" t="s">
        <v>27</v>
      </c>
      <c r="T258" s="8">
        <v>46005</v>
      </c>
      <c r="U258" s="7">
        <v>0.73906249999999996</v>
      </c>
    </row>
    <row r="259" spans="1:21" x14ac:dyDescent="0.2">
      <c r="A259">
        <v>584</v>
      </c>
      <c r="B259" t="s">
        <v>737</v>
      </c>
      <c r="C259" t="s">
        <v>24</v>
      </c>
      <c r="D259" t="s">
        <v>738</v>
      </c>
      <c r="J259" t="s">
        <v>739</v>
      </c>
      <c r="K259" s="3">
        <v>291</v>
      </c>
      <c r="L259" s="2">
        <v>0</v>
      </c>
      <c r="M259" s="2">
        <f>+K259-L259</f>
        <v>291</v>
      </c>
      <c r="N259" s="2">
        <v>52.38</v>
      </c>
      <c r="O259" s="2">
        <v>-0.38</v>
      </c>
      <c r="P259" s="2">
        <v>343</v>
      </c>
      <c r="Q259" t="s">
        <v>33</v>
      </c>
      <c r="S259" t="s">
        <v>27</v>
      </c>
      <c r="T259" s="8">
        <v>46005</v>
      </c>
      <c r="U259" s="7">
        <v>0.74210648148148151</v>
      </c>
    </row>
    <row r="260" spans="1:21" x14ac:dyDescent="0.2">
      <c r="A260">
        <v>585</v>
      </c>
      <c r="B260" t="s">
        <v>736</v>
      </c>
      <c r="C260" t="s">
        <v>24</v>
      </c>
      <c r="J260" t="s">
        <v>90</v>
      </c>
      <c r="K260" s="3">
        <v>325</v>
      </c>
      <c r="L260" s="2">
        <v>0</v>
      </c>
      <c r="M260" s="2">
        <f>+K260-L260</f>
        <v>325</v>
      </c>
      <c r="N260" s="2">
        <v>16.260000000000002</v>
      </c>
      <c r="O260" s="2">
        <v>-0.26</v>
      </c>
      <c r="P260" s="2">
        <v>341</v>
      </c>
      <c r="Q260" t="s">
        <v>33</v>
      </c>
      <c r="S260" t="s">
        <v>27</v>
      </c>
      <c r="T260" s="8">
        <v>46005</v>
      </c>
      <c r="U260" s="7">
        <v>0.74280092592592595</v>
      </c>
    </row>
    <row r="261" spans="1:21" x14ac:dyDescent="0.2">
      <c r="A261">
        <v>586</v>
      </c>
      <c r="B261" t="s">
        <v>734</v>
      </c>
      <c r="C261" t="s">
        <v>24</v>
      </c>
      <c r="J261" t="s">
        <v>735</v>
      </c>
      <c r="K261" s="3">
        <v>1175</v>
      </c>
      <c r="L261" s="2">
        <v>0</v>
      </c>
      <c r="M261" s="2">
        <f>+K261-L261</f>
        <v>1175</v>
      </c>
      <c r="N261" s="2">
        <v>58.76</v>
      </c>
      <c r="O261" s="2">
        <v>0.24</v>
      </c>
      <c r="P261" s="2">
        <v>1234</v>
      </c>
      <c r="Q261" t="s">
        <v>40</v>
      </c>
      <c r="S261" t="s">
        <v>27</v>
      </c>
      <c r="T261" s="8">
        <v>46005</v>
      </c>
      <c r="U261" s="7">
        <v>0.74577546296296293</v>
      </c>
    </row>
    <row r="262" spans="1:21" x14ac:dyDescent="0.2">
      <c r="A262">
        <v>587</v>
      </c>
      <c r="B262" t="s">
        <v>731</v>
      </c>
      <c r="C262" t="s">
        <v>24</v>
      </c>
      <c r="D262" t="s">
        <v>732</v>
      </c>
      <c r="J262" t="s">
        <v>733</v>
      </c>
      <c r="K262" s="3">
        <v>745</v>
      </c>
      <c r="L262" s="2">
        <v>0</v>
      </c>
      <c r="M262" s="2">
        <f>+K262-L262</f>
        <v>745</v>
      </c>
      <c r="N262" s="2">
        <v>37.26</v>
      </c>
      <c r="O262" s="2">
        <v>-0.26</v>
      </c>
      <c r="P262" s="2">
        <v>782</v>
      </c>
      <c r="Q262" t="s">
        <v>30</v>
      </c>
      <c r="S262" t="s">
        <v>27</v>
      </c>
      <c r="T262" s="8">
        <v>46005</v>
      </c>
      <c r="U262" s="7">
        <v>0.74740740740740741</v>
      </c>
    </row>
    <row r="263" spans="1:21" x14ac:dyDescent="0.2">
      <c r="A263">
        <v>588</v>
      </c>
      <c r="B263" t="s">
        <v>729</v>
      </c>
      <c r="C263" t="s">
        <v>24</v>
      </c>
      <c r="J263" t="s">
        <v>730</v>
      </c>
      <c r="K263" s="3">
        <v>1110</v>
      </c>
      <c r="L263" s="2">
        <v>0</v>
      </c>
      <c r="M263" s="2">
        <f>+K263-L263</f>
        <v>1110</v>
      </c>
      <c r="N263" s="2">
        <v>55.5</v>
      </c>
      <c r="O263" s="2">
        <v>0.5</v>
      </c>
      <c r="P263" s="2">
        <v>1166</v>
      </c>
      <c r="Q263" t="s">
        <v>26</v>
      </c>
      <c r="S263" t="s">
        <v>27</v>
      </c>
      <c r="T263" s="8">
        <v>46005</v>
      </c>
      <c r="U263" s="7">
        <v>0.74797453703703709</v>
      </c>
    </row>
    <row r="264" spans="1:21" x14ac:dyDescent="0.2">
      <c r="A264">
        <v>589</v>
      </c>
      <c r="B264" t="s">
        <v>727</v>
      </c>
      <c r="C264" t="s">
        <v>24</v>
      </c>
      <c r="J264" t="s">
        <v>728</v>
      </c>
      <c r="K264" s="3">
        <v>2180</v>
      </c>
      <c r="L264" s="2">
        <v>0</v>
      </c>
      <c r="M264" s="2">
        <f>+K264-L264</f>
        <v>2180</v>
      </c>
      <c r="N264" s="2">
        <v>104.5</v>
      </c>
      <c r="O264" s="2">
        <v>0.5</v>
      </c>
      <c r="P264" s="2">
        <v>2285</v>
      </c>
      <c r="Q264" t="s">
        <v>30</v>
      </c>
      <c r="S264" t="s">
        <v>27</v>
      </c>
      <c r="T264" s="8">
        <v>46005</v>
      </c>
      <c r="U264" s="7">
        <v>0.75334490740740745</v>
      </c>
    </row>
    <row r="265" spans="1:21" x14ac:dyDescent="0.2">
      <c r="A265">
        <v>590</v>
      </c>
      <c r="B265" t="s">
        <v>725</v>
      </c>
      <c r="C265" t="s">
        <v>24</v>
      </c>
      <c r="J265" t="s">
        <v>726</v>
      </c>
      <c r="K265" s="3">
        <v>1160</v>
      </c>
      <c r="L265" s="2">
        <v>0</v>
      </c>
      <c r="M265" s="2">
        <f>+K265-L265</f>
        <v>1160</v>
      </c>
      <c r="N265" s="2">
        <v>58</v>
      </c>
      <c r="O265" s="2">
        <v>0</v>
      </c>
      <c r="P265" s="2">
        <v>1218</v>
      </c>
      <c r="Q265" t="s">
        <v>40</v>
      </c>
      <c r="S265" t="s">
        <v>27</v>
      </c>
      <c r="T265" s="8">
        <v>46005</v>
      </c>
      <c r="U265" s="7">
        <v>0.77584490740740741</v>
      </c>
    </row>
    <row r="266" spans="1:21" x14ac:dyDescent="0.2">
      <c r="A266">
        <v>591</v>
      </c>
      <c r="B266" t="s">
        <v>394</v>
      </c>
      <c r="C266" t="s">
        <v>24</v>
      </c>
      <c r="J266" t="s">
        <v>724</v>
      </c>
      <c r="K266" s="3">
        <v>190</v>
      </c>
      <c r="L266" s="2">
        <v>0</v>
      </c>
      <c r="M266" s="2">
        <f>+K266-L266</f>
        <v>190</v>
      </c>
      <c r="N266" s="2">
        <v>9.5</v>
      </c>
      <c r="O266" s="2">
        <v>0.5</v>
      </c>
      <c r="P266" s="2">
        <v>200</v>
      </c>
      <c r="Q266" t="s">
        <v>33</v>
      </c>
      <c r="S266" t="s">
        <v>27</v>
      </c>
      <c r="T266" s="8">
        <v>46005</v>
      </c>
      <c r="U266" s="7">
        <v>0.80850694444444449</v>
      </c>
    </row>
    <row r="267" spans="1:21" x14ac:dyDescent="0.2">
      <c r="A267">
        <v>592</v>
      </c>
      <c r="B267" t="s">
        <v>100</v>
      </c>
      <c r="C267" t="s">
        <v>24</v>
      </c>
      <c r="J267" t="s">
        <v>723</v>
      </c>
      <c r="K267" s="3">
        <v>440</v>
      </c>
      <c r="L267" s="2">
        <v>0</v>
      </c>
      <c r="M267" s="2">
        <f>+K267-L267</f>
        <v>440</v>
      </c>
      <c r="N267" s="2">
        <v>22</v>
      </c>
      <c r="O267" s="2">
        <v>0</v>
      </c>
      <c r="P267" s="2">
        <v>462</v>
      </c>
      <c r="Q267" t="s">
        <v>26</v>
      </c>
      <c r="S267" t="s">
        <v>27</v>
      </c>
      <c r="T267" s="8">
        <v>46005</v>
      </c>
      <c r="U267" s="7">
        <v>0.81329861111111112</v>
      </c>
    </row>
    <row r="268" spans="1:21" x14ac:dyDescent="0.2">
      <c r="A268">
        <v>593</v>
      </c>
      <c r="B268" t="s">
        <v>708</v>
      </c>
      <c r="C268" t="s">
        <v>24</v>
      </c>
      <c r="J268" t="s">
        <v>722</v>
      </c>
      <c r="K268" s="3">
        <v>570</v>
      </c>
      <c r="L268" s="2">
        <v>0</v>
      </c>
      <c r="M268" s="2">
        <f>+K268-L268</f>
        <v>570</v>
      </c>
      <c r="N268" s="2">
        <v>28.5</v>
      </c>
      <c r="O268" s="2">
        <v>0.5</v>
      </c>
      <c r="P268" s="2">
        <v>599</v>
      </c>
      <c r="Q268" t="s">
        <v>30</v>
      </c>
      <c r="S268" t="s">
        <v>27</v>
      </c>
      <c r="T268" s="8">
        <v>46005</v>
      </c>
      <c r="U268" s="7">
        <v>0.8178009259259259</v>
      </c>
    </row>
    <row r="269" spans="1:21" x14ac:dyDescent="0.2">
      <c r="A269">
        <v>594</v>
      </c>
      <c r="B269" t="s">
        <v>720</v>
      </c>
      <c r="C269" t="s">
        <v>24</v>
      </c>
      <c r="J269" t="s">
        <v>721</v>
      </c>
      <c r="K269" s="3">
        <v>850</v>
      </c>
      <c r="L269" s="2">
        <v>0</v>
      </c>
      <c r="M269" s="2">
        <f>+K269-L269</f>
        <v>850</v>
      </c>
      <c r="N269" s="2">
        <v>42.5</v>
      </c>
      <c r="O269" s="2">
        <v>0.5</v>
      </c>
      <c r="P269" s="2">
        <v>893</v>
      </c>
      <c r="Q269" t="s">
        <v>40</v>
      </c>
      <c r="S269" t="s">
        <v>27</v>
      </c>
      <c r="T269" s="8">
        <v>46005</v>
      </c>
      <c r="U269" s="7">
        <v>0.82336805555555559</v>
      </c>
    </row>
    <row r="270" spans="1:21" x14ac:dyDescent="0.2">
      <c r="A270">
        <v>595</v>
      </c>
      <c r="B270" t="s">
        <v>294</v>
      </c>
      <c r="C270" t="s">
        <v>24</v>
      </c>
      <c r="J270" t="s">
        <v>719</v>
      </c>
      <c r="K270" s="3">
        <v>850</v>
      </c>
      <c r="L270" s="2">
        <v>0</v>
      </c>
      <c r="M270" s="2">
        <f>+K270-L270</f>
        <v>850</v>
      </c>
      <c r="N270" s="2">
        <v>42.5</v>
      </c>
      <c r="O270" s="2">
        <v>0.5</v>
      </c>
      <c r="P270" s="2">
        <v>893</v>
      </c>
      <c r="Q270" t="s">
        <v>30</v>
      </c>
      <c r="S270" t="s">
        <v>27</v>
      </c>
      <c r="T270" s="8">
        <v>46005</v>
      </c>
      <c r="U270" s="7">
        <v>0.82724537037037038</v>
      </c>
    </row>
    <row r="271" spans="1:21" x14ac:dyDescent="0.2">
      <c r="A271">
        <v>596</v>
      </c>
      <c r="B271" t="s">
        <v>716</v>
      </c>
      <c r="C271" t="s">
        <v>24</v>
      </c>
      <c r="D271" t="s">
        <v>717</v>
      </c>
      <c r="J271" t="s">
        <v>718</v>
      </c>
      <c r="K271" s="3">
        <v>2125</v>
      </c>
      <c r="L271" s="2">
        <v>0</v>
      </c>
      <c r="M271" s="2">
        <f>+K271-L271</f>
        <v>2125</v>
      </c>
      <c r="N271" s="2">
        <v>106.26</v>
      </c>
      <c r="O271" s="2">
        <v>-0.26</v>
      </c>
      <c r="P271" s="2">
        <v>2231</v>
      </c>
      <c r="Q271" t="s">
        <v>30</v>
      </c>
      <c r="S271" t="s">
        <v>27</v>
      </c>
      <c r="T271" s="8">
        <v>46005</v>
      </c>
      <c r="U271" s="7">
        <v>0.83094907407407403</v>
      </c>
    </row>
    <row r="272" spans="1:21" x14ac:dyDescent="0.2">
      <c r="A272">
        <v>597</v>
      </c>
      <c r="B272" t="s">
        <v>714</v>
      </c>
      <c r="C272" t="s">
        <v>24</v>
      </c>
      <c r="D272" t="s">
        <v>715</v>
      </c>
      <c r="J272" t="s">
        <v>1223</v>
      </c>
      <c r="K272" s="3">
        <v>3299</v>
      </c>
      <c r="L272" s="2">
        <v>0</v>
      </c>
      <c r="M272" s="2">
        <f>+K272-L272</f>
        <v>3299</v>
      </c>
      <c r="N272" s="2">
        <v>162.26</v>
      </c>
      <c r="O272" s="2">
        <v>-0.26</v>
      </c>
      <c r="P272" s="2">
        <v>3461</v>
      </c>
      <c r="Q272" t="s">
        <v>33</v>
      </c>
      <c r="S272" t="s">
        <v>27</v>
      </c>
      <c r="T272" s="8">
        <v>46005</v>
      </c>
      <c r="U272" s="7">
        <v>0.8566435185185185</v>
      </c>
    </row>
    <row r="273" spans="1:21" x14ac:dyDescent="0.2">
      <c r="A273">
        <v>598</v>
      </c>
      <c r="B273" t="s">
        <v>555</v>
      </c>
      <c r="C273" t="s">
        <v>24</v>
      </c>
      <c r="J273" t="s">
        <v>713</v>
      </c>
      <c r="K273" s="3">
        <v>960</v>
      </c>
      <c r="L273" s="2">
        <v>0</v>
      </c>
      <c r="M273" s="2">
        <f>+K273-L273</f>
        <v>960</v>
      </c>
      <c r="N273" s="2">
        <v>48</v>
      </c>
      <c r="O273" s="2">
        <v>0</v>
      </c>
      <c r="P273" s="2">
        <v>1008</v>
      </c>
      <c r="Q273" t="s">
        <v>40</v>
      </c>
      <c r="S273" t="s">
        <v>27</v>
      </c>
      <c r="T273" s="8">
        <v>46005</v>
      </c>
      <c r="U273" s="7">
        <v>0.85986111111111108</v>
      </c>
    </row>
    <row r="274" spans="1:21" x14ac:dyDescent="0.2">
      <c r="A274">
        <v>599</v>
      </c>
      <c r="B274" t="s">
        <v>539</v>
      </c>
      <c r="C274" t="s">
        <v>24</v>
      </c>
      <c r="J274" t="s">
        <v>712</v>
      </c>
      <c r="K274" s="3">
        <v>995</v>
      </c>
      <c r="L274" s="2">
        <v>0</v>
      </c>
      <c r="M274" s="2">
        <f>+K274-L274</f>
        <v>995</v>
      </c>
      <c r="N274" s="2">
        <v>49.76</v>
      </c>
      <c r="O274" s="2">
        <v>0.24</v>
      </c>
      <c r="P274" s="2">
        <v>1045</v>
      </c>
      <c r="Q274" t="s">
        <v>40</v>
      </c>
      <c r="S274" t="s">
        <v>27</v>
      </c>
      <c r="T274" s="8">
        <v>46005</v>
      </c>
      <c r="U274" s="7">
        <v>0.86214120370370373</v>
      </c>
    </row>
    <row r="275" spans="1:21" x14ac:dyDescent="0.2">
      <c r="A275">
        <v>600</v>
      </c>
      <c r="B275" t="s">
        <v>710</v>
      </c>
      <c r="C275" t="s">
        <v>24</v>
      </c>
      <c r="J275" t="s">
        <v>711</v>
      </c>
      <c r="K275" s="3">
        <v>1045</v>
      </c>
      <c r="L275" s="2">
        <v>0</v>
      </c>
      <c r="M275" s="2">
        <f>+K275-L275</f>
        <v>1045</v>
      </c>
      <c r="N275" s="2">
        <v>52.26</v>
      </c>
      <c r="O275" s="2">
        <v>-0.26</v>
      </c>
      <c r="P275" s="2">
        <v>1097</v>
      </c>
      <c r="Q275" t="s">
        <v>40</v>
      </c>
      <c r="S275" t="s">
        <v>27</v>
      </c>
      <c r="T275" s="8">
        <v>46005</v>
      </c>
      <c r="U275" s="7">
        <v>0.87885416666666671</v>
      </c>
    </row>
    <row r="276" spans="1:21" x14ac:dyDescent="0.2">
      <c r="A276">
        <v>601</v>
      </c>
      <c r="B276" t="s">
        <v>708</v>
      </c>
      <c r="C276" t="s">
        <v>24</v>
      </c>
      <c r="J276" t="s">
        <v>709</v>
      </c>
      <c r="K276" s="3">
        <v>430</v>
      </c>
      <c r="L276" s="2">
        <v>0</v>
      </c>
      <c r="M276" s="2">
        <f>+K276-L276</f>
        <v>430</v>
      </c>
      <c r="N276" s="2">
        <v>21.5</v>
      </c>
      <c r="O276" s="2">
        <v>0.5</v>
      </c>
      <c r="P276" s="2">
        <v>452</v>
      </c>
      <c r="Q276" t="s">
        <v>40</v>
      </c>
      <c r="S276" t="s">
        <v>27</v>
      </c>
      <c r="T276" s="8">
        <v>46005</v>
      </c>
      <c r="U276" s="7">
        <v>0.90090277777777783</v>
      </c>
    </row>
    <row r="277" spans="1:21" x14ac:dyDescent="0.2">
      <c r="A277">
        <v>602</v>
      </c>
      <c r="B277" t="s">
        <v>706</v>
      </c>
      <c r="C277" t="s">
        <v>24</v>
      </c>
      <c r="J277" t="s">
        <v>707</v>
      </c>
      <c r="K277" s="3">
        <v>700</v>
      </c>
      <c r="L277" s="2">
        <v>0</v>
      </c>
      <c r="M277" s="2">
        <f>+K277-L277</f>
        <v>700</v>
      </c>
      <c r="N277" s="2">
        <v>35</v>
      </c>
      <c r="O277" s="2">
        <v>0</v>
      </c>
      <c r="P277" s="2">
        <v>735</v>
      </c>
      <c r="Q277" t="s">
        <v>26</v>
      </c>
      <c r="S277" t="s">
        <v>27</v>
      </c>
      <c r="T277" s="8">
        <v>46005</v>
      </c>
      <c r="U277" s="7">
        <v>0.9029166666666667</v>
      </c>
    </row>
    <row r="278" spans="1:21" x14ac:dyDescent="0.2">
      <c r="A278">
        <v>603</v>
      </c>
      <c r="B278" t="s">
        <v>52</v>
      </c>
      <c r="C278" t="s">
        <v>24</v>
      </c>
      <c r="J278" t="s">
        <v>705</v>
      </c>
      <c r="K278" s="3">
        <v>1100</v>
      </c>
      <c r="L278" s="2">
        <v>0</v>
      </c>
      <c r="M278" s="2">
        <f>+K278-L278</f>
        <v>1100</v>
      </c>
      <c r="N278" s="2">
        <v>55</v>
      </c>
      <c r="O278" s="2">
        <v>0</v>
      </c>
      <c r="P278" s="2">
        <v>1155</v>
      </c>
      <c r="Q278" t="s">
        <v>40</v>
      </c>
      <c r="S278" t="s">
        <v>27</v>
      </c>
      <c r="T278" s="8">
        <v>46005</v>
      </c>
      <c r="U278" s="7">
        <v>0.91141203703703699</v>
      </c>
    </row>
    <row r="279" spans="1:21" x14ac:dyDescent="0.2">
      <c r="A279">
        <v>604</v>
      </c>
      <c r="B279" t="s">
        <v>102</v>
      </c>
      <c r="C279" t="s">
        <v>24</v>
      </c>
      <c r="J279" t="s">
        <v>704</v>
      </c>
      <c r="K279" s="3">
        <v>950</v>
      </c>
      <c r="L279" s="2">
        <v>0</v>
      </c>
      <c r="M279" s="2">
        <f>+K279-L279</f>
        <v>950</v>
      </c>
      <c r="N279" s="2">
        <v>47.5</v>
      </c>
      <c r="O279" s="2">
        <v>0.5</v>
      </c>
      <c r="P279" s="2">
        <v>998</v>
      </c>
      <c r="Q279" t="s">
        <v>40</v>
      </c>
      <c r="S279" t="s">
        <v>27</v>
      </c>
      <c r="T279" s="8">
        <v>46005</v>
      </c>
      <c r="U279" s="7">
        <v>0.92833333333333334</v>
      </c>
    </row>
    <row r="280" spans="1:21" x14ac:dyDescent="0.2">
      <c r="A280">
        <v>605</v>
      </c>
      <c r="B280" t="s">
        <v>43</v>
      </c>
      <c r="C280" t="s">
        <v>24</v>
      </c>
      <c r="J280" t="s">
        <v>703</v>
      </c>
      <c r="K280" s="3">
        <v>2690</v>
      </c>
      <c r="L280" s="2">
        <v>0</v>
      </c>
      <c r="M280" s="2">
        <f>+K280-L280</f>
        <v>2690</v>
      </c>
      <c r="N280" s="2">
        <v>134.5</v>
      </c>
      <c r="O280" s="2">
        <v>0.5</v>
      </c>
      <c r="P280" s="2">
        <v>2825</v>
      </c>
      <c r="Q280" t="s">
        <v>40</v>
      </c>
      <c r="S280" t="s">
        <v>27</v>
      </c>
      <c r="T280" s="8">
        <v>46005</v>
      </c>
      <c r="U280" s="7">
        <v>0.9521412037037037</v>
      </c>
    </row>
    <row r="281" spans="1:21" x14ac:dyDescent="0.2">
      <c r="A281">
        <v>606</v>
      </c>
      <c r="B281" t="s">
        <v>34</v>
      </c>
      <c r="C281" t="s">
        <v>24</v>
      </c>
      <c r="J281" t="s">
        <v>702</v>
      </c>
      <c r="K281" s="3">
        <v>0</v>
      </c>
      <c r="L281" s="2">
        <v>0</v>
      </c>
      <c r="M281" s="2">
        <f>+K281-L281</f>
        <v>0</v>
      </c>
      <c r="N281" s="2">
        <v>0</v>
      </c>
      <c r="O281" s="2">
        <v>0</v>
      </c>
      <c r="P281" s="2">
        <v>0</v>
      </c>
      <c r="Q281" t="s">
        <v>33</v>
      </c>
      <c r="S281" t="s">
        <v>27</v>
      </c>
      <c r="T281" s="8">
        <v>46005</v>
      </c>
      <c r="U281" s="7">
        <v>0.96402777777777782</v>
      </c>
    </row>
    <row r="282" spans="1:21" x14ac:dyDescent="0.2">
      <c r="A282">
        <v>607</v>
      </c>
      <c r="B282" t="s">
        <v>699</v>
      </c>
      <c r="C282" t="s">
        <v>24</v>
      </c>
      <c r="D282" t="s">
        <v>700</v>
      </c>
      <c r="J282" t="s">
        <v>701</v>
      </c>
      <c r="K282" s="3">
        <v>0</v>
      </c>
      <c r="L282" s="2">
        <v>0</v>
      </c>
      <c r="M282" s="2">
        <f>+K282-L282</f>
        <v>0</v>
      </c>
      <c r="N282" s="2">
        <v>0</v>
      </c>
      <c r="O282" s="2">
        <v>0</v>
      </c>
      <c r="P282" s="2">
        <v>0</v>
      </c>
      <c r="Q282" t="s">
        <v>33</v>
      </c>
      <c r="S282" t="s">
        <v>27</v>
      </c>
      <c r="T282" s="8">
        <v>46005</v>
      </c>
      <c r="U282" s="7">
        <v>0.96475694444444449</v>
      </c>
    </row>
    <row r="283" spans="1:21" x14ac:dyDescent="0.2">
      <c r="A283">
        <v>608</v>
      </c>
      <c r="B283" t="s">
        <v>58</v>
      </c>
      <c r="C283" t="s">
        <v>24</v>
      </c>
      <c r="J283" t="s">
        <v>32</v>
      </c>
      <c r="K283" s="3">
        <v>390</v>
      </c>
      <c r="L283" s="2">
        <v>0</v>
      </c>
      <c r="M283" s="2">
        <f>+K283-L283</f>
        <v>390</v>
      </c>
      <c r="N283" s="2">
        <v>19.5</v>
      </c>
      <c r="O283" s="2">
        <v>0.5</v>
      </c>
      <c r="P283" s="2">
        <v>410</v>
      </c>
      <c r="Q283" t="s">
        <v>30</v>
      </c>
      <c r="S283" t="s">
        <v>27</v>
      </c>
      <c r="T283" s="8">
        <v>46005</v>
      </c>
      <c r="U283" s="7">
        <v>0.97543981481481479</v>
      </c>
    </row>
    <row r="284" spans="1:21" x14ac:dyDescent="0.2">
      <c r="A284">
        <v>609</v>
      </c>
      <c r="B284" t="s">
        <v>54</v>
      </c>
      <c r="C284" t="s">
        <v>24</v>
      </c>
      <c r="J284" t="s">
        <v>698</v>
      </c>
      <c r="K284" s="3">
        <v>1980</v>
      </c>
      <c r="L284" s="2">
        <v>0</v>
      </c>
      <c r="M284" s="2">
        <f>+K284-L284</f>
        <v>1980</v>
      </c>
      <c r="N284" s="2">
        <v>99</v>
      </c>
      <c r="O284" s="2">
        <v>0</v>
      </c>
      <c r="P284" s="2">
        <v>2079</v>
      </c>
      <c r="Q284" t="s">
        <v>33</v>
      </c>
      <c r="S284" t="s">
        <v>27</v>
      </c>
      <c r="T284" s="8">
        <v>46005</v>
      </c>
      <c r="U284" s="7">
        <v>0.97662037037037042</v>
      </c>
    </row>
    <row r="285" spans="1:21" x14ac:dyDescent="0.2">
      <c r="A285">
        <v>610</v>
      </c>
      <c r="B285" t="s">
        <v>43</v>
      </c>
      <c r="C285" t="s">
        <v>24</v>
      </c>
      <c r="J285" t="s">
        <v>214</v>
      </c>
      <c r="K285" s="3">
        <v>295</v>
      </c>
      <c r="L285" s="2">
        <v>0</v>
      </c>
      <c r="M285" s="2">
        <f>+K285-L285</f>
        <v>295</v>
      </c>
      <c r="N285" s="2">
        <v>14.76</v>
      </c>
      <c r="O285" s="2">
        <v>0.24</v>
      </c>
      <c r="P285" s="2">
        <v>310</v>
      </c>
      <c r="Q285" t="s">
        <v>40</v>
      </c>
      <c r="S285" t="s">
        <v>27</v>
      </c>
      <c r="T285" s="8">
        <v>46006</v>
      </c>
      <c r="U285" s="7">
        <v>0.54469907407407403</v>
      </c>
    </row>
    <row r="286" spans="1:21" x14ac:dyDescent="0.2">
      <c r="A286">
        <v>611</v>
      </c>
      <c r="B286" t="s">
        <v>696</v>
      </c>
      <c r="C286" t="s">
        <v>24</v>
      </c>
      <c r="D286" t="s">
        <v>697</v>
      </c>
      <c r="J286" t="s">
        <v>76</v>
      </c>
      <c r="K286" s="3">
        <v>250</v>
      </c>
      <c r="L286" s="2">
        <v>0</v>
      </c>
      <c r="M286" s="2">
        <f>+K286-L286</f>
        <v>250</v>
      </c>
      <c r="N286" s="2">
        <v>12.5</v>
      </c>
      <c r="O286" s="2">
        <v>0.5</v>
      </c>
      <c r="P286" s="2">
        <v>263</v>
      </c>
      <c r="Q286" t="s">
        <v>40</v>
      </c>
      <c r="S286" t="s">
        <v>27</v>
      </c>
      <c r="T286" s="8">
        <v>46006</v>
      </c>
      <c r="U286" s="7">
        <v>0.56039351851851849</v>
      </c>
    </row>
    <row r="287" spans="1:21" x14ac:dyDescent="0.2">
      <c r="A287">
        <v>612</v>
      </c>
      <c r="B287" t="s">
        <v>693</v>
      </c>
      <c r="C287" t="s">
        <v>24</v>
      </c>
      <c r="D287" t="s">
        <v>694</v>
      </c>
      <c r="J287" t="s">
        <v>695</v>
      </c>
      <c r="K287" s="3">
        <v>1025</v>
      </c>
      <c r="L287" s="2">
        <v>0</v>
      </c>
      <c r="M287" s="2">
        <f>+K287-L287</f>
        <v>1025</v>
      </c>
      <c r="N287" s="2">
        <v>51.26</v>
      </c>
      <c r="O287" s="2">
        <v>-0.26</v>
      </c>
      <c r="P287" s="2">
        <v>1076</v>
      </c>
      <c r="Q287" t="s">
        <v>30</v>
      </c>
      <c r="S287" t="s">
        <v>27</v>
      </c>
      <c r="T287" s="8">
        <v>46006</v>
      </c>
      <c r="U287" s="7">
        <v>0.63048611111111108</v>
      </c>
    </row>
    <row r="288" spans="1:21" x14ac:dyDescent="0.2">
      <c r="A288">
        <v>613</v>
      </c>
      <c r="B288" t="s">
        <v>690</v>
      </c>
      <c r="C288" t="s">
        <v>24</v>
      </c>
      <c r="D288" t="s">
        <v>691</v>
      </c>
      <c r="J288" t="s">
        <v>692</v>
      </c>
      <c r="K288" s="3">
        <v>1795</v>
      </c>
      <c r="L288" s="2">
        <v>0</v>
      </c>
      <c r="M288" s="2">
        <f>+K288-L288</f>
        <v>1795</v>
      </c>
      <c r="N288" s="2">
        <v>89.76</v>
      </c>
      <c r="O288" s="2">
        <v>0.24</v>
      </c>
      <c r="P288" s="2">
        <v>1885</v>
      </c>
      <c r="Q288" t="s">
        <v>40</v>
      </c>
      <c r="S288" t="s">
        <v>27</v>
      </c>
      <c r="T288" s="8">
        <v>46006</v>
      </c>
      <c r="U288" s="7">
        <v>0.64165509259259257</v>
      </c>
    </row>
    <row r="289" spans="1:21" x14ac:dyDescent="0.2">
      <c r="A289">
        <v>614</v>
      </c>
      <c r="B289" t="s">
        <v>413</v>
      </c>
      <c r="C289" t="s">
        <v>24</v>
      </c>
      <c r="J289" t="s">
        <v>689</v>
      </c>
      <c r="K289" s="3">
        <v>735</v>
      </c>
      <c r="L289" s="2">
        <v>110.25</v>
      </c>
      <c r="M289" s="2">
        <f>+K289-L289</f>
        <v>624.75</v>
      </c>
      <c r="N289" s="2">
        <v>31.24</v>
      </c>
      <c r="O289" s="2">
        <v>0.01</v>
      </c>
      <c r="P289" s="2">
        <v>656</v>
      </c>
      <c r="Q289" t="s">
        <v>40</v>
      </c>
      <c r="S289" t="s">
        <v>27</v>
      </c>
      <c r="T289" s="8">
        <v>46006</v>
      </c>
      <c r="U289" s="7">
        <v>0.66773148148148154</v>
      </c>
    </row>
    <row r="290" spans="1:21" x14ac:dyDescent="0.2">
      <c r="A290">
        <v>615</v>
      </c>
      <c r="B290" t="s">
        <v>686</v>
      </c>
      <c r="C290" t="s">
        <v>24</v>
      </c>
      <c r="D290" t="s">
        <v>687</v>
      </c>
      <c r="J290" t="s">
        <v>688</v>
      </c>
      <c r="K290" s="3">
        <v>490</v>
      </c>
      <c r="L290" s="2">
        <v>0</v>
      </c>
      <c r="M290" s="2">
        <f>+K290-L290</f>
        <v>490</v>
      </c>
      <c r="N290" s="2">
        <v>24.5</v>
      </c>
      <c r="O290" s="2">
        <v>0.5</v>
      </c>
      <c r="P290" s="2">
        <v>515</v>
      </c>
      <c r="Q290" t="s">
        <v>40</v>
      </c>
      <c r="S290" t="s">
        <v>27</v>
      </c>
      <c r="T290" s="8">
        <v>46006</v>
      </c>
      <c r="U290" s="7">
        <v>0.74025462962962962</v>
      </c>
    </row>
    <row r="291" spans="1:21" x14ac:dyDescent="0.2">
      <c r="A291">
        <v>616</v>
      </c>
      <c r="B291" t="s">
        <v>54</v>
      </c>
      <c r="C291" t="s">
        <v>24</v>
      </c>
      <c r="J291" t="s">
        <v>685</v>
      </c>
      <c r="K291" s="3">
        <v>770</v>
      </c>
      <c r="L291" s="2">
        <v>0</v>
      </c>
      <c r="M291" s="2">
        <f>+K291-L291</f>
        <v>770</v>
      </c>
      <c r="N291" s="2">
        <v>38.5</v>
      </c>
      <c r="O291" s="2">
        <v>0.5</v>
      </c>
      <c r="P291" s="2">
        <v>809</v>
      </c>
      <c r="Q291" t="s">
        <v>33</v>
      </c>
      <c r="S291" t="s">
        <v>27</v>
      </c>
      <c r="T291" s="8">
        <v>46006</v>
      </c>
      <c r="U291" s="7">
        <v>0.74890046296296298</v>
      </c>
    </row>
    <row r="292" spans="1:21" x14ac:dyDescent="0.2">
      <c r="A292">
        <v>617</v>
      </c>
      <c r="B292" t="s">
        <v>682</v>
      </c>
      <c r="C292" t="s">
        <v>24</v>
      </c>
      <c r="D292" t="s">
        <v>683</v>
      </c>
      <c r="J292" t="s">
        <v>684</v>
      </c>
      <c r="K292" s="3">
        <v>705</v>
      </c>
      <c r="L292" s="2">
        <v>0</v>
      </c>
      <c r="M292" s="2">
        <f>+K292-L292</f>
        <v>705</v>
      </c>
      <c r="N292" s="2">
        <v>35.26</v>
      </c>
      <c r="O292" s="2">
        <v>-0.26</v>
      </c>
      <c r="P292" s="2">
        <v>740</v>
      </c>
      <c r="Q292" t="s">
        <v>33</v>
      </c>
      <c r="S292" t="s">
        <v>27</v>
      </c>
      <c r="T292" s="8">
        <v>46006</v>
      </c>
      <c r="U292" s="7">
        <v>0.79077546296296297</v>
      </c>
    </row>
    <row r="293" spans="1:21" x14ac:dyDescent="0.2">
      <c r="A293">
        <v>618</v>
      </c>
      <c r="B293" t="s">
        <v>679</v>
      </c>
      <c r="C293" t="s">
        <v>24</v>
      </c>
      <c r="D293" t="s">
        <v>680</v>
      </c>
      <c r="J293" t="s">
        <v>681</v>
      </c>
      <c r="K293" s="3">
        <v>1550</v>
      </c>
      <c r="L293" s="2">
        <v>0</v>
      </c>
      <c r="M293" s="2">
        <f>+K293-L293</f>
        <v>1550</v>
      </c>
      <c r="N293" s="2">
        <v>77.5</v>
      </c>
      <c r="O293" s="2">
        <v>0.5</v>
      </c>
      <c r="P293" s="2">
        <v>1628</v>
      </c>
      <c r="Q293" t="s">
        <v>30</v>
      </c>
      <c r="S293" t="s">
        <v>27</v>
      </c>
      <c r="T293" s="8">
        <v>46006</v>
      </c>
      <c r="U293" s="7">
        <v>0.79803240740740744</v>
      </c>
    </row>
    <row r="294" spans="1:21" x14ac:dyDescent="0.2">
      <c r="A294">
        <v>619</v>
      </c>
      <c r="B294" t="s">
        <v>676</v>
      </c>
      <c r="C294" t="s">
        <v>24</v>
      </c>
      <c r="D294" t="s">
        <v>677</v>
      </c>
      <c r="J294" t="s">
        <v>678</v>
      </c>
      <c r="K294" s="3">
        <v>1390</v>
      </c>
      <c r="L294" s="2">
        <v>208.5</v>
      </c>
      <c r="M294" s="2">
        <f>+K294-L294</f>
        <v>1181.5</v>
      </c>
      <c r="N294" s="2">
        <v>59.08</v>
      </c>
      <c r="O294" s="2">
        <v>0.42</v>
      </c>
      <c r="P294" s="2">
        <v>1241</v>
      </c>
      <c r="Q294" t="s">
        <v>33</v>
      </c>
      <c r="S294" t="s">
        <v>27</v>
      </c>
      <c r="T294" s="8">
        <v>46006</v>
      </c>
      <c r="U294" s="7">
        <v>0.81752314814814819</v>
      </c>
    </row>
    <row r="295" spans="1:21" x14ac:dyDescent="0.2">
      <c r="A295">
        <v>620</v>
      </c>
      <c r="B295" t="s">
        <v>31</v>
      </c>
      <c r="C295" t="s">
        <v>24</v>
      </c>
      <c r="J295" t="s">
        <v>675</v>
      </c>
      <c r="K295" s="3">
        <v>0</v>
      </c>
      <c r="L295" s="2">
        <v>0</v>
      </c>
      <c r="M295" s="2">
        <f>+K295-L295</f>
        <v>0</v>
      </c>
      <c r="N295" s="2">
        <v>0</v>
      </c>
      <c r="O295" s="2">
        <v>0</v>
      </c>
      <c r="P295" s="2">
        <v>0</v>
      </c>
      <c r="Q295" t="s">
        <v>33</v>
      </c>
      <c r="S295" t="s">
        <v>27</v>
      </c>
      <c r="T295" s="8">
        <v>46006</v>
      </c>
      <c r="U295" s="7">
        <v>0.93331018518518516</v>
      </c>
    </row>
    <row r="296" spans="1:21" x14ac:dyDescent="0.2">
      <c r="A296">
        <v>621</v>
      </c>
      <c r="B296" t="s">
        <v>36</v>
      </c>
      <c r="C296" t="s">
        <v>24</v>
      </c>
      <c r="J296" t="s">
        <v>674</v>
      </c>
      <c r="K296" s="3">
        <v>0</v>
      </c>
      <c r="L296" s="2">
        <v>0</v>
      </c>
      <c r="M296" s="2">
        <f>+K296-L296</f>
        <v>0</v>
      </c>
      <c r="N296" s="2">
        <v>0</v>
      </c>
      <c r="O296" s="2">
        <v>0</v>
      </c>
      <c r="P296" s="2">
        <v>0</v>
      </c>
      <c r="Q296" t="s">
        <v>33</v>
      </c>
      <c r="S296" t="s">
        <v>27</v>
      </c>
      <c r="T296" s="8">
        <v>46006</v>
      </c>
      <c r="U296" s="7">
        <v>0.96181712962962962</v>
      </c>
    </row>
    <row r="297" spans="1:21" x14ac:dyDescent="0.2">
      <c r="A297">
        <v>622</v>
      </c>
      <c r="B297" t="s">
        <v>54</v>
      </c>
      <c r="C297" t="s">
        <v>24</v>
      </c>
      <c r="J297" t="s">
        <v>673</v>
      </c>
      <c r="K297" s="3">
        <v>1345</v>
      </c>
      <c r="L297" s="2">
        <v>0</v>
      </c>
      <c r="M297" s="2">
        <f>+K297-L297</f>
        <v>1345</v>
      </c>
      <c r="N297" s="2">
        <v>67.260000000000005</v>
      </c>
      <c r="O297" s="2">
        <v>-0.26</v>
      </c>
      <c r="P297" s="2">
        <v>1412</v>
      </c>
      <c r="Q297" t="s">
        <v>30</v>
      </c>
      <c r="S297" t="s">
        <v>27</v>
      </c>
      <c r="T297" s="8">
        <v>46006</v>
      </c>
      <c r="U297" s="7">
        <v>0.96211805555555552</v>
      </c>
    </row>
    <row r="298" spans="1:21" x14ac:dyDescent="0.2">
      <c r="A298">
        <v>623</v>
      </c>
      <c r="B298" t="s">
        <v>82</v>
      </c>
      <c r="C298" t="s">
        <v>24</v>
      </c>
      <c r="D298" t="s">
        <v>671</v>
      </c>
      <c r="J298" t="s">
        <v>672</v>
      </c>
      <c r="K298" s="3">
        <v>689</v>
      </c>
      <c r="L298" s="2">
        <v>0</v>
      </c>
      <c r="M298" s="2">
        <f>+K298-L298</f>
        <v>689</v>
      </c>
      <c r="N298" s="2">
        <v>34.46</v>
      </c>
      <c r="O298" s="2">
        <v>-0.46</v>
      </c>
      <c r="P298" s="2">
        <v>723</v>
      </c>
      <c r="Q298" t="s">
        <v>30</v>
      </c>
      <c r="S298" t="s">
        <v>27</v>
      </c>
      <c r="T298" s="8">
        <v>46006</v>
      </c>
      <c r="U298" s="7">
        <v>0.96800925925925929</v>
      </c>
    </row>
    <row r="299" spans="1:21" x14ac:dyDescent="0.2">
      <c r="A299">
        <v>624</v>
      </c>
      <c r="B299" t="s">
        <v>130</v>
      </c>
      <c r="C299" t="s">
        <v>24</v>
      </c>
      <c r="D299" t="s">
        <v>670</v>
      </c>
      <c r="J299" t="s">
        <v>1222</v>
      </c>
      <c r="K299" s="3">
        <v>4999</v>
      </c>
      <c r="L299" s="2">
        <v>749.85</v>
      </c>
      <c r="M299" s="2">
        <f>+K299-L299</f>
        <v>4249.1499999999996</v>
      </c>
      <c r="N299" s="2">
        <v>206.12</v>
      </c>
      <c r="O299" s="2">
        <v>-0.27</v>
      </c>
      <c r="P299" s="2">
        <v>4455</v>
      </c>
      <c r="Q299" t="s">
        <v>40</v>
      </c>
      <c r="S299" t="s">
        <v>27</v>
      </c>
      <c r="T299" s="8">
        <v>46007</v>
      </c>
      <c r="U299" s="7">
        <v>0.55496527777777782</v>
      </c>
    </row>
    <row r="300" spans="1:21" x14ac:dyDescent="0.2">
      <c r="A300">
        <v>625</v>
      </c>
      <c r="B300" t="s">
        <v>394</v>
      </c>
      <c r="C300" t="s">
        <v>24</v>
      </c>
      <c r="D300" t="s">
        <v>669</v>
      </c>
      <c r="J300" t="s">
        <v>288</v>
      </c>
      <c r="K300" s="3">
        <v>190</v>
      </c>
      <c r="L300" s="2">
        <v>0</v>
      </c>
      <c r="M300" s="2">
        <f>+K300-L300</f>
        <v>190</v>
      </c>
      <c r="N300" s="2">
        <v>9.5</v>
      </c>
      <c r="O300" s="2">
        <v>0.5</v>
      </c>
      <c r="P300" s="2">
        <v>200</v>
      </c>
      <c r="Q300" t="s">
        <v>40</v>
      </c>
      <c r="S300" t="s">
        <v>27</v>
      </c>
      <c r="T300" s="8">
        <v>46007</v>
      </c>
      <c r="U300" s="7">
        <v>0.62732638888888892</v>
      </c>
    </row>
    <row r="301" spans="1:21" x14ac:dyDescent="0.2">
      <c r="A301">
        <v>626</v>
      </c>
      <c r="B301" t="s">
        <v>667</v>
      </c>
      <c r="C301" t="s">
        <v>24</v>
      </c>
      <c r="J301" t="s">
        <v>668</v>
      </c>
      <c r="K301" s="3">
        <v>650</v>
      </c>
      <c r="L301" s="2">
        <v>0</v>
      </c>
      <c r="M301" s="2">
        <f>+K301-L301</f>
        <v>650</v>
      </c>
      <c r="N301" s="2">
        <v>32.5</v>
      </c>
      <c r="O301" s="2">
        <v>0.5</v>
      </c>
      <c r="P301" s="2">
        <v>683</v>
      </c>
      <c r="Q301" t="s">
        <v>30</v>
      </c>
      <c r="S301" t="s">
        <v>27</v>
      </c>
      <c r="T301" s="8">
        <v>46007</v>
      </c>
      <c r="U301" s="7">
        <v>0.76355324074074071</v>
      </c>
    </row>
    <row r="302" spans="1:21" x14ac:dyDescent="0.2">
      <c r="A302">
        <v>627</v>
      </c>
      <c r="B302" t="s">
        <v>43</v>
      </c>
      <c r="C302" t="s">
        <v>24</v>
      </c>
      <c r="J302" t="s">
        <v>666</v>
      </c>
      <c r="K302" s="3">
        <v>1220</v>
      </c>
      <c r="L302" s="2">
        <v>0</v>
      </c>
      <c r="M302" s="2">
        <f>+K302-L302</f>
        <v>1220</v>
      </c>
      <c r="N302" s="2">
        <v>61</v>
      </c>
      <c r="O302" s="2">
        <v>0</v>
      </c>
      <c r="P302" s="2">
        <v>1281</v>
      </c>
      <c r="Q302" t="s">
        <v>30</v>
      </c>
      <c r="S302" t="s">
        <v>27</v>
      </c>
      <c r="T302" s="8">
        <v>46007</v>
      </c>
      <c r="U302" s="7">
        <v>0.78690972222222222</v>
      </c>
    </row>
    <row r="303" spans="1:21" x14ac:dyDescent="0.2">
      <c r="A303">
        <v>628</v>
      </c>
      <c r="B303" t="s">
        <v>23</v>
      </c>
      <c r="C303" t="s">
        <v>24</v>
      </c>
      <c r="J303" t="s">
        <v>665</v>
      </c>
      <c r="K303" s="3">
        <v>705</v>
      </c>
      <c r="L303" s="2">
        <v>0</v>
      </c>
      <c r="M303" s="2">
        <f>+K303-L303</f>
        <v>705</v>
      </c>
      <c r="N303" s="2">
        <v>35.26</v>
      </c>
      <c r="O303" s="2">
        <v>-0.26</v>
      </c>
      <c r="P303" s="2">
        <v>740</v>
      </c>
      <c r="Q303" t="s">
        <v>40</v>
      </c>
      <c r="S303" t="s">
        <v>27</v>
      </c>
      <c r="T303" s="8">
        <v>46007</v>
      </c>
      <c r="U303" s="7">
        <v>0.79288194444444449</v>
      </c>
    </row>
    <row r="304" spans="1:21" x14ac:dyDescent="0.2">
      <c r="A304">
        <v>629</v>
      </c>
      <c r="B304" t="s">
        <v>45</v>
      </c>
      <c r="C304" t="s">
        <v>24</v>
      </c>
      <c r="J304" t="s">
        <v>664</v>
      </c>
      <c r="K304" s="3">
        <v>2940</v>
      </c>
      <c r="L304" s="2">
        <v>441</v>
      </c>
      <c r="M304" s="2">
        <f>+K304-L304</f>
        <v>2499</v>
      </c>
      <c r="N304" s="2">
        <v>124.96</v>
      </c>
      <c r="O304" s="2">
        <v>0.04</v>
      </c>
      <c r="P304" s="2">
        <v>2624</v>
      </c>
      <c r="Q304" t="s">
        <v>30</v>
      </c>
      <c r="S304" t="s">
        <v>27</v>
      </c>
      <c r="T304" s="8">
        <v>46007</v>
      </c>
      <c r="U304" s="7">
        <v>0.82947916666666666</v>
      </c>
    </row>
    <row r="305" spans="1:21" x14ac:dyDescent="0.2">
      <c r="A305">
        <v>630</v>
      </c>
      <c r="B305" t="s">
        <v>102</v>
      </c>
      <c r="C305" t="s">
        <v>24</v>
      </c>
      <c r="J305" t="s">
        <v>663</v>
      </c>
      <c r="K305" s="3">
        <v>335</v>
      </c>
      <c r="L305" s="2">
        <v>0</v>
      </c>
      <c r="M305" s="2">
        <f>+K305-L305</f>
        <v>335</v>
      </c>
      <c r="N305" s="2">
        <v>16.760000000000002</v>
      </c>
      <c r="O305" s="2">
        <v>0.24</v>
      </c>
      <c r="P305" s="2">
        <v>352</v>
      </c>
      <c r="Q305" t="s">
        <v>40</v>
      </c>
      <c r="S305" t="s">
        <v>27</v>
      </c>
      <c r="T305" s="8">
        <v>46007</v>
      </c>
      <c r="U305" s="7">
        <v>0.85628472222222218</v>
      </c>
    </row>
    <row r="306" spans="1:21" x14ac:dyDescent="0.2">
      <c r="A306">
        <v>631</v>
      </c>
      <c r="B306" t="s">
        <v>660</v>
      </c>
      <c r="C306" t="s">
        <v>24</v>
      </c>
      <c r="D306" t="s">
        <v>661</v>
      </c>
      <c r="J306" t="s">
        <v>662</v>
      </c>
      <c r="K306" s="3">
        <v>0</v>
      </c>
      <c r="L306" s="2">
        <v>0</v>
      </c>
      <c r="M306" s="2">
        <f>+K306-L306</f>
        <v>0</v>
      </c>
      <c r="N306" s="2">
        <v>0</v>
      </c>
      <c r="O306" s="2">
        <v>0</v>
      </c>
      <c r="P306" s="2">
        <v>0</v>
      </c>
      <c r="Q306" t="s">
        <v>33</v>
      </c>
      <c r="S306" t="s">
        <v>27</v>
      </c>
      <c r="T306" s="8">
        <v>46007</v>
      </c>
      <c r="U306" s="7">
        <v>0.85871527777777779</v>
      </c>
    </row>
    <row r="307" spans="1:21" x14ac:dyDescent="0.2">
      <c r="A307">
        <v>632</v>
      </c>
      <c r="B307" t="s">
        <v>23</v>
      </c>
      <c r="C307" t="s">
        <v>24</v>
      </c>
      <c r="J307" t="s">
        <v>243</v>
      </c>
      <c r="K307" s="3">
        <v>280</v>
      </c>
      <c r="L307" s="2">
        <v>0</v>
      </c>
      <c r="M307" s="2">
        <f>+K307-L307</f>
        <v>280</v>
      </c>
      <c r="N307" s="2">
        <v>14</v>
      </c>
      <c r="O307" s="2">
        <v>0</v>
      </c>
      <c r="P307" s="2">
        <v>294</v>
      </c>
      <c r="Q307" t="s">
        <v>33</v>
      </c>
      <c r="S307" t="s">
        <v>27</v>
      </c>
      <c r="T307" s="8">
        <v>46007</v>
      </c>
      <c r="U307" s="7">
        <v>0.88218750000000001</v>
      </c>
    </row>
    <row r="308" spans="1:21" x14ac:dyDescent="0.2">
      <c r="A308">
        <v>633</v>
      </c>
      <c r="B308" t="s">
        <v>640</v>
      </c>
      <c r="C308" t="s">
        <v>24</v>
      </c>
      <c r="D308" t="s">
        <v>641</v>
      </c>
      <c r="J308" t="s">
        <v>659</v>
      </c>
      <c r="K308" s="3">
        <v>1225</v>
      </c>
      <c r="L308" s="2">
        <v>0</v>
      </c>
      <c r="M308" s="2">
        <f>+K308-L308</f>
        <v>1225</v>
      </c>
      <c r="N308" s="2">
        <v>61.26</v>
      </c>
      <c r="O308" s="2">
        <v>-0.26</v>
      </c>
      <c r="P308" s="2">
        <v>1286</v>
      </c>
      <c r="Q308" t="s">
        <v>40</v>
      </c>
      <c r="S308" t="s">
        <v>27</v>
      </c>
      <c r="T308" s="8">
        <v>46007</v>
      </c>
      <c r="U308" s="7">
        <v>0.9303703703703704</v>
      </c>
    </row>
    <row r="309" spans="1:21" x14ac:dyDescent="0.2">
      <c r="A309">
        <v>634</v>
      </c>
      <c r="B309" t="s">
        <v>657</v>
      </c>
      <c r="C309" t="s">
        <v>24</v>
      </c>
      <c r="J309" t="s">
        <v>658</v>
      </c>
      <c r="K309" s="3">
        <v>660</v>
      </c>
      <c r="L309" s="2">
        <v>0</v>
      </c>
      <c r="M309" s="2">
        <f>+K309-L309</f>
        <v>660</v>
      </c>
      <c r="N309" s="2">
        <v>33</v>
      </c>
      <c r="O309" s="2">
        <v>0</v>
      </c>
      <c r="P309" s="2">
        <v>693</v>
      </c>
      <c r="Q309" t="s">
        <v>40</v>
      </c>
      <c r="S309" t="s">
        <v>27</v>
      </c>
      <c r="T309" s="8">
        <v>46007</v>
      </c>
      <c r="U309" s="7">
        <v>0.93407407407407406</v>
      </c>
    </row>
    <row r="310" spans="1:21" x14ac:dyDescent="0.2">
      <c r="A310">
        <v>635</v>
      </c>
      <c r="B310" t="s">
        <v>655</v>
      </c>
      <c r="C310" t="s">
        <v>24</v>
      </c>
      <c r="J310" t="s">
        <v>656</v>
      </c>
      <c r="K310" s="3">
        <v>0</v>
      </c>
      <c r="L310" s="2">
        <v>0</v>
      </c>
      <c r="M310" s="2">
        <f>+K310-L310</f>
        <v>0</v>
      </c>
      <c r="N310" s="2">
        <v>0</v>
      </c>
      <c r="O310" s="2">
        <v>0</v>
      </c>
      <c r="P310" s="2">
        <v>0</v>
      </c>
      <c r="Q310" t="s">
        <v>33</v>
      </c>
      <c r="S310" t="s">
        <v>27</v>
      </c>
      <c r="T310" s="8">
        <v>46007</v>
      </c>
      <c r="U310" s="7">
        <v>0.94697916666666671</v>
      </c>
    </row>
    <row r="311" spans="1:21" x14ac:dyDescent="0.2">
      <c r="A311">
        <v>636</v>
      </c>
      <c r="B311" t="s">
        <v>620</v>
      </c>
      <c r="C311" t="s">
        <v>24</v>
      </c>
      <c r="D311" t="s">
        <v>459</v>
      </c>
      <c r="J311" t="s">
        <v>654</v>
      </c>
      <c r="K311" s="3">
        <v>1055</v>
      </c>
      <c r="L311" s="2">
        <v>105.5</v>
      </c>
      <c r="M311" s="2">
        <f>+K311-L311</f>
        <v>949.5</v>
      </c>
      <c r="N311" s="2">
        <v>43.42</v>
      </c>
      <c r="O311" s="2">
        <v>0.08</v>
      </c>
      <c r="P311" s="2">
        <v>993</v>
      </c>
      <c r="Q311" t="s">
        <v>30</v>
      </c>
      <c r="S311" t="s">
        <v>27</v>
      </c>
      <c r="T311" s="8">
        <v>46007</v>
      </c>
      <c r="U311" s="7">
        <v>0.95454861111111111</v>
      </c>
    </row>
    <row r="312" spans="1:21" x14ac:dyDescent="0.2">
      <c r="A312">
        <v>637</v>
      </c>
      <c r="B312" t="s">
        <v>164</v>
      </c>
      <c r="C312" t="s">
        <v>24</v>
      </c>
      <c r="J312" t="s">
        <v>653</v>
      </c>
      <c r="K312" s="3">
        <v>770</v>
      </c>
      <c r="L312" s="2">
        <v>0</v>
      </c>
      <c r="M312" s="2">
        <f>+K312-L312</f>
        <v>770</v>
      </c>
      <c r="N312" s="2">
        <v>38.5</v>
      </c>
      <c r="O312" s="2">
        <v>0.5</v>
      </c>
      <c r="P312" s="2">
        <v>809</v>
      </c>
      <c r="Q312" t="s">
        <v>40</v>
      </c>
      <c r="S312" t="s">
        <v>27</v>
      </c>
      <c r="T312" s="8">
        <v>46007</v>
      </c>
      <c r="U312" s="7">
        <v>0.95461805555555557</v>
      </c>
    </row>
    <row r="313" spans="1:21" x14ac:dyDescent="0.2">
      <c r="A313">
        <v>638</v>
      </c>
      <c r="B313" t="s">
        <v>52</v>
      </c>
      <c r="C313" t="s">
        <v>24</v>
      </c>
      <c r="J313" t="s">
        <v>652</v>
      </c>
      <c r="K313" s="3">
        <v>600</v>
      </c>
      <c r="L313" s="2">
        <v>0</v>
      </c>
      <c r="M313" s="2">
        <f>+K313-L313</f>
        <v>600</v>
      </c>
      <c r="N313" s="2">
        <v>30</v>
      </c>
      <c r="O313" s="2">
        <v>0</v>
      </c>
      <c r="P313" s="2">
        <v>630</v>
      </c>
      <c r="Q313" t="s">
        <v>33</v>
      </c>
      <c r="S313" t="s">
        <v>27</v>
      </c>
      <c r="T313" s="8">
        <v>46007</v>
      </c>
      <c r="U313" s="7">
        <v>0.95468750000000002</v>
      </c>
    </row>
    <row r="314" spans="1:21" x14ac:dyDescent="0.2">
      <c r="A314">
        <v>639</v>
      </c>
      <c r="B314" t="s">
        <v>400</v>
      </c>
      <c r="C314" t="s">
        <v>24</v>
      </c>
      <c r="J314" t="s">
        <v>651</v>
      </c>
      <c r="K314" s="3">
        <v>1413</v>
      </c>
      <c r="L314" s="2">
        <v>0</v>
      </c>
      <c r="M314" s="2">
        <f>+K314-L314</f>
        <v>1413</v>
      </c>
      <c r="N314" s="2">
        <v>70.66</v>
      </c>
      <c r="O314" s="2">
        <v>0.34</v>
      </c>
      <c r="P314" s="2">
        <v>1484</v>
      </c>
      <c r="Q314" t="s">
        <v>30</v>
      </c>
      <c r="S314" t="s">
        <v>27</v>
      </c>
      <c r="T314" s="8">
        <v>46007</v>
      </c>
      <c r="U314" s="7">
        <v>0.96069444444444441</v>
      </c>
    </row>
    <row r="315" spans="1:21" x14ac:dyDescent="0.2">
      <c r="A315">
        <v>640</v>
      </c>
      <c r="B315" t="s">
        <v>52</v>
      </c>
      <c r="C315" t="s">
        <v>24</v>
      </c>
      <c r="J315" t="s">
        <v>650</v>
      </c>
      <c r="K315" s="3">
        <v>920</v>
      </c>
      <c r="L315" s="2">
        <v>138</v>
      </c>
      <c r="M315" s="2">
        <f>+K315-L315</f>
        <v>782</v>
      </c>
      <c r="N315" s="2">
        <v>39.1</v>
      </c>
      <c r="O315" s="2">
        <v>-0.1</v>
      </c>
      <c r="P315" s="2">
        <v>821</v>
      </c>
      <c r="Q315" t="s">
        <v>40</v>
      </c>
      <c r="S315" t="s">
        <v>27</v>
      </c>
      <c r="T315" s="8">
        <v>46008</v>
      </c>
      <c r="U315" s="7">
        <v>0.68232638888888886</v>
      </c>
    </row>
    <row r="316" spans="1:21" x14ac:dyDescent="0.2">
      <c r="A316">
        <v>641</v>
      </c>
      <c r="B316" t="s">
        <v>648</v>
      </c>
      <c r="C316" t="s">
        <v>24</v>
      </c>
      <c r="J316" t="s">
        <v>649</v>
      </c>
      <c r="K316" s="3">
        <v>2138</v>
      </c>
      <c r="L316" s="2">
        <v>0</v>
      </c>
      <c r="M316" s="2">
        <f>+K316-L316</f>
        <v>2138</v>
      </c>
      <c r="N316" s="2">
        <v>101</v>
      </c>
      <c r="O316" s="2">
        <v>0</v>
      </c>
      <c r="P316" s="2">
        <v>2239</v>
      </c>
      <c r="Q316" t="s">
        <v>33</v>
      </c>
      <c r="S316" t="s">
        <v>27</v>
      </c>
      <c r="T316" s="8">
        <v>46008</v>
      </c>
      <c r="U316" s="7">
        <v>0.7106365740740741</v>
      </c>
    </row>
    <row r="317" spans="1:21" x14ac:dyDescent="0.2">
      <c r="A317">
        <v>642</v>
      </c>
      <c r="B317" t="s">
        <v>645</v>
      </c>
      <c r="C317" t="s">
        <v>24</v>
      </c>
      <c r="D317" t="s">
        <v>646</v>
      </c>
      <c r="J317" t="s">
        <v>647</v>
      </c>
      <c r="K317" s="3">
        <v>1380</v>
      </c>
      <c r="L317" s="2">
        <v>0</v>
      </c>
      <c r="M317" s="2">
        <f>+K317-L317</f>
        <v>1380</v>
      </c>
      <c r="N317" s="2">
        <v>69</v>
      </c>
      <c r="O317" s="2">
        <v>0</v>
      </c>
      <c r="P317" s="2">
        <v>1449</v>
      </c>
      <c r="Q317" t="s">
        <v>40</v>
      </c>
      <c r="S317" t="s">
        <v>27</v>
      </c>
      <c r="T317" s="8">
        <v>46008</v>
      </c>
      <c r="U317" s="7">
        <v>0.71553240740740742</v>
      </c>
    </row>
    <row r="318" spans="1:21" x14ac:dyDescent="0.2">
      <c r="A318">
        <v>643</v>
      </c>
      <c r="B318" t="s">
        <v>45</v>
      </c>
      <c r="C318" t="s">
        <v>24</v>
      </c>
      <c r="J318" t="s">
        <v>643</v>
      </c>
      <c r="K318" s="3">
        <v>550</v>
      </c>
      <c r="L318" s="2">
        <v>0</v>
      </c>
      <c r="M318" s="2">
        <f>+K318-L318</f>
        <v>550</v>
      </c>
      <c r="N318" s="2">
        <v>23.5</v>
      </c>
      <c r="O318" s="2">
        <v>0.5</v>
      </c>
      <c r="P318" s="2">
        <v>0</v>
      </c>
      <c r="Q318" t="s">
        <v>135</v>
      </c>
      <c r="R318" t="s">
        <v>644</v>
      </c>
      <c r="S318" t="s">
        <v>27</v>
      </c>
      <c r="T318" s="8">
        <v>46008</v>
      </c>
      <c r="U318" s="7">
        <v>0.74432870370370374</v>
      </c>
    </row>
    <row r="319" spans="1:21" x14ac:dyDescent="0.2">
      <c r="A319">
        <v>644</v>
      </c>
      <c r="B319" t="s">
        <v>102</v>
      </c>
      <c r="C319" t="s">
        <v>24</v>
      </c>
      <c r="J319" t="s">
        <v>642</v>
      </c>
      <c r="K319" s="3">
        <v>1065</v>
      </c>
      <c r="L319" s="2">
        <v>0</v>
      </c>
      <c r="M319" s="2">
        <f>+K319-L319</f>
        <v>1065</v>
      </c>
      <c r="N319" s="2">
        <v>45.76</v>
      </c>
      <c r="O319" s="2">
        <v>0.24</v>
      </c>
      <c r="P319" s="2">
        <v>1111</v>
      </c>
      <c r="Q319" t="s">
        <v>30</v>
      </c>
      <c r="S319" t="s">
        <v>27</v>
      </c>
      <c r="T319" s="8">
        <v>46008</v>
      </c>
      <c r="U319" s="7">
        <v>0.76310185185185186</v>
      </c>
    </row>
    <row r="320" spans="1:21" x14ac:dyDescent="0.2">
      <c r="A320">
        <v>645</v>
      </c>
      <c r="B320" t="s">
        <v>640</v>
      </c>
      <c r="C320" t="s">
        <v>24</v>
      </c>
      <c r="D320" t="s">
        <v>641</v>
      </c>
      <c r="J320" t="s">
        <v>375</v>
      </c>
      <c r="K320" s="3">
        <v>405</v>
      </c>
      <c r="L320" s="2">
        <v>0</v>
      </c>
      <c r="M320" s="2">
        <f>+K320-L320</f>
        <v>405</v>
      </c>
      <c r="N320" s="2">
        <v>20.260000000000002</v>
      </c>
      <c r="O320" s="2">
        <v>-0.26</v>
      </c>
      <c r="P320" s="2">
        <v>425</v>
      </c>
      <c r="Q320" t="s">
        <v>40</v>
      </c>
      <c r="S320" t="s">
        <v>27</v>
      </c>
      <c r="T320" s="8">
        <v>46008</v>
      </c>
      <c r="U320" s="7">
        <v>0.78137731481481476</v>
      </c>
    </row>
    <row r="321" spans="1:21" x14ac:dyDescent="0.2">
      <c r="A321">
        <v>646</v>
      </c>
      <c r="B321" t="s">
        <v>638</v>
      </c>
      <c r="C321" t="s">
        <v>24</v>
      </c>
      <c r="J321" t="s">
        <v>639</v>
      </c>
      <c r="K321" s="3">
        <v>415</v>
      </c>
      <c r="L321" s="2">
        <v>0</v>
      </c>
      <c r="M321" s="2">
        <f>+K321-L321</f>
        <v>415</v>
      </c>
      <c r="N321" s="2">
        <v>20.76</v>
      </c>
      <c r="O321" s="2">
        <v>0.24</v>
      </c>
      <c r="P321" s="2">
        <v>436</v>
      </c>
      <c r="Q321" t="s">
        <v>40</v>
      </c>
      <c r="S321" t="s">
        <v>27</v>
      </c>
      <c r="T321" s="8">
        <v>46008</v>
      </c>
      <c r="U321" s="7">
        <v>0.88825231481481481</v>
      </c>
    </row>
    <row r="322" spans="1:21" x14ac:dyDescent="0.2">
      <c r="A322">
        <v>647</v>
      </c>
      <c r="B322" t="s">
        <v>635</v>
      </c>
      <c r="C322" t="s">
        <v>24</v>
      </c>
      <c r="D322" t="s">
        <v>636</v>
      </c>
      <c r="J322" t="s">
        <v>637</v>
      </c>
      <c r="K322" s="3">
        <v>190</v>
      </c>
      <c r="L322" s="2">
        <v>0</v>
      </c>
      <c r="M322" s="2">
        <f>+K322-L322</f>
        <v>190</v>
      </c>
      <c r="N322" s="2">
        <v>9.5</v>
      </c>
      <c r="O322" s="2">
        <v>0.5</v>
      </c>
      <c r="P322" s="2">
        <v>200</v>
      </c>
      <c r="Q322" t="s">
        <v>30</v>
      </c>
      <c r="S322" t="s">
        <v>27</v>
      </c>
      <c r="T322" s="8">
        <v>46008</v>
      </c>
      <c r="U322" s="7">
        <v>0.88920138888888889</v>
      </c>
    </row>
    <row r="323" spans="1:21" x14ac:dyDescent="0.2">
      <c r="A323">
        <v>648</v>
      </c>
      <c r="B323" t="s">
        <v>632</v>
      </c>
      <c r="C323" t="s">
        <v>24</v>
      </c>
      <c r="D323" t="s">
        <v>633</v>
      </c>
      <c r="J323" t="s">
        <v>634</v>
      </c>
      <c r="K323" s="3">
        <v>640</v>
      </c>
      <c r="L323" s="2">
        <v>0</v>
      </c>
      <c r="M323" s="2">
        <f>+K323-L323</f>
        <v>640</v>
      </c>
      <c r="N323" s="2">
        <v>32</v>
      </c>
      <c r="O323" s="2">
        <v>0</v>
      </c>
      <c r="P323" s="2">
        <v>672</v>
      </c>
      <c r="Q323" t="s">
        <v>40</v>
      </c>
      <c r="S323" t="s">
        <v>27</v>
      </c>
      <c r="T323" s="8">
        <v>46008</v>
      </c>
      <c r="U323" s="7">
        <v>0.91129629629629627</v>
      </c>
    </row>
    <row r="324" spans="1:21" x14ac:dyDescent="0.2">
      <c r="A324">
        <v>649</v>
      </c>
      <c r="B324" t="s">
        <v>630</v>
      </c>
      <c r="C324" t="s">
        <v>24</v>
      </c>
      <c r="J324" t="s">
        <v>631</v>
      </c>
      <c r="K324" s="3">
        <v>2425</v>
      </c>
      <c r="L324" s="2">
        <v>0</v>
      </c>
      <c r="M324" s="2">
        <f>+K324-L324</f>
        <v>2425</v>
      </c>
      <c r="N324" s="2">
        <v>121.26</v>
      </c>
      <c r="O324" s="2">
        <v>-0.26</v>
      </c>
      <c r="P324" s="2">
        <v>2546</v>
      </c>
      <c r="Q324" t="s">
        <v>30</v>
      </c>
      <c r="S324" t="s">
        <v>27</v>
      </c>
      <c r="T324" s="8">
        <v>46008</v>
      </c>
      <c r="U324" s="7">
        <v>0.93533564814814818</v>
      </c>
    </row>
    <row r="325" spans="1:21" x14ac:dyDescent="0.2">
      <c r="A325">
        <v>650</v>
      </c>
      <c r="B325" t="s">
        <v>23</v>
      </c>
      <c r="C325" t="s">
        <v>24</v>
      </c>
      <c r="J325" t="s">
        <v>629</v>
      </c>
      <c r="K325" s="3">
        <v>670</v>
      </c>
      <c r="L325" s="2">
        <v>0</v>
      </c>
      <c r="M325" s="2">
        <f>+K325-L325</f>
        <v>670</v>
      </c>
      <c r="N325" s="2">
        <v>33.5</v>
      </c>
      <c r="O325" s="2">
        <v>0.5</v>
      </c>
      <c r="P325" s="2">
        <v>704</v>
      </c>
      <c r="Q325" t="s">
        <v>30</v>
      </c>
      <c r="S325" t="s">
        <v>27</v>
      </c>
      <c r="T325" s="8">
        <v>46008</v>
      </c>
      <c r="U325" s="7">
        <v>0.93537037037037041</v>
      </c>
    </row>
    <row r="326" spans="1:21" x14ac:dyDescent="0.2">
      <c r="A326">
        <v>651</v>
      </c>
      <c r="B326" t="s">
        <v>52</v>
      </c>
      <c r="C326" t="s">
        <v>24</v>
      </c>
      <c r="J326" t="s">
        <v>628</v>
      </c>
      <c r="K326" s="3">
        <v>420</v>
      </c>
      <c r="L326" s="2">
        <v>0</v>
      </c>
      <c r="M326" s="2">
        <f>+K326-L326</f>
        <v>420</v>
      </c>
      <c r="N326" s="2">
        <v>21</v>
      </c>
      <c r="O326" s="2">
        <v>0</v>
      </c>
      <c r="P326" s="2">
        <v>441</v>
      </c>
      <c r="Q326" t="s">
        <v>40</v>
      </c>
      <c r="S326" t="s">
        <v>27</v>
      </c>
      <c r="T326" s="8">
        <v>46008</v>
      </c>
      <c r="U326" s="7">
        <v>0.95568287037037036</v>
      </c>
    </row>
    <row r="327" spans="1:21" x14ac:dyDescent="0.2">
      <c r="A327">
        <v>652</v>
      </c>
      <c r="B327" t="s">
        <v>625</v>
      </c>
      <c r="C327" t="s">
        <v>24</v>
      </c>
      <c r="D327" t="s">
        <v>626</v>
      </c>
      <c r="J327" t="s">
        <v>627</v>
      </c>
      <c r="K327" s="3">
        <v>1775</v>
      </c>
      <c r="L327" s="2">
        <v>177.5</v>
      </c>
      <c r="M327" s="2">
        <f>+K327-L327</f>
        <v>1597.5</v>
      </c>
      <c r="N327" s="2">
        <v>79.88</v>
      </c>
      <c r="O327" s="2">
        <v>-0.38</v>
      </c>
      <c r="P327" s="2">
        <v>1677</v>
      </c>
      <c r="Q327" t="s">
        <v>30</v>
      </c>
      <c r="S327" t="s">
        <v>27</v>
      </c>
      <c r="T327" s="8">
        <v>46008</v>
      </c>
      <c r="U327" s="7">
        <v>0.96508101851851846</v>
      </c>
    </row>
    <row r="328" spans="1:21" x14ac:dyDescent="0.2">
      <c r="A328">
        <v>653</v>
      </c>
      <c r="B328" t="s">
        <v>622</v>
      </c>
      <c r="C328" t="s">
        <v>24</v>
      </c>
      <c r="D328" t="s">
        <v>623</v>
      </c>
      <c r="J328" t="s">
        <v>624</v>
      </c>
      <c r="K328" s="3">
        <v>0</v>
      </c>
      <c r="L328" s="2">
        <v>0</v>
      </c>
      <c r="M328" s="2">
        <f>+K328-L328</f>
        <v>0</v>
      </c>
      <c r="N328" s="2">
        <v>0</v>
      </c>
      <c r="O328" s="2">
        <v>0</v>
      </c>
      <c r="P328" s="2">
        <v>0</v>
      </c>
      <c r="Q328" t="s">
        <v>33</v>
      </c>
      <c r="S328" t="s">
        <v>27</v>
      </c>
      <c r="T328" s="8">
        <v>46008</v>
      </c>
      <c r="U328" s="7">
        <v>0.96583333333333332</v>
      </c>
    </row>
    <row r="329" spans="1:21" x14ac:dyDescent="0.2">
      <c r="A329">
        <v>654</v>
      </c>
      <c r="B329" t="s">
        <v>620</v>
      </c>
      <c r="C329" t="s">
        <v>24</v>
      </c>
      <c r="J329" t="s">
        <v>621</v>
      </c>
      <c r="K329" s="3">
        <v>525</v>
      </c>
      <c r="L329" s="2">
        <v>52.5</v>
      </c>
      <c r="M329" s="2">
        <f>+K329-L329</f>
        <v>472.5</v>
      </c>
      <c r="N329" s="2">
        <v>23.62</v>
      </c>
      <c r="O329" s="2">
        <v>-0.12</v>
      </c>
      <c r="P329" s="2">
        <v>496</v>
      </c>
      <c r="Q329" t="s">
        <v>30</v>
      </c>
      <c r="S329" t="s">
        <v>27</v>
      </c>
      <c r="T329" s="8">
        <v>46008</v>
      </c>
      <c r="U329" s="7">
        <v>0.96696759259259257</v>
      </c>
    </row>
    <row r="330" spans="1:21" x14ac:dyDescent="0.2">
      <c r="A330">
        <v>655</v>
      </c>
      <c r="B330" t="s">
        <v>82</v>
      </c>
      <c r="C330" t="s">
        <v>24</v>
      </c>
      <c r="J330" t="s">
        <v>619</v>
      </c>
      <c r="K330" s="3">
        <v>1168</v>
      </c>
      <c r="L330" s="2">
        <v>0</v>
      </c>
      <c r="M330" s="2">
        <f>+K330-L330</f>
        <v>1168</v>
      </c>
      <c r="N330" s="2">
        <v>58.4</v>
      </c>
      <c r="O330" s="2">
        <v>-0.4</v>
      </c>
      <c r="P330" s="2">
        <v>1226</v>
      </c>
      <c r="Q330" t="s">
        <v>30</v>
      </c>
      <c r="S330" t="s">
        <v>27</v>
      </c>
      <c r="T330" s="8">
        <v>46008</v>
      </c>
      <c r="U330" s="7">
        <v>0.96739583333333334</v>
      </c>
    </row>
    <row r="331" spans="1:21" x14ac:dyDescent="0.2">
      <c r="A331">
        <v>656</v>
      </c>
      <c r="B331" t="s">
        <v>43</v>
      </c>
      <c r="C331" t="s">
        <v>24</v>
      </c>
      <c r="J331" t="s">
        <v>618</v>
      </c>
      <c r="K331" s="3">
        <v>495</v>
      </c>
      <c r="L331" s="2">
        <v>0</v>
      </c>
      <c r="M331" s="2">
        <f>+K331-L331</f>
        <v>495</v>
      </c>
      <c r="N331" s="2">
        <v>24.76</v>
      </c>
      <c r="O331" s="2">
        <v>0.24</v>
      </c>
      <c r="P331" s="2">
        <v>520</v>
      </c>
      <c r="Q331" t="s">
        <v>33</v>
      </c>
      <c r="S331" t="s">
        <v>27</v>
      </c>
      <c r="T331" s="8">
        <v>46009</v>
      </c>
      <c r="U331" s="7">
        <v>0.57902777777777781</v>
      </c>
    </row>
    <row r="332" spans="1:21" x14ac:dyDescent="0.2">
      <c r="A332">
        <v>657</v>
      </c>
      <c r="B332" t="s">
        <v>394</v>
      </c>
      <c r="C332" t="s">
        <v>24</v>
      </c>
      <c r="J332" t="s">
        <v>71</v>
      </c>
      <c r="K332" s="3">
        <v>60</v>
      </c>
      <c r="L332" s="2">
        <v>0</v>
      </c>
      <c r="M332" s="2">
        <f>+K332-L332</f>
        <v>60</v>
      </c>
      <c r="N332" s="2">
        <v>0</v>
      </c>
      <c r="O332" s="2">
        <v>0</v>
      </c>
      <c r="P332" s="2">
        <v>60</v>
      </c>
      <c r="Q332" t="s">
        <v>33</v>
      </c>
      <c r="S332" t="s">
        <v>27</v>
      </c>
      <c r="T332" s="8">
        <v>46009</v>
      </c>
      <c r="U332" s="7">
        <v>0.64295138888888892</v>
      </c>
    </row>
    <row r="333" spans="1:21" x14ac:dyDescent="0.2">
      <c r="A333">
        <v>658</v>
      </c>
      <c r="B333" t="s">
        <v>52</v>
      </c>
      <c r="C333" t="s">
        <v>24</v>
      </c>
      <c r="J333" t="s">
        <v>462</v>
      </c>
      <c r="K333" s="3">
        <v>290</v>
      </c>
      <c r="L333" s="2">
        <v>0</v>
      </c>
      <c r="M333" s="2">
        <f>+K333-L333</f>
        <v>290</v>
      </c>
      <c r="N333" s="2">
        <v>14.5</v>
      </c>
      <c r="O333" s="2">
        <v>0.5</v>
      </c>
      <c r="P333" s="2">
        <v>305</v>
      </c>
      <c r="Q333" t="s">
        <v>40</v>
      </c>
      <c r="S333" t="s">
        <v>27</v>
      </c>
      <c r="T333" s="8">
        <v>46009</v>
      </c>
      <c r="U333" s="7">
        <v>0.66903935185185182</v>
      </c>
    </row>
    <row r="334" spans="1:21" x14ac:dyDescent="0.2">
      <c r="A334">
        <v>659</v>
      </c>
      <c r="B334" t="s">
        <v>23</v>
      </c>
      <c r="C334" t="s">
        <v>24</v>
      </c>
      <c r="J334" t="s">
        <v>617</v>
      </c>
      <c r="K334" s="3">
        <v>705</v>
      </c>
      <c r="L334" s="2">
        <v>0</v>
      </c>
      <c r="M334" s="2">
        <f>+K334-L334</f>
        <v>705</v>
      </c>
      <c r="N334" s="2">
        <v>32.26</v>
      </c>
      <c r="O334" s="2">
        <v>-0.26</v>
      </c>
      <c r="P334" s="2">
        <v>737</v>
      </c>
      <c r="Q334" t="s">
        <v>40</v>
      </c>
      <c r="S334" t="s">
        <v>27</v>
      </c>
      <c r="T334" s="8">
        <v>46009</v>
      </c>
      <c r="U334" s="7">
        <v>0.78716435185185185</v>
      </c>
    </row>
    <row r="335" spans="1:21" x14ac:dyDescent="0.2">
      <c r="A335">
        <v>660</v>
      </c>
      <c r="B335" t="s">
        <v>50</v>
      </c>
      <c r="C335" t="s">
        <v>24</v>
      </c>
      <c r="J335" t="s">
        <v>616</v>
      </c>
      <c r="K335" s="3">
        <v>1555</v>
      </c>
      <c r="L335" s="2">
        <v>0</v>
      </c>
      <c r="M335" s="2">
        <f>+K335-L335</f>
        <v>1555</v>
      </c>
      <c r="N335" s="2">
        <v>77.760000000000005</v>
      </c>
      <c r="O335" s="2">
        <v>0.24</v>
      </c>
      <c r="P335" s="2">
        <v>1633</v>
      </c>
      <c r="Q335" t="s">
        <v>26</v>
      </c>
      <c r="S335" t="s">
        <v>27</v>
      </c>
      <c r="T335" s="8">
        <v>46009</v>
      </c>
      <c r="U335" s="7">
        <v>0.78800925925925924</v>
      </c>
    </row>
    <row r="336" spans="1:21" x14ac:dyDescent="0.2">
      <c r="A336">
        <v>661</v>
      </c>
      <c r="B336" t="s">
        <v>52</v>
      </c>
      <c r="C336" t="s">
        <v>24</v>
      </c>
      <c r="J336" t="s">
        <v>615</v>
      </c>
      <c r="K336" s="3">
        <v>2494</v>
      </c>
      <c r="L336" s="2">
        <v>0</v>
      </c>
      <c r="M336" s="2">
        <f>+K336-L336</f>
        <v>2494</v>
      </c>
      <c r="N336" s="2">
        <v>123.26</v>
      </c>
      <c r="O336" s="2">
        <v>-0.26</v>
      </c>
      <c r="P336" s="2">
        <v>2617</v>
      </c>
      <c r="Q336" t="s">
        <v>33</v>
      </c>
      <c r="S336" t="s">
        <v>27</v>
      </c>
      <c r="T336" s="8">
        <v>46009</v>
      </c>
      <c r="U336" s="7">
        <v>0.79278935185185184</v>
      </c>
    </row>
    <row r="337" spans="1:21" x14ac:dyDescent="0.2">
      <c r="A337">
        <v>662</v>
      </c>
      <c r="B337" t="s">
        <v>102</v>
      </c>
      <c r="C337" t="s">
        <v>24</v>
      </c>
      <c r="J337" t="s">
        <v>614</v>
      </c>
      <c r="K337" s="3">
        <v>915</v>
      </c>
      <c r="L337" s="2">
        <v>137.25</v>
      </c>
      <c r="M337" s="2">
        <f>+K337-L337</f>
        <v>777.75</v>
      </c>
      <c r="N337" s="2">
        <v>38.880000000000003</v>
      </c>
      <c r="O337" s="2">
        <v>0.37</v>
      </c>
      <c r="P337" s="2">
        <v>817</v>
      </c>
      <c r="Q337" t="s">
        <v>40</v>
      </c>
      <c r="S337" t="s">
        <v>27</v>
      </c>
      <c r="T337" s="8">
        <v>46009</v>
      </c>
      <c r="U337" s="7">
        <v>0.81002314814814813</v>
      </c>
    </row>
    <row r="338" spans="1:21" x14ac:dyDescent="0.2">
      <c r="A338">
        <v>663</v>
      </c>
      <c r="B338" t="s">
        <v>58</v>
      </c>
      <c r="C338" t="s">
        <v>24</v>
      </c>
      <c r="J338" t="s">
        <v>613</v>
      </c>
      <c r="K338" s="3">
        <v>2225</v>
      </c>
      <c r="L338" s="2">
        <v>0</v>
      </c>
      <c r="M338" s="2">
        <f>+K338-L338</f>
        <v>2225</v>
      </c>
      <c r="N338" s="2">
        <v>111.26</v>
      </c>
      <c r="O338" s="2">
        <v>-0.26</v>
      </c>
      <c r="P338" s="2">
        <v>2336</v>
      </c>
      <c r="Q338" t="s">
        <v>30</v>
      </c>
      <c r="S338" t="s">
        <v>27</v>
      </c>
      <c r="T338" s="8">
        <v>46009</v>
      </c>
      <c r="U338" s="7">
        <v>0.82792824074074078</v>
      </c>
    </row>
    <row r="339" spans="1:21" x14ac:dyDescent="0.2">
      <c r="A339">
        <v>664</v>
      </c>
      <c r="B339" t="s">
        <v>54</v>
      </c>
      <c r="C339" t="s">
        <v>24</v>
      </c>
      <c r="J339" t="s">
        <v>612</v>
      </c>
      <c r="K339" s="3">
        <v>1090</v>
      </c>
      <c r="L339" s="2">
        <v>0</v>
      </c>
      <c r="M339" s="2">
        <f>+K339-L339</f>
        <v>1090</v>
      </c>
      <c r="N339" s="2">
        <v>48.5</v>
      </c>
      <c r="O339" s="2">
        <v>0.5</v>
      </c>
      <c r="P339" s="2">
        <v>1139</v>
      </c>
      <c r="Q339" t="s">
        <v>26</v>
      </c>
      <c r="S339" t="s">
        <v>27</v>
      </c>
      <c r="T339" s="8">
        <v>46009</v>
      </c>
      <c r="U339" s="7">
        <v>0.83368055555555554</v>
      </c>
    </row>
    <row r="340" spans="1:21" x14ac:dyDescent="0.2">
      <c r="A340">
        <v>665</v>
      </c>
      <c r="B340" t="s">
        <v>609</v>
      </c>
      <c r="C340" t="s">
        <v>24</v>
      </c>
      <c r="D340" t="s">
        <v>610</v>
      </c>
      <c r="J340" t="s">
        <v>611</v>
      </c>
      <c r="K340" s="3">
        <v>1135</v>
      </c>
      <c r="L340" s="2">
        <v>0</v>
      </c>
      <c r="M340" s="2">
        <f>+K340-L340</f>
        <v>1135</v>
      </c>
      <c r="N340" s="2">
        <v>56.76</v>
      </c>
      <c r="O340" s="2">
        <v>0.24</v>
      </c>
      <c r="P340" s="2">
        <v>1192</v>
      </c>
      <c r="Q340" t="s">
        <v>30</v>
      </c>
      <c r="S340" t="s">
        <v>27</v>
      </c>
      <c r="T340" s="8">
        <v>46009</v>
      </c>
      <c r="U340" s="7">
        <v>0.84876157407407404</v>
      </c>
    </row>
    <row r="341" spans="1:21" x14ac:dyDescent="0.2">
      <c r="A341">
        <v>666</v>
      </c>
      <c r="B341" t="s">
        <v>23</v>
      </c>
      <c r="C341" t="s">
        <v>24</v>
      </c>
      <c r="J341" t="s">
        <v>608</v>
      </c>
      <c r="K341" s="3">
        <v>405</v>
      </c>
      <c r="L341" s="2">
        <v>0</v>
      </c>
      <c r="M341" s="2">
        <f>+K341-L341</f>
        <v>405</v>
      </c>
      <c r="N341" s="2">
        <v>20.260000000000002</v>
      </c>
      <c r="O341" s="2">
        <v>-0.26</v>
      </c>
      <c r="P341" s="2">
        <v>425</v>
      </c>
      <c r="Q341" t="s">
        <v>26</v>
      </c>
      <c r="S341" t="s">
        <v>27</v>
      </c>
      <c r="T341" s="8">
        <v>46009</v>
      </c>
      <c r="U341" s="7">
        <v>0.86351851851851846</v>
      </c>
    </row>
    <row r="342" spans="1:21" x14ac:dyDescent="0.2">
      <c r="A342">
        <v>667</v>
      </c>
      <c r="B342" t="s">
        <v>102</v>
      </c>
      <c r="C342" t="s">
        <v>24</v>
      </c>
      <c r="J342" t="s">
        <v>607</v>
      </c>
      <c r="K342" s="3">
        <v>710</v>
      </c>
      <c r="L342" s="2">
        <v>0</v>
      </c>
      <c r="M342" s="2">
        <f>+K342-L342</f>
        <v>710</v>
      </c>
      <c r="N342" s="2">
        <v>35.5</v>
      </c>
      <c r="O342" s="2">
        <v>0.5</v>
      </c>
      <c r="P342" s="2">
        <v>746</v>
      </c>
      <c r="Q342" t="s">
        <v>40</v>
      </c>
      <c r="S342" t="s">
        <v>27</v>
      </c>
      <c r="T342" s="8">
        <v>46009</v>
      </c>
      <c r="U342" s="7">
        <v>0.86564814814814817</v>
      </c>
    </row>
    <row r="343" spans="1:21" x14ac:dyDescent="0.2">
      <c r="A343">
        <v>668</v>
      </c>
      <c r="B343" t="s">
        <v>605</v>
      </c>
      <c r="C343" t="s">
        <v>24</v>
      </c>
      <c r="J343" t="s">
        <v>606</v>
      </c>
      <c r="K343" s="3">
        <v>1194</v>
      </c>
      <c r="L343" s="2">
        <v>0</v>
      </c>
      <c r="M343" s="2">
        <f>+K343-L343</f>
        <v>1194</v>
      </c>
      <c r="N343" s="2">
        <v>56.76</v>
      </c>
      <c r="O343" s="2">
        <v>0.24</v>
      </c>
      <c r="P343" s="2">
        <v>1251</v>
      </c>
      <c r="Q343" t="s">
        <v>40</v>
      </c>
      <c r="S343" t="s">
        <v>27</v>
      </c>
      <c r="T343" s="8">
        <v>46009</v>
      </c>
      <c r="U343" s="7">
        <v>0.89332175925925927</v>
      </c>
    </row>
    <row r="344" spans="1:21" x14ac:dyDescent="0.2">
      <c r="A344">
        <v>669</v>
      </c>
      <c r="B344" t="s">
        <v>603</v>
      </c>
      <c r="C344" t="s">
        <v>24</v>
      </c>
      <c r="J344" t="s">
        <v>604</v>
      </c>
      <c r="K344" s="3">
        <v>1425</v>
      </c>
      <c r="L344" s="2">
        <v>0</v>
      </c>
      <c r="M344" s="2">
        <f>+K344-L344</f>
        <v>1425</v>
      </c>
      <c r="N344" s="2">
        <v>71.260000000000005</v>
      </c>
      <c r="O344" s="2">
        <v>-0.26</v>
      </c>
      <c r="P344" s="2">
        <v>1496</v>
      </c>
      <c r="Q344" t="s">
        <v>33</v>
      </c>
      <c r="S344" t="s">
        <v>27</v>
      </c>
      <c r="T344" s="8">
        <v>46009</v>
      </c>
      <c r="U344" s="7">
        <v>0.9303703703703704</v>
      </c>
    </row>
    <row r="345" spans="1:21" x14ac:dyDescent="0.2">
      <c r="A345">
        <v>670</v>
      </c>
      <c r="B345" t="s">
        <v>601</v>
      </c>
      <c r="C345" t="s">
        <v>24</v>
      </c>
      <c r="J345" t="s">
        <v>602</v>
      </c>
      <c r="K345" s="3">
        <v>285</v>
      </c>
      <c r="L345" s="2">
        <v>0</v>
      </c>
      <c r="M345" s="2">
        <f>+K345-L345</f>
        <v>285</v>
      </c>
      <c r="N345" s="2">
        <v>14.26</v>
      </c>
      <c r="O345" s="2">
        <v>-0.26</v>
      </c>
      <c r="P345" s="2">
        <v>299</v>
      </c>
      <c r="Q345" t="s">
        <v>40</v>
      </c>
      <c r="S345" t="s">
        <v>27</v>
      </c>
      <c r="T345" s="8">
        <v>46009</v>
      </c>
      <c r="U345" s="7">
        <v>0.9307523148148148</v>
      </c>
    </row>
    <row r="346" spans="1:21" x14ac:dyDescent="0.2">
      <c r="A346">
        <v>671</v>
      </c>
      <c r="B346" t="s">
        <v>43</v>
      </c>
      <c r="C346" t="s">
        <v>24</v>
      </c>
      <c r="J346" t="s">
        <v>600</v>
      </c>
      <c r="K346" s="3">
        <v>1924</v>
      </c>
      <c r="L346" s="2">
        <v>0</v>
      </c>
      <c r="M346" s="2">
        <f>+K346-L346</f>
        <v>1924</v>
      </c>
      <c r="N346" s="2">
        <v>93.26</v>
      </c>
      <c r="O346" s="2">
        <v>-0.26</v>
      </c>
      <c r="P346" s="2">
        <v>2017</v>
      </c>
      <c r="Q346" t="s">
        <v>40</v>
      </c>
      <c r="S346" t="s">
        <v>27</v>
      </c>
      <c r="T346" s="8">
        <v>46009</v>
      </c>
      <c r="U346" s="7">
        <v>0.93625000000000003</v>
      </c>
    </row>
    <row r="347" spans="1:21" x14ac:dyDescent="0.2">
      <c r="A347">
        <v>672</v>
      </c>
      <c r="B347" t="s">
        <v>599</v>
      </c>
      <c r="C347" t="s">
        <v>24</v>
      </c>
      <c r="J347" t="s">
        <v>304</v>
      </c>
      <c r="K347" s="3">
        <v>425</v>
      </c>
      <c r="L347" s="2">
        <v>0</v>
      </c>
      <c r="M347" s="2">
        <f>+K347-L347</f>
        <v>425</v>
      </c>
      <c r="N347" s="2">
        <v>21.26</v>
      </c>
      <c r="O347" s="2">
        <v>-0.26</v>
      </c>
      <c r="P347" s="2">
        <v>446</v>
      </c>
      <c r="Q347" t="s">
        <v>33</v>
      </c>
      <c r="S347" t="s">
        <v>27</v>
      </c>
      <c r="T347" s="8">
        <v>46009</v>
      </c>
      <c r="U347" s="7">
        <v>0.9389467592592593</v>
      </c>
    </row>
    <row r="348" spans="1:21" x14ac:dyDescent="0.2">
      <c r="A348">
        <v>673</v>
      </c>
      <c r="B348" t="s">
        <v>43</v>
      </c>
      <c r="C348" t="s">
        <v>24</v>
      </c>
      <c r="J348" t="s">
        <v>598</v>
      </c>
      <c r="K348" s="3">
        <v>190</v>
      </c>
      <c r="L348" s="2">
        <v>0</v>
      </c>
      <c r="M348" s="2">
        <f>+K348-L348</f>
        <v>190</v>
      </c>
      <c r="N348" s="2">
        <v>9.5</v>
      </c>
      <c r="O348" s="2">
        <v>0.5</v>
      </c>
      <c r="P348" s="2">
        <v>200</v>
      </c>
      <c r="Q348" t="s">
        <v>40</v>
      </c>
      <c r="S348" t="s">
        <v>27</v>
      </c>
      <c r="T348" s="8">
        <v>46009</v>
      </c>
      <c r="U348" s="7">
        <v>0.9611574074074074</v>
      </c>
    </row>
    <row r="349" spans="1:21" x14ac:dyDescent="0.2">
      <c r="A349">
        <v>674</v>
      </c>
      <c r="B349" t="s">
        <v>596</v>
      </c>
      <c r="C349" t="s">
        <v>24</v>
      </c>
      <c r="J349" t="s">
        <v>597</v>
      </c>
      <c r="K349" s="3">
        <v>520</v>
      </c>
      <c r="L349" s="2">
        <v>0</v>
      </c>
      <c r="M349" s="2">
        <f>+K349-L349</f>
        <v>520</v>
      </c>
      <c r="N349" s="2">
        <v>26</v>
      </c>
      <c r="O349" s="2">
        <v>0</v>
      </c>
      <c r="P349" s="2">
        <v>546</v>
      </c>
      <c r="Q349" t="s">
        <v>40</v>
      </c>
      <c r="S349" t="s">
        <v>27</v>
      </c>
      <c r="T349" s="8">
        <v>46009</v>
      </c>
      <c r="U349" s="7">
        <v>0.96262731481481478</v>
      </c>
    </row>
    <row r="350" spans="1:21" x14ac:dyDescent="0.2">
      <c r="A350">
        <v>675</v>
      </c>
      <c r="B350" t="s">
        <v>593</v>
      </c>
      <c r="C350" t="s">
        <v>24</v>
      </c>
      <c r="D350" t="s">
        <v>594</v>
      </c>
      <c r="J350" t="s">
        <v>595</v>
      </c>
      <c r="K350" s="3">
        <v>560</v>
      </c>
      <c r="L350" s="2">
        <v>0</v>
      </c>
      <c r="M350" s="2">
        <f>+K350-L350</f>
        <v>560</v>
      </c>
      <c r="N350" s="2">
        <v>28</v>
      </c>
      <c r="O350" s="2">
        <v>0</v>
      </c>
      <c r="P350" s="2">
        <v>588</v>
      </c>
      <c r="Q350" t="s">
        <v>40</v>
      </c>
      <c r="S350" t="s">
        <v>27</v>
      </c>
      <c r="T350" s="8">
        <v>46009</v>
      </c>
      <c r="U350" s="7">
        <v>0.96296296296296291</v>
      </c>
    </row>
    <row r="351" spans="1:21" x14ac:dyDescent="0.2">
      <c r="A351">
        <v>676</v>
      </c>
      <c r="B351" t="s">
        <v>36</v>
      </c>
      <c r="C351" t="s">
        <v>24</v>
      </c>
      <c r="J351" t="s">
        <v>592</v>
      </c>
      <c r="K351" s="3">
        <v>0</v>
      </c>
      <c r="L351" s="2">
        <v>0</v>
      </c>
      <c r="M351" s="2">
        <f>+K351-L351</f>
        <v>0</v>
      </c>
      <c r="N351" s="2">
        <v>0</v>
      </c>
      <c r="O351" s="2">
        <v>0</v>
      </c>
      <c r="P351" s="2">
        <v>0</v>
      </c>
      <c r="Q351" t="s">
        <v>33</v>
      </c>
      <c r="S351" t="s">
        <v>27</v>
      </c>
      <c r="T351" s="8">
        <v>46009</v>
      </c>
      <c r="U351" s="7">
        <v>0.96719907407407413</v>
      </c>
    </row>
    <row r="352" spans="1:21" x14ac:dyDescent="0.2">
      <c r="A352">
        <v>677</v>
      </c>
      <c r="B352" t="s">
        <v>31</v>
      </c>
      <c r="C352" t="s">
        <v>24</v>
      </c>
      <c r="J352" t="s">
        <v>591</v>
      </c>
      <c r="K352" s="3">
        <v>0</v>
      </c>
      <c r="L352" s="2">
        <v>0</v>
      </c>
      <c r="M352" s="2">
        <f>+K352-L352</f>
        <v>0</v>
      </c>
      <c r="N352" s="2">
        <v>0</v>
      </c>
      <c r="O352" s="2">
        <v>0</v>
      </c>
      <c r="P352" s="2">
        <v>0</v>
      </c>
      <c r="Q352" t="s">
        <v>33</v>
      </c>
      <c r="S352" t="s">
        <v>27</v>
      </c>
      <c r="T352" s="8">
        <v>46009</v>
      </c>
      <c r="U352" s="7">
        <v>0.96770833333333328</v>
      </c>
    </row>
    <row r="353" spans="1:21" x14ac:dyDescent="0.2">
      <c r="A353">
        <v>678</v>
      </c>
      <c r="B353" t="s">
        <v>589</v>
      </c>
      <c r="C353" t="s">
        <v>24</v>
      </c>
      <c r="J353" t="s">
        <v>590</v>
      </c>
      <c r="K353" s="3">
        <v>845</v>
      </c>
      <c r="L353" s="2">
        <v>84.5</v>
      </c>
      <c r="M353" s="2">
        <f>+K353-L353</f>
        <v>760.5</v>
      </c>
      <c r="N353" s="2">
        <v>35.32</v>
      </c>
      <c r="O353" s="2">
        <v>0.18</v>
      </c>
      <c r="P353" s="2">
        <v>796</v>
      </c>
      <c r="Q353" t="s">
        <v>33</v>
      </c>
      <c r="S353" t="s">
        <v>27</v>
      </c>
      <c r="T353" s="8">
        <v>46009</v>
      </c>
      <c r="U353" s="7">
        <v>0.97359953703703705</v>
      </c>
    </row>
    <row r="354" spans="1:21" x14ac:dyDescent="0.2">
      <c r="A354">
        <v>679</v>
      </c>
      <c r="B354" t="s">
        <v>43</v>
      </c>
      <c r="C354" t="s">
        <v>24</v>
      </c>
      <c r="J354" t="s">
        <v>588</v>
      </c>
      <c r="K354" s="3">
        <v>3300</v>
      </c>
      <c r="L354" s="2">
        <v>330</v>
      </c>
      <c r="M354" s="2">
        <f>+K354-L354</f>
        <v>2970</v>
      </c>
      <c r="N354" s="2">
        <v>148.5</v>
      </c>
      <c r="O354" s="2">
        <v>0.5</v>
      </c>
      <c r="P354" s="2">
        <v>3119</v>
      </c>
      <c r="Q354" t="s">
        <v>40</v>
      </c>
      <c r="S354" t="s">
        <v>27</v>
      </c>
      <c r="T354" s="8">
        <v>46010</v>
      </c>
      <c r="U354" s="7">
        <v>0.57965277777777779</v>
      </c>
    </row>
    <row r="355" spans="1:21" x14ac:dyDescent="0.2">
      <c r="A355">
        <v>680</v>
      </c>
      <c r="B355" t="s">
        <v>52</v>
      </c>
      <c r="C355" t="s">
        <v>24</v>
      </c>
      <c r="J355" t="s">
        <v>378</v>
      </c>
      <c r="K355" s="3">
        <v>560</v>
      </c>
      <c r="L355" s="2">
        <v>0</v>
      </c>
      <c r="M355" s="2">
        <f>+K355-L355</f>
        <v>560</v>
      </c>
      <c r="N355" s="2">
        <v>28</v>
      </c>
      <c r="O355" s="2">
        <v>0</v>
      </c>
      <c r="P355" s="2">
        <v>588</v>
      </c>
      <c r="Q355" t="s">
        <v>33</v>
      </c>
      <c r="S355" t="s">
        <v>27</v>
      </c>
      <c r="T355" s="8">
        <v>46010</v>
      </c>
      <c r="U355" s="7">
        <v>0.60709490740740746</v>
      </c>
    </row>
    <row r="356" spans="1:21" x14ac:dyDescent="0.2">
      <c r="A356">
        <v>681</v>
      </c>
      <c r="B356" t="s">
        <v>394</v>
      </c>
      <c r="C356" t="s">
        <v>24</v>
      </c>
      <c r="J356" t="s">
        <v>202</v>
      </c>
      <c r="K356" s="3">
        <v>250</v>
      </c>
      <c r="L356" s="2">
        <v>0</v>
      </c>
      <c r="M356" s="2">
        <f>+K356-L356</f>
        <v>250</v>
      </c>
      <c r="N356" s="2">
        <v>12.5</v>
      </c>
      <c r="O356" s="2">
        <v>0.5</v>
      </c>
      <c r="P356" s="2">
        <v>263</v>
      </c>
      <c r="Q356" t="s">
        <v>30</v>
      </c>
      <c r="S356" t="s">
        <v>27</v>
      </c>
      <c r="T356" s="8">
        <v>46010</v>
      </c>
      <c r="U356" s="7">
        <v>0.61978009259259259</v>
      </c>
    </row>
    <row r="357" spans="1:21" x14ac:dyDescent="0.2">
      <c r="A357">
        <v>682</v>
      </c>
      <c r="B357" t="s">
        <v>58</v>
      </c>
      <c r="C357" t="s">
        <v>24</v>
      </c>
      <c r="J357" t="s">
        <v>587</v>
      </c>
      <c r="K357" s="3">
        <v>560</v>
      </c>
      <c r="L357" s="2">
        <v>0</v>
      </c>
      <c r="M357" s="2">
        <f>+K357-L357</f>
        <v>560</v>
      </c>
      <c r="N357" s="2">
        <v>28</v>
      </c>
      <c r="O357" s="2">
        <v>0</v>
      </c>
      <c r="P357" s="2">
        <v>588</v>
      </c>
      <c r="Q357" t="s">
        <v>40</v>
      </c>
      <c r="S357" t="s">
        <v>27</v>
      </c>
      <c r="T357" s="8">
        <v>46010</v>
      </c>
      <c r="U357" s="7">
        <v>0.64353009259259264</v>
      </c>
    </row>
    <row r="358" spans="1:21" x14ac:dyDescent="0.2">
      <c r="A358">
        <v>683</v>
      </c>
      <c r="B358" t="s">
        <v>58</v>
      </c>
      <c r="C358" t="s">
        <v>24</v>
      </c>
      <c r="J358" t="s">
        <v>295</v>
      </c>
      <c r="K358" s="3">
        <v>320</v>
      </c>
      <c r="L358" s="2">
        <v>0</v>
      </c>
      <c r="M358" s="2">
        <f>+K358-L358</f>
        <v>320</v>
      </c>
      <c r="N358" s="2">
        <v>16</v>
      </c>
      <c r="O358" s="2">
        <v>0</v>
      </c>
      <c r="P358" s="2">
        <v>336</v>
      </c>
      <c r="Q358" t="s">
        <v>40</v>
      </c>
      <c r="S358" t="s">
        <v>27</v>
      </c>
      <c r="T358" s="8">
        <v>46010</v>
      </c>
      <c r="U358" s="7">
        <v>0.71944444444444444</v>
      </c>
    </row>
    <row r="359" spans="1:21" x14ac:dyDescent="0.2">
      <c r="A359">
        <v>684</v>
      </c>
      <c r="B359" t="s">
        <v>52</v>
      </c>
      <c r="C359" t="s">
        <v>24</v>
      </c>
      <c r="J359" t="s">
        <v>586</v>
      </c>
      <c r="K359" s="3">
        <v>1894</v>
      </c>
      <c r="L359" s="2">
        <v>0</v>
      </c>
      <c r="M359" s="2">
        <f>+K359-L359</f>
        <v>1894</v>
      </c>
      <c r="N359" s="2">
        <v>92.76</v>
      </c>
      <c r="O359" s="2">
        <v>0.24</v>
      </c>
      <c r="P359" s="2">
        <v>1987</v>
      </c>
      <c r="Q359" t="s">
        <v>40</v>
      </c>
      <c r="S359" t="s">
        <v>27</v>
      </c>
      <c r="T359" s="8">
        <v>46010</v>
      </c>
      <c r="U359" s="7">
        <v>0.72875000000000001</v>
      </c>
    </row>
    <row r="360" spans="1:21" x14ac:dyDescent="0.2">
      <c r="A360">
        <v>685</v>
      </c>
      <c r="B360" t="s">
        <v>45</v>
      </c>
      <c r="C360" t="s">
        <v>24</v>
      </c>
      <c r="J360" t="s">
        <v>1221</v>
      </c>
      <c r="K360" s="3">
        <v>2245</v>
      </c>
      <c r="L360" s="2">
        <v>0</v>
      </c>
      <c r="M360" s="2">
        <f>+K360-L360</f>
        <v>2245</v>
      </c>
      <c r="N360" s="2">
        <v>112.26</v>
      </c>
      <c r="O360" s="2">
        <v>-0.26</v>
      </c>
      <c r="P360" s="2">
        <v>2357</v>
      </c>
      <c r="Q360" t="s">
        <v>40</v>
      </c>
      <c r="S360" t="s">
        <v>27</v>
      </c>
      <c r="T360" s="8">
        <v>46010</v>
      </c>
      <c r="U360" s="7">
        <v>0.73344907407407411</v>
      </c>
    </row>
    <row r="361" spans="1:21" x14ac:dyDescent="0.2">
      <c r="A361">
        <v>686</v>
      </c>
      <c r="B361" t="s">
        <v>43</v>
      </c>
      <c r="C361" t="s">
        <v>24</v>
      </c>
      <c r="J361" t="s">
        <v>585</v>
      </c>
      <c r="K361" s="3">
        <v>2175</v>
      </c>
      <c r="L361" s="2">
        <v>0</v>
      </c>
      <c r="M361" s="2">
        <f>+K361-L361</f>
        <v>2175</v>
      </c>
      <c r="N361" s="2">
        <v>108.76</v>
      </c>
      <c r="O361" s="2">
        <v>0.24</v>
      </c>
      <c r="P361" s="2">
        <v>2284</v>
      </c>
      <c r="Q361" t="s">
        <v>33</v>
      </c>
      <c r="S361" t="s">
        <v>27</v>
      </c>
      <c r="T361" s="8">
        <v>46010</v>
      </c>
      <c r="U361" s="7">
        <v>0.75151620370370376</v>
      </c>
    </row>
    <row r="362" spans="1:21" x14ac:dyDescent="0.2">
      <c r="A362">
        <v>687</v>
      </c>
      <c r="B362" t="s">
        <v>102</v>
      </c>
      <c r="C362" t="s">
        <v>24</v>
      </c>
      <c r="J362" t="s">
        <v>518</v>
      </c>
      <c r="K362" s="3">
        <v>380</v>
      </c>
      <c r="L362" s="2">
        <v>0</v>
      </c>
      <c r="M362" s="2">
        <f>+K362-L362</f>
        <v>380</v>
      </c>
      <c r="N362" s="2">
        <v>19</v>
      </c>
      <c r="O362" s="2">
        <v>0</v>
      </c>
      <c r="P362" s="2">
        <v>399</v>
      </c>
      <c r="Q362" t="s">
        <v>40</v>
      </c>
      <c r="S362" t="s">
        <v>27</v>
      </c>
      <c r="T362" s="8">
        <v>46010</v>
      </c>
      <c r="U362" s="7">
        <v>0.76896990740740745</v>
      </c>
    </row>
    <row r="363" spans="1:21" x14ac:dyDescent="0.2">
      <c r="A363">
        <v>688</v>
      </c>
      <c r="B363" t="s">
        <v>54</v>
      </c>
      <c r="C363" t="s">
        <v>24</v>
      </c>
      <c r="J363" t="s">
        <v>584</v>
      </c>
      <c r="K363" s="3">
        <v>1150</v>
      </c>
      <c r="L363" s="2">
        <v>0</v>
      </c>
      <c r="M363" s="2">
        <f>+K363-L363</f>
        <v>1150</v>
      </c>
      <c r="N363" s="2">
        <v>54.5</v>
      </c>
      <c r="O363" s="2">
        <v>0.5</v>
      </c>
      <c r="P363" s="2">
        <v>1205</v>
      </c>
      <c r="Q363" t="s">
        <v>26</v>
      </c>
      <c r="S363" t="s">
        <v>27</v>
      </c>
      <c r="T363" s="8">
        <v>46010</v>
      </c>
      <c r="U363" s="7">
        <v>0.80283564814814812</v>
      </c>
    </row>
    <row r="364" spans="1:21" x14ac:dyDescent="0.2">
      <c r="A364">
        <v>689</v>
      </c>
      <c r="B364" t="s">
        <v>52</v>
      </c>
      <c r="C364" t="s">
        <v>24</v>
      </c>
      <c r="J364" t="s">
        <v>583</v>
      </c>
      <c r="K364" s="3">
        <v>1475</v>
      </c>
      <c r="L364" s="2">
        <v>0</v>
      </c>
      <c r="M364" s="2">
        <f>+K364-L364</f>
        <v>1475</v>
      </c>
      <c r="N364" s="2">
        <v>73.760000000000005</v>
      </c>
      <c r="O364" s="2">
        <v>0.24</v>
      </c>
      <c r="P364" s="2">
        <v>1549</v>
      </c>
      <c r="Q364" t="s">
        <v>33</v>
      </c>
      <c r="S364" t="s">
        <v>27</v>
      </c>
      <c r="T364" s="8">
        <v>46010</v>
      </c>
      <c r="U364" s="7">
        <v>0.8362384259259259</v>
      </c>
    </row>
    <row r="365" spans="1:21" x14ac:dyDescent="0.2">
      <c r="A365">
        <v>690</v>
      </c>
      <c r="B365" t="s">
        <v>343</v>
      </c>
      <c r="C365" t="s">
        <v>24</v>
      </c>
      <c r="J365" t="s">
        <v>288</v>
      </c>
      <c r="K365" s="3">
        <v>190</v>
      </c>
      <c r="L365" s="2">
        <v>0</v>
      </c>
      <c r="M365" s="2">
        <f>+K365-L365</f>
        <v>190</v>
      </c>
      <c r="N365" s="2">
        <v>9.5</v>
      </c>
      <c r="O365" s="2">
        <v>0.5</v>
      </c>
      <c r="P365" s="2">
        <v>200</v>
      </c>
      <c r="Q365" t="s">
        <v>40</v>
      </c>
      <c r="S365" t="s">
        <v>27</v>
      </c>
      <c r="T365" s="8">
        <v>46010</v>
      </c>
      <c r="U365" s="7">
        <v>0.87633101851851847</v>
      </c>
    </row>
    <row r="366" spans="1:21" x14ac:dyDescent="0.2">
      <c r="A366">
        <v>691</v>
      </c>
      <c r="B366" t="s">
        <v>45</v>
      </c>
      <c r="C366" t="s">
        <v>24</v>
      </c>
      <c r="J366" t="s">
        <v>412</v>
      </c>
      <c r="K366" s="3">
        <v>635</v>
      </c>
      <c r="L366" s="2">
        <v>0</v>
      </c>
      <c r="M366" s="2">
        <f>+K366-L366</f>
        <v>635</v>
      </c>
      <c r="N366" s="2">
        <v>31.76</v>
      </c>
      <c r="O366" s="2">
        <v>0.24</v>
      </c>
      <c r="P366" s="2">
        <v>667</v>
      </c>
      <c r="Q366" t="s">
        <v>26</v>
      </c>
      <c r="S366" t="s">
        <v>27</v>
      </c>
      <c r="T366" s="8">
        <v>46010</v>
      </c>
      <c r="U366" s="7">
        <v>0.91224537037037035</v>
      </c>
    </row>
    <row r="367" spans="1:21" x14ac:dyDescent="0.2">
      <c r="A367">
        <v>692</v>
      </c>
      <c r="B367" t="s">
        <v>36</v>
      </c>
      <c r="C367" t="s">
        <v>24</v>
      </c>
      <c r="J367" t="s">
        <v>582</v>
      </c>
      <c r="K367" s="3">
        <v>0</v>
      </c>
      <c r="L367" s="2">
        <v>0</v>
      </c>
      <c r="M367" s="2">
        <f>+K367-L367</f>
        <v>0</v>
      </c>
      <c r="N367" s="2">
        <v>0</v>
      </c>
      <c r="O367" s="2">
        <v>0</v>
      </c>
      <c r="P367" s="2">
        <v>0</v>
      </c>
      <c r="Q367" t="s">
        <v>33</v>
      </c>
      <c r="S367" t="s">
        <v>27</v>
      </c>
      <c r="T367" s="8">
        <v>46010</v>
      </c>
      <c r="U367" s="7">
        <v>0.92262731481481486</v>
      </c>
    </row>
    <row r="368" spans="1:21" x14ac:dyDescent="0.2">
      <c r="A368">
        <v>693</v>
      </c>
      <c r="B368" t="s">
        <v>31</v>
      </c>
      <c r="C368" t="s">
        <v>24</v>
      </c>
      <c r="J368" t="s">
        <v>581</v>
      </c>
      <c r="K368" s="3">
        <v>0</v>
      </c>
      <c r="L368" s="2">
        <v>0</v>
      </c>
      <c r="M368" s="2">
        <f>+K368-L368</f>
        <v>0</v>
      </c>
      <c r="N368" s="2">
        <v>0</v>
      </c>
      <c r="O368" s="2">
        <v>0</v>
      </c>
      <c r="P368" s="2">
        <v>0</v>
      </c>
      <c r="Q368" t="s">
        <v>33</v>
      </c>
      <c r="S368" t="s">
        <v>27</v>
      </c>
      <c r="T368" s="8">
        <v>46010</v>
      </c>
      <c r="U368" s="7">
        <v>0.92296296296296299</v>
      </c>
    </row>
    <row r="369" spans="1:21" x14ac:dyDescent="0.2">
      <c r="A369">
        <v>694</v>
      </c>
      <c r="B369" t="s">
        <v>52</v>
      </c>
      <c r="C369" t="s">
        <v>24</v>
      </c>
      <c r="J369" t="s">
        <v>579</v>
      </c>
      <c r="K369" s="3">
        <v>535</v>
      </c>
      <c r="L369" s="2">
        <v>0</v>
      </c>
      <c r="M369" s="2">
        <f>+K369-L369</f>
        <v>535</v>
      </c>
      <c r="N369" s="2">
        <v>26.76</v>
      </c>
      <c r="O369" s="2">
        <v>0.24</v>
      </c>
      <c r="P369" s="2">
        <v>0</v>
      </c>
      <c r="Q369" t="s">
        <v>135</v>
      </c>
      <c r="R369" t="s">
        <v>580</v>
      </c>
      <c r="S369" t="s">
        <v>27</v>
      </c>
      <c r="T369" s="8">
        <v>46010</v>
      </c>
      <c r="U369" s="7">
        <v>0.94170138888888888</v>
      </c>
    </row>
    <row r="370" spans="1:21" x14ac:dyDescent="0.2">
      <c r="A370">
        <v>695</v>
      </c>
      <c r="B370" t="s">
        <v>34</v>
      </c>
      <c r="C370" t="s">
        <v>24</v>
      </c>
      <c r="J370" t="s">
        <v>578</v>
      </c>
      <c r="K370" s="3">
        <v>0</v>
      </c>
      <c r="L370" s="2">
        <v>0</v>
      </c>
      <c r="M370" s="2">
        <f>+K370-L370</f>
        <v>0</v>
      </c>
      <c r="N370" s="2">
        <v>0</v>
      </c>
      <c r="O370" s="2">
        <v>0</v>
      </c>
      <c r="P370" s="2">
        <v>0</v>
      </c>
      <c r="Q370" t="s">
        <v>33</v>
      </c>
      <c r="S370" t="s">
        <v>27</v>
      </c>
      <c r="T370" s="8">
        <v>46010</v>
      </c>
      <c r="U370" s="7">
        <v>0.96693287037037035</v>
      </c>
    </row>
    <row r="371" spans="1:21" x14ac:dyDescent="0.2">
      <c r="A371">
        <v>696</v>
      </c>
      <c r="B371" t="s">
        <v>43</v>
      </c>
      <c r="C371" t="s">
        <v>24</v>
      </c>
      <c r="J371" t="s">
        <v>577</v>
      </c>
      <c r="K371" s="3">
        <v>2353</v>
      </c>
      <c r="L371" s="2">
        <v>235.3</v>
      </c>
      <c r="M371" s="2">
        <f>+K371-L371</f>
        <v>2117.6999999999998</v>
      </c>
      <c r="N371" s="2">
        <v>101.48</v>
      </c>
      <c r="O371" s="2">
        <v>-0.18</v>
      </c>
      <c r="P371" s="2">
        <v>2219</v>
      </c>
      <c r="Q371" t="s">
        <v>40</v>
      </c>
      <c r="S371" t="s">
        <v>27</v>
      </c>
      <c r="T371" s="8">
        <v>46010</v>
      </c>
      <c r="U371" s="7">
        <v>0.96770833333333328</v>
      </c>
    </row>
    <row r="372" spans="1:21" x14ac:dyDescent="0.2">
      <c r="A372">
        <v>697</v>
      </c>
      <c r="B372" t="s">
        <v>394</v>
      </c>
      <c r="C372" t="s">
        <v>24</v>
      </c>
      <c r="J372" t="s">
        <v>460</v>
      </c>
      <c r="K372" s="3">
        <v>425</v>
      </c>
      <c r="L372" s="2">
        <v>0</v>
      </c>
      <c r="M372" s="2">
        <f>+K372-L372</f>
        <v>425</v>
      </c>
      <c r="N372" s="2">
        <v>21.26</v>
      </c>
      <c r="O372" s="2">
        <v>-0.26</v>
      </c>
      <c r="P372" s="2">
        <v>446</v>
      </c>
      <c r="Q372" t="s">
        <v>30</v>
      </c>
      <c r="S372" t="s">
        <v>27</v>
      </c>
      <c r="T372" s="8">
        <v>46010</v>
      </c>
      <c r="U372" s="7">
        <v>0.96783564814814815</v>
      </c>
    </row>
    <row r="373" spans="1:21" x14ac:dyDescent="0.2">
      <c r="A373">
        <v>698</v>
      </c>
      <c r="B373" t="s">
        <v>41</v>
      </c>
      <c r="C373" t="s">
        <v>24</v>
      </c>
      <c r="J373" t="s">
        <v>576</v>
      </c>
      <c r="K373" s="3">
        <v>1495</v>
      </c>
      <c r="L373" s="2">
        <v>224.25</v>
      </c>
      <c r="M373" s="2">
        <f>+K373-L373</f>
        <v>1270.75</v>
      </c>
      <c r="N373" s="2">
        <v>63.54</v>
      </c>
      <c r="O373" s="2">
        <v>-0.28999999999999998</v>
      </c>
      <c r="P373" s="2">
        <v>1334</v>
      </c>
      <c r="Q373" t="s">
        <v>33</v>
      </c>
      <c r="S373" t="s">
        <v>27</v>
      </c>
      <c r="T373" s="8">
        <v>46011</v>
      </c>
      <c r="U373" s="7">
        <v>0.61554398148148148</v>
      </c>
    </row>
    <row r="374" spans="1:21" x14ac:dyDescent="0.2">
      <c r="A374">
        <v>699</v>
      </c>
      <c r="B374" t="s">
        <v>52</v>
      </c>
      <c r="C374" t="s">
        <v>24</v>
      </c>
      <c r="J374" t="s">
        <v>575</v>
      </c>
      <c r="K374" s="3">
        <v>1700</v>
      </c>
      <c r="L374" s="2">
        <v>170</v>
      </c>
      <c r="M374" s="2">
        <f>+K374-L374</f>
        <v>1530</v>
      </c>
      <c r="N374" s="2">
        <v>73.8</v>
      </c>
      <c r="O374" s="2">
        <v>0.2</v>
      </c>
      <c r="P374" s="2">
        <v>1604</v>
      </c>
      <c r="Q374" t="s">
        <v>40</v>
      </c>
      <c r="S374" t="s">
        <v>27</v>
      </c>
      <c r="T374" s="8">
        <v>46011</v>
      </c>
      <c r="U374" s="7">
        <v>0.61648148148148152</v>
      </c>
    </row>
    <row r="375" spans="1:21" x14ac:dyDescent="0.2">
      <c r="A375">
        <v>700</v>
      </c>
      <c r="B375" t="s">
        <v>572</v>
      </c>
      <c r="C375" t="s">
        <v>24</v>
      </c>
      <c r="D375" t="s">
        <v>573</v>
      </c>
      <c r="J375" t="s">
        <v>574</v>
      </c>
      <c r="K375" s="3">
        <v>950</v>
      </c>
      <c r="L375" s="2">
        <v>95</v>
      </c>
      <c r="M375" s="2">
        <f>+K375-L375</f>
        <v>855</v>
      </c>
      <c r="N375" s="2">
        <v>42.76</v>
      </c>
      <c r="O375" s="2">
        <v>0.24</v>
      </c>
      <c r="P375" s="2">
        <v>898</v>
      </c>
      <c r="Q375" t="s">
        <v>30</v>
      </c>
      <c r="S375" t="s">
        <v>27</v>
      </c>
      <c r="T375" s="8">
        <v>46011</v>
      </c>
      <c r="U375" s="7">
        <v>0.61864583333333334</v>
      </c>
    </row>
    <row r="376" spans="1:21" x14ac:dyDescent="0.2">
      <c r="A376">
        <v>701</v>
      </c>
      <c r="B376" t="s">
        <v>54</v>
      </c>
      <c r="C376" t="s">
        <v>24</v>
      </c>
      <c r="J376" t="s">
        <v>571</v>
      </c>
      <c r="K376" s="3">
        <v>620</v>
      </c>
      <c r="L376" s="2">
        <v>0</v>
      </c>
      <c r="M376" s="2">
        <f>+K376-L376</f>
        <v>620</v>
      </c>
      <c r="N376" s="2">
        <v>29</v>
      </c>
      <c r="O376" s="2">
        <v>0</v>
      </c>
      <c r="P376" s="2">
        <v>649</v>
      </c>
      <c r="Q376" t="s">
        <v>40</v>
      </c>
      <c r="S376" t="s">
        <v>27</v>
      </c>
      <c r="T376" s="8">
        <v>46011</v>
      </c>
      <c r="U376" s="7">
        <v>0.63209490740740737</v>
      </c>
    </row>
    <row r="377" spans="1:21" x14ac:dyDescent="0.2">
      <c r="A377">
        <v>702</v>
      </c>
      <c r="B377" t="s">
        <v>305</v>
      </c>
      <c r="C377" t="s">
        <v>24</v>
      </c>
      <c r="J377" t="s">
        <v>570</v>
      </c>
      <c r="K377" s="3">
        <v>1035</v>
      </c>
      <c r="L377" s="2">
        <v>103.5</v>
      </c>
      <c r="M377" s="2">
        <f>+K377-L377</f>
        <v>931.5</v>
      </c>
      <c r="N377" s="2">
        <v>46.58</v>
      </c>
      <c r="O377" s="2">
        <v>-0.08</v>
      </c>
      <c r="P377" s="2">
        <v>978</v>
      </c>
      <c r="Q377" t="s">
        <v>40</v>
      </c>
      <c r="S377" t="s">
        <v>27</v>
      </c>
      <c r="T377" s="8">
        <v>46011</v>
      </c>
      <c r="U377" s="7">
        <v>0.63812500000000005</v>
      </c>
    </row>
    <row r="378" spans="1:21" x14ac:dyDescent="0.2">
      <c r="A378">
        <v>703</v>
      </c>
      <c r="B378" t="s">
        <v>95</v>
      </c>
      <c r="C378" t="s">
        <v>24</v>
      </c>
      <c r="J378" t="s">
        <v>90</v>
      </c>
      <c r="K378" s="3">
        <v>325</v>
      </c>
      <c r="L378" s="2">
        <v>0</v>
      </c>
      <c r="M378" s="2">
        <f>+K378-L378</f>
        <v>325</v>
      </c>
      <c r="N378" s="2">
        <v>16.260000000000002</v>
      </c>
      <c r="O378" s="2">
        <v>-0.26</v>
      </c>
      <c r="P378" s="2">
        <v>341</v>
      </c>
      <c r="Q378" t="s">
        <v>30</v>
      </c>
      <c r="S378" t="s">
        <v>27</v>
      </c>
      <c r="T378" s="8">
        <v>46011</v>
      </c>
      <c r="U378" s="7">
        <v>0.68599537037037039</v>
      </c>
    </row>
    <row r="379" spans="1:21" x14ac:dyDescent="0.2">
      <c r="A379">
        <v>704</v>
      </c>
      <c r="B379" t="s">
        <v>567</v>
      </c>
      <c r="C379" t="s">
        <v>24</v>
      </c>
      <c r="D379" t="s">
        <v>568</v>
      </c>
      <c r="J379" t="s">
        <v>569</v>
      </c>
      <c r="K379" s="3">
        <v>2425</v>
      </c>
      <c r="L379" s="2">
        <v>0</v>
      </c>
      <c r="M379" s="2">
        <f>+K379-L379</f>
        <v>2425</v>
      </c>
      <c r="N379" s="2">
        <v>121.26</v>
      </c>
      <c r="O379" s="2">
        <v>-0.26</v>
      </c>
      <c r="P379" s="2">
        <v>2546</v>
      </c>
      <c r="Q379" t="s">
        <v>30</v>
      </c>
      <c r="S379" t="s">
        <v>27</v>
      </c>
      <c r="T379" s="8">
        <v>46011</v>
      </c>
      <c r="U379" s="7">
        <v>0.69043981481481487</v>
      </c>
    </row>
    <row r="380" spans="1:21" x14ac:dyDescent="0.2">
      <c r="A380">
        <v>705</v>
      </c>
      <c r="B380" t="s">
        <v>564</v>
      </c>
      <c r="C380" t="s">
        <v>24</v>
      </c>
      <c r="D380" t="s">
        <v>565</v>
      </c>
      <c r="J380" t="s">
        <v>566</v>
      </c>
      <c r="K380" s="3">
        <v>510</v>
      </c>
      <c r="L380" s="2">
        <v>76.5</v>
      </c>
      <c r="M380" s="2">
        <f>+K380-L380</f>
        <v>433.5</v>
      </c>
      <c r="N380" s="2">
        <v>19.12</v>
      </c>
      <c r="O380" s="2">
        <v>0.38</v>
      </c>
      <c r="P380" s="2">
        <v>453</v>
      </c>
      <c r="Q380" t="s">
        <v>40</v>
      </c>
      <c r="S380" t="s">
        <v>27</v>
      </c>
      <c r="T380" s="8">
        <v>46011</v>
      </c>
      <c r="U380" s="7">
        <v>0.6909953703703704</v>
      </c>
    </row>
    <row r="381" spans="1:21" x14ac:dyDescent="0.2">
      <c r="A381">
        <v>706</v>
      </c>
      <c r="B381" t="s">
        <v>102</v>
      </c>
      <c r="C381" t="s">
        <v>24</v>
      </c>
      <c r="J381" t="s">
        <v>563</v>
      </c>
      <c r="K381" s="3">
        <v>725</v>
      </c>
      <c r="L381" s="2">
        <v>0</v>
      </c>
      <c r="M381" s="2">
        <f>+K381-L381</f>
        <v>725</v>
      </c>
      <c r="N381" s="2">
        <v>36.26</v>
      </c>
      <c r="O381" s="2">
        <v>-0.26</v>
      </c>
      <c r="P381" s="2">
        <v>761</v>
      </c>
      <c r="Q381" t="s">
        <v>30</v>
      </c>
      <c r="S381" t="s">
        <v>27</v>
      </c>
      <c r="T381" s="8">
        <v>46011</v>
      </c>
      <c r="U381" s="7">
        <v>0.6958333333333333</v>
      </c>
    </row>
    <row r="382" spans="1:21" x14ac:dyDescent="0.2">
      <c r="A382">
        <v>707</v>
      </c>
      <c r="B382" t="s">
        <v>50</v>
      </c>
      <c r="C382" t="s">
        <v>24</v>
      </c>
      <c r="J382" t="s">
        <v>76</v>
      </c>
      <c r="K382" s="3">
        <v>250</v>
      </c>
      <c r="L382" s="2">
        <v>0</v>
      </c>
      <c r="M382" s="2">
        <f>+K382-L382</f>
        <v>250</v>
      </c>
      <c r="N382" s="2">
        <v>12.5</v>
      </c>
      <c r="O382" s="2">
        <v>0.5</v>
      </c>
      <c r="P382" s="2">
        <v>263</v>
      </c>
      <c r="Q382" t="s">
        <v>30</v>
      </c>
      <c r="S382" t="s">
        <v>27</v>
      </c>
      <c r="T382" s="8">
        <v>46011</v>
      </c>
      <c r="U382" s="7">
        <v>0.69817129629629626</v>
      </c>
    </row>
    <row r="383" spans="1:21" x14ac:dyDescent="0.2">
      <c r="A383">
        <v>708</v>
      </c>
      <c r="B383" t="s">
        <v>561</v>
      </c>
      <c r="C383" t="s">
        <v>24</v>
      </c>
      <c r="J383" t="s">
        <v>562</v>
      </c>
      <c r="K383" s="3">
        <v>1230</v>
      </c>
      <c r="L383" s="2">
        <v>0</v>
      </c>
      <c r="M383" s="2">
        <f>+K383-L383</f>
        <v>1230</v>
      </c>
      <c r="N383" s="2">
        <v>61.5</v>
      </c>
      <c r="O383" s="2">
        <v>0.5</v>
      </c>
      <c r="P383" s="2">
        <v>1292</v>
      </c>
      <c r="Q383" t="s">
        <v>33</v>
      </c>
      <c r="S383" t="s">
        <v>27</v>
      </c>
      <c r="T383" s="8">
        <v>46011</v>
      </c>
      <c r="U383" s="7">
        <v>0.72291666666666665</v>
      </c>
    </row>
    <row r="384" spans="1:21" x14ac:dyDescent="0.2">
      <c r="A384">
        <v>709</v>
      </c>
      <c r="B384" t="s">
        <v>558</v>
      </c>
      <c r="C384" t="s">
        <v>24</v>
      </c>
      <c r="D384" t="s">
        <v>559</v>
      </c>
      <c r="J384" t="s">
        <v>560</v>
      </c>
      <c r="K384" s="3">
        <v>1955</v>
      </c>
      <c r="L384" s="2">
        <v>195.5</v>
      </c>
      <c r="M384" s="2">
        <f>+K384-L384</f>
        <v>1759.5</v>
      </c>
      <c r="N384" s="2">
        <v>87.98</v>
      </c>
      <c r="O384" s="2">
        <v>-0.48</v>
      </c>
      <c r="P384" s="2">
        <v>1847</v>
      </c>
      <c r="Q384" t="s">
        <v>30</v>
      </c>
      <c r="S384" t="s">
        <v>27</v>
      </c>
      <c r="T384" s="8">
        <v>46011</v>
      </c>
      <c r="U384" s="7">
        <v>0.7270833333333333</v>
      </c>
    </row>
    <row r="385" spans="1:21" x14ac:dyDescent="0.2">
      <c r="A385">
        <v>710</v>
      </c>
      <c r="B385" t="s">
        <v>555</v>
      </c>
      <c r="C385" t="s">
        <v>24</v>
      </c>
      <c r="D385" t="s">
        <v>556</v>
      </c>
      <c r="J385" t="s">
        <v>557</v>
      </c>
      <c r="K385" s="3">
        <v>1850</v>
      </c>
      <c r="L385" s="2">
        <v>185</v>
      </c>
      <c r="M385" s="2">
        <f>+K385-L385</f>
        <v>1665</v>
      </c>
      <c r="N385" s="2">
        <v>83.26</v>
      </c>
      <c r="O385" s="2">
        <v>-0.26</v>
      </c>
      <c r="P385" s="2">
        <v>1748</v>
      </c>
      <c r="Q385" t="s">
        <v>26</v>
      </c>
      <c r="S385" t="s">
        <v>27</v>
      </c>
      <c r="T385" s="8">
        <v>46011</v>
      </c>
      <c r="U385" s="7">
        <v>0.73431712962962958</v>
      </c>
    </row>
    <row r="386" spans="1:21" x14ac:dyDescent="0.2">
      <c r="A386">
        <v>711</v>
      </c>
      <c r="B386" t="s">
        <v>553</v>
      </c>
      <c r="C386" t="s">
        <v>24</v>
      </c>
      <c r="J386" t="s">
        <v>554</v>
      </c>
      <c r="K386" s="3">
        <v>1660</v>
      </c>
      <c r="L386" s="2">
        <v>0</v>
      </c>
      <c r="M386" s="2">
        <f>+K386-L386</f>
        <v>1660</v>
      </c>
      <c r="N386" s="2">
        <v>63.5</v>
      </c>
      <c r="O386" s="2">
        <v>0.5</v>
      </c>
      <c r="P386" s="2">
        <v>1724</v>
      </c>
      <c r="Q386" t="s">
        <v>30</v>
      </c>
      <c r="S386" t="s">
        <v>27</v>
      </c>
      <c r="T386" s="8">
        <v>46011</v>
      </c>
      <c r="U386" s="7">
        <v>0.74387731481481478</v>
      </c>
    </row>
    <row r="387" spans="1:21" x14ac:dyDescent="0.2">
      <c r="A387">
        <v>712</v>
      </c>
      <c r="B387" t="s">
        <v>491</v>
      </c>
      <c r="C387" t="s">
        <v>24</v>
      </c>
      <c r="J387" t="s">
        <v>1220</v>
      </c>
      <c r="K387" s="3">
        <v>15438</v>
      </c>
      <c r="L387" s="2">
        <v>2315.6999999999998</v>
      </c>
      <c r="M387" s="2">
        <f>+K387-L387</f>
        <v>13122.3</v>
      </c>
      <c r="N387" s="2">
        <v>921.32</v>
      </c>
      <c r="O387" s="2">
        <v>0.38</v>
      </c>
      <c r="P387" s="2">
        <v>14044</v>
      </c>
      <c r="Q387" t="s">
        <v>30</v>
      </c>
      <c r="S387" t="s">
        <v>27</v>
      </c>
      <c r="T387" s="8">
        <v>46011</v>
      </c>
      <c r="U387" s="7">
        <v>0.75743055555555561</v>
      </c>
    </row>
    <row r="388" spans="1:21" x14ac:dyDescent="0.2">
      <c r="A388">
        <v>713</v>
      </c>
      <c r="B388" t="s">
        <v>547</v>
      </c>
      <c r="C388" t="s">
        <v>24</v>
      </c>
      <c r="D388" t="s">
        <v>552</v>
      </c>
      <c r="J388" t="s">
        <v>71</v>
      </c>
      <c r="K388" s="3">
        <v>60</v>
      </c>
      <c r="L388" s="2">
        <v>0</v>
      </c>
      <c r="M388" s="2">
        <f>+K388-L388</f>
        <v>60</v>
      </c>
      <c r="N388" s="2">
        <v>0</v>
      </c>
      <c r="O388" s="2">
        <v>0</v>
      </c>
      <c r="P388" s="2">
        <v>60</v>
      </c>
      <c r="Q388" t="s">
        <v>40</v>
      </c>
      <c r="S388" t="s">
        <v>27</v>
      </c>
      <c r="T388" s="8">
        <v>46011</v>
      </c>
      <c r="U388" s="7">
        <v>0.76053240740740746</v>
      </c>
    </row>
    <row r="389" spans="1:21" x14ac:dyDescent="0.2">
      <c r="A389">
        <v>714</v>
      </c>
      <c r="B389" t="s">
        <v>550</v>
      </c>
      <c r="C389" t="s">
        <v>24</v>
      </c>
      <c r="D389" t="s">
        <v>551</v>
      </c>
      <c r="J389" t="s">
        <v>518</v>
      </c>
      <c r="K389" s="3">
        <v>380</v>
      </c>
      <c r="L389" s="2">
        <v>0</v>
      </c>
      <c r="M389" s="2">
        <f>+K389-L389</f>
        <v>380</v>
      </c>
      <c r="N389" s="2">
        <v>19</v>
      </c>
      <c r="O389" s="2">
        <v>0</v>
      </c>
      <c r="P389" s="2">
        <v>399</v>
      </c>
      <c r="Q389" t="s">
        <v>40</v>
      </c>
      <c r="S389" t="s">
        <v>27</v>
      </c>
      <c r="T389" s="8">
        <v>46011</v>
      </c>
      <c r="U389" s="7">
        <v>0.76101851851851854</v>
      </c>
    </row>
    <row r="390" spans="1:21" x14ac:dyDescent="0.2">
      <c r="A390">
        <v>715</v>
      </c>
      <c r="B390" t="s">
        <v>547</v>
      </c>
      <c r="C390" t="s">
        <v>24</v>
      </c>
      <c r="D390" t="s">
        <v>548</v>
      </c>
      <c r="J390" t="s">
        <v>549</v>
      </c>
      <c r="K390" s="3">
        <v>660</v>
      </c>
      <c r="L390" s="2">
        <v>0</v>
      </c>
      <c r="M390" s="2">
        <f>+K390-L390</f>
        <v>660</v>
      </c>
      <c r="N390" s="2">
        <v>33</v>
      </c>
      <c r="O390" s="2">
        <v>0</v>
      </c>
      <c r="P390" s="2">
        <v>693</v>
      </c>
      <c r="Q390" t="s">
        <v>40</v>
      </c>
      <c r="S390" t="s">
        <v>27</v>
      </c>
      <c r="T390" s="8">
        <v>46011</v>
      </c>
      <c r="U390" s="7">
        <v>0.76269675925925928</v>
      </c>
    </row>
    <row r="391" spans="1:21" x14ac:dyDescent="0.2">
      <c r="A391">
        <v>716</v>
      </c>
      <c r="B391" t="s">
        <v>133</v>
      </c>
      <c r="C391" t="s">
        <v>24</v>
      </c>
      <c r="D391" t="s">
        <v>545</v>
      </c>
      <c r="J391" t="s">
        <v>546</v>
      </c>
      <c r="K391" s="3">
        <v>2065</v>
      </c>
      <c r="L391" s="2">
        <v>206.5</v>
      </c>
      <c r="M391" s="2">
        <f>+K391-L391</f>
        <v>1858.5</v>
      </c>
      <c r="N391" s="2">
        <v>92.92</v>
      </c>
      <c r="O391" s="2">
        <v>-0.42</v>
      </c>
      <c r="P391" s="2">
        <v>1951</v>
      </c>
      <c r="Q391" t="s">
        <v>30</v>
      </c>
      <c r="S391" t="s">
        <v>27</v>
      </c>
      <c r="T391" s="8">
        <v>46011</v>
      </c>
      <c r="U391" s="7">
        <v>0.7792013888888889</v>
      </c>
    </row>
    <row r="392" spans="1:21" x14ac:dyDescent="0.2">
      <c r="A392">
        <v>717</v>
      </c>
      <c r="B392" t="s">
        <v>100</v>
      </c>
      <c r="C392" t="s">
        <v>24</v>
      </c>
      <c r="J392" t="s">
        <v>544</v>
      </c>
      <c r="K392" s="3">
        <v>875</v>
      </c>
      <c r="L392" s="2">
        <v>87.5</v>
      </c>
      <c r="M392" s="2">
        <f>+K392-L392</f>
        <v>787.5</v>
      </c>
      <c r="N392" s="2">
        <v>39.380000000000003</v>
      </c>
      <c r="O392" s="2">
        <v>0.12</v>
      </c>
      <c r="P392" s="2">
        <v>827</v>
      </c>
      <c r="Q392" t="s">
        <v>30</v>
      </c>
      <c r="S392" t="s">
        <v>27</v>
      </c>
      <c r="T392" s="8">
        <v>46011</v>
      </c>
      <c r="U392" s="7">
        <v>0.79085648148148147</v>
      </c>
    </row>
    <row r="393" spans="1:21" x14ac:dyDescent="0.2">
      <c r="A393">
        <v>718</v>
      </c>
      <c r="B393" t="s">
        <v>542</v>
      </c>
      <c r="C393" t="s">
        <v>24</v>
      </c>
      <c r="J393" t="s">
        <v>543</v>
      </c>
      <c r="K393" s="3">
        <v>1020</v>
      </c>
      <c r="L393" s="2">
        <v>102</v>
      </c>
      <c r="M393" s="2">
        <f>+K393-L393</f>
        <v>918</v>
      </c>
      <c r="N393" s="2">
        <v>45.9</v>
      </c>
      <c r="O393" s="2">
        <v>0.1</v>
      </c>
      <c r="P393" s="2">
        <v>964</v>
      </c>
      <c r="Q393" t="s">
        <v>26</v>
      </c>
      <c r="S393" t="s">
        <v>27</v>
      </c>
      <c r="T393" s="8">
        <v>46011</v>
      </c>
      <c r="U393" s="7">
        <v>0.80354166666666671</v>
      </c>
    </row>
    <row r="394" spans="1:21" x14ac:dyDescent="0.2">
      <c r="A394">
        <v>719</v>
      </c>
      <c r="B394" t="s">
        <v>539</v>
      </c>
      <c r="C394" t="s">
        <v>24</v>
      </c>
      <c r="D394" t="s">
        <v>540</v>
      </c>
      <c r="J394" t="s">
        <v>541</v>
      </c>
      <c r="K394" s="3">
        <v>495</v>
      </c>
      <c r="L394" s="2">
        <v>0</v>
      </c>
      <c r="M394" s="2">
        <f>+K394-L394</f>
        <v>495</v>
      </c>
      <c r="N394" s="2">
        <v>24.76</v>
      </c>
      <c r="O394" s="2">
        <v>0.24</v>
      </c>
      <c r="P394" s="2">
        <v>520</v>
      </c>
      <c r="Q394" t="s">
        <v>40</v>
      </c>
      <c r="S394" t="s">
        <v>27</v>
      </c>
      <c r="T394" s="8">
        <v>46011</v>
      </c>
      <c r="U394" s="7">
        <v>0.85043981481481479</v>
      </c>
    </row>
    <row r="395" spans="1:21" x14ac:dyDescent="0.2">
      <c r="A395">
        <v>720</v>
      </c>
      <c r="B395" t="s">
        <v>537</v>
      </c>
      <c r="C395" t="s">
        <v>24</v>
      </c>
      <c r="J395" t="s">
        <v>538</v>
      </c>
      <c r="K395" s="3">
        <v>290</v>
      </c>
      <c r="L395" s="2">
        <v>0</v>
      </c>
      <c r="M395" s="2">
        <f>+K395-L395</f>
        <v>290</v>
      </c>
      <c r="N395" s="2">
        <v>14.5</v>
      </c>
      <c r="O395" s="2">
        <v>0.5</v>
      </c>
      <c r="P395" s="2">
        <v>305</v>
      </c>
      <c r="Q395" t="s">
        <v>30</v>
      </c>
      <c r="S395" t="s">
        <v>27</v>
      </c>
      <c r="T395" s="8">
        <v>46011</v>
      </c>
      <c r="U395" s="7">
        <v>0.85888888888888892</v>
      </c>
    </row>
    <row r="396" spans="1:21" x14ac:dyDescent="0.2">
      <c r="A396">
        <v>721</v>
      </c>
      <c r="B396" t="s">
        <v>535</v>
      </c>
      <c r="C396" t="s">
        <v>24</v>
      </c>
      <c r="J396" t="s">
        <v>536</v>
      </c>
      <c r="K396" s="3">
        <v>830</v>
      </c>
      <c r="L396" s="2">
        <v>83</v>
      </c>
      <c r="M396" s="2">
        <f>+K396-L396</f>
        <v>747</v>
      </c>
      <c r="N396" s="2">
        <v>37.36</v>
      </c>
      <c r="O396" s="2">
        <v>-0.36</v>
      </c>
      <c r="P396" s="2">
        <v>784</v>
      </c>
      <c r="Q396" t="s">
        <v>26</v>
      </c>
      <c r="S396" t="s">
        <v>27</v>
      </c>
      <c r="T396" s="8">
        <v>46011</v>
      </c>
      <c r="U396" s="7">
        <v>0.8619444444444444</v>
      </c>
    </row>
    <row r="397" spans="1:21" x14ac:dyDescent="0.2">
      <c r="A397">
        <v>722</v>
      </c>
      <c r="B397" t="s">
        <v>23</v>
      </c>
      <c r="C397" t="s">
        <v>24</v>
      </c>
      <c r="J397" t="s">
        <v>533</v>
      </c>
      <c r="K397" s="3">
        <v>1150</v>
      </c>
      <c r="L397" s="2">
        <v>115</v>
      </c>
      <c r="M397" s="2">
        <f>+K397-L397</f>
        <v>1035</v>
      </c>
      <c r="N397" s="2">
        <v>51.76</v>
      </c>
      <c r="O397" s="2">
        <v>0.24</v>
      </c>
      <c r="P397" s="2">
        <v>0</v>
      </c>
      <c r="Q397" t="s">
        <v>135</v>
      </c>
      <c r="R397" t="s">
        <v>534</v>
      </c>
      <c r="S397" t="s">
        <v>27</v>
      </c>
      <c r="T397" s="8">
        <v>46011</v>
      </c>
      <c r="U397" s="7">
        <v>0.87780092592592596</v>
      </c>
    </row>
    <row r="398" spans="1:21" x14ac:dyDescent="0.2">
      <c r="A398">
        <v>723</v>
      </c>
      <c r="B398" t="s">
        <v>45</v>
      </c>
      <c r="C398" t="s">
        <v>24</v>
      </c>
      <c r="J398" t="s">
        <v>532</v>
      </c>
      <c r="K398" s="3">
        <v>1155</v>
      </c>
      <c r="L398" s="2">
        <v>0</v>
      </c>
      <c r="M398" s="2">
        <f>+K398-L398</f>
        <v>1155</v>
      </c>
      <c r="N398" s="2">
        <v>57.76</v>
      </c>
      <c r="O398" s="2">
        <v>0.24</v>
      </c>
      <c r="P398" s="2">
        <v>1213</v>
      </c>
      <c r="Q398" t="s">
        <v>40</v>
      </c>
      <c r="S398" t="s">
        <v>27</v>
      </c>
      <c r="T398" s="8">
        <v>46011</v>
      </c>
      <c r="U398" s="7">
        <v>0.89015046296296296</v>
      </c>
    </row>
    <row r="399" spans="1:21" x14ac:dyDescent="0.2">
      <c r="A399">
        <v>724</v>
      </c>
      <c r="B399" t="s">
        <v>530</v>
      </c>
      <c r="C399" t="s">
        <v>24</v>
      </c>
      <c r="J399" t="s">
        <v>531</v>
      </c>
      <c r="K399" s="3">
        <v>1065</v>
      </c>
      <c r="L399" s="2">
        <v>106.5</v>
      </c>
      <c r="M399" s="2">
        <f>+K399-L399</f>
        <v>958.5</v>
      </c>
      <c r="N399" s="2">
        <v>47.92</v>
      </c>
      <c r="O399" s="2">
        <v>-0.42</v>
      </c>
      <c r="P399" s="2">
        <v>1006</v>
      </c>
      <c r="Q399" t="s">
        <v>33</v>
      </c>
      <c r="S399" t="s">
        <v>27</v>
      </c>
      <c r="T399" s="8">
        <v>46011</v>
      </c>
      <c r="U399" s="7">
        <v>0.89519675925925923</v>
      </c>
    </row>
    <row r="400" spans="1:21" x14ac:dyDescent="0.2">
      <c r="A400">
        <v>725</v>
      </c>
      <c r="B400" t="s">
        <v>528</v>
      </c>
      <c r="C400" t="s">
        <v>24</v>
      </c>
      <c r="J400" t="s">
        <v>529</v>
      </c>
      <c r="K400" s="3">
        <v>895</v>
      </c>
      <c r="L400" s="2">
        <v>0</v>
      </c>
      <c r="M400" s="2">
        <f>+K400-L400</f>
        <v>895</v>
      </c>
      <c r="N400" s="2">
        <v>44.76</v>
      </c>
      <c r="O400" s="2">
        <v>0.24</v>
      </c>
      <c r="P400" s="2">
        <v>940</v>
      </c>
      <c r="Q400" t="s">
        <v>26</v>
      </c>
      <c r="S400" t="s">
        <v>27</v>
      </c>
      <c r="T400" s="8">
        <v>46011</v>
      </c>
      <c r="U400" s="7">
        <v>0.90030092592592592</v>
      </c>
    </row>
    <row r="401" spans="1:21" x14ac:dyDescent="0.2">
      <c r="A401">
        <v>726</v>
      </c>
      <c r="B401" t="s">
        <v>527</v>
      </c>
      <c r="C401" t="s">
        <v>24</v>
      </c>
      <c r="J401" t="s">
        <v>214</v>
      </c>
      <c r="K401" s="3">
        <v>295</v>
      </c>
      <c r="L401" s="2">
        <v>0</v>
      </c>
      <c r="M401" s="2">
        <f>+K401-L401</f>
        <v>295</v>
      </c>
      <c r="N401" s="2">
        <v>14.76</v>
      </c>
      <c r="O401" s="2">
        <v>0.24</v>
      </c>
      <c r="P401" s="2">
        <v>310</v>
      </c>
      <c r="Q401" t="s">
        <v>30</v>
      </c>
      <c r="S401" t="s">
        <v>27</v>
      </c>
      <c r="T401" s="8">
        <v>46011</v>
      </c>
      <c r="U401" s="7">
        <v>0.91894675925925928</v>
      </c>
    </row>
    <row r="402" spans="1:21" x14ac:dyDescent="0.2">
      <c r="A402">
        <v>727</v>
      </c>
      <c r="B402" t="s">
        <v>503</v>
      </c>
      <c r="C402" t="s">
        <v>24</v>
      </c>
      <c r="D402" t="s">
        <v>525</v>
      </c>
      <c r="J402" t="s">
        <v>526</v>
      </c>
      <c r="K402" s="3">
        <v>935</v>
      </c>
      <c r="L402" s="2">
        <v>93.5</v>
      </c>
      <c r="M402" s="2">
        <f>+K402-L402</f>
        <v>841.5</v>
      </c>
      <c r="N402" s="2">
        <v>42.08</v>
      </c>
      <c r="O402" s="2">
        <v>0.42</v>
      </c>
      <c r="P402" s="2">
        <v>884</v>
      </c>
      <c r="Q402" t="s">
        <v>30</v>
      </c>
      <c r="S402" t="s">
        <v>27</v>
      </c>
      <c r="T402" s="8">
        <v>46011</v>
      </c>
      <c r="U402" s="7">
        <v>0.92355324074074074</v>
      </c>
    </row>
    <row r="403" spans="1:21" x14ac:dyDescent="0.2">
      <c r="A403">
        <v>728</v>
      </c>
      <c r="B403" t="s">
        <v>23</v>
      </c>
      <c r="C403" t="s">
        <v>24</v>
      </c>
      <c r="J403" t="s">
        <v>524</v>
      </c>
      <c r="K403" s="3">
        <v>1095</v>
      </c>
      <c r="L403" s="2">
        <v>0</v>
      </c>
      <c r="M403" s="2">
        <f>+K403-L403</f>
        <v>1095</v>
      </c>
      <c r="N403" s="2">
        <v>54.76</v>
      </c>
      <c r="O403" s="2">
        <v>0.24</v>
      </c>
      <c r="P403" s="2">
        <v>1150</v>
      </c>
      <c r="Q403" t="s">
        <v>26</v>
      </c>
      <c r="S403" t="s">
        <v>27</v>
      </c>
      <c r="T403" s="8">
        <v>46011</v>
      </c>
      <c r="U403" s="7">
        <v>0.93936342592592592</v>
      </c>
    </row>
    <row r="404" spans="1:21" x14ac:dyDescent="0.2">
      <c r="A404">
        <v>729</v>
      </c>
      <c r="B404" t="s">
        <v>523</v>
      </c>
      <c r="C404" t="s">
        <v>24</v>
      </c>
      <c r="J404" t="s">
        <v>378</v>
      </c>
      <c r="K404" s="3">
        <v>280</v>
      </c>
      <c r="L404" s="2">
        <v>0</v>
      </c>
      <c r="M404" s="2">
        <f>+K404-L404</f>
        <v>280</v>
      </c>
      <c r="N404" s="2">
        <v>14</v>
      </c>
      <c r="O404" s="2">
        <v>0</v>
      </c>
      <c r="P404" s="2">
        <v>294</v>
      </c>
      <c r="Q404" t="s">
        <v>40</v>
      </c>
      <c r="S404" t="s">
        <v>27</v>
      </c>
      <c r="T404" s="8">
        <v>46011</v>
      </c>
      <c r="U404" s="7">
        <v>0.94840277777777782</v>
      </c>
    </row>
    <row r="405" spans="1:21" x14ac:dyDescent="0.2">
      <c r="A405">
        <v>730</v>
      </c>
      <c r="B405" t="s">
        <v>520</v>
      </c>
      <c r="C405" t="s">
        <v>24</v>
      </c>
      <c r="D405" t="s">
        <v>521</v>
      </c>
      <c r="J405" t="s">
        <v>522</v>
      </c>
      <c r="K405" s="3">
        <v>380</v>
      </c>
      <c r="L405" s="2">
        <v>0</v>
      </c>
      <c r="M405" s="2">
        <f>+K405-L405</f>
        <v>380</v>
      </c>
      <c r="N405" s="2">
        <v>19</v>
      </c>
      <c r="O405" s="2">
        <v>0</v>
      </c>
      <c r="P405" s="2">
        <v>399</v>
      </c>
      <c r="Q405" t="s">
        <v>40</v>
      </c>
      <c r="S405" t="s">
        <v>27</v>
      </c>
      <c r="T405" s="8">
        <v>46011</v>
      </c>
      <c r="U405" s="7">
        <v>0.95226851851851857</v>
      </c>
    </row>
    <row r="406" spans="1:21" x14ac:dyDescent="0.2">
      <c r="A406">
        <v>731</v>
      </c>
      <c r="B406" t="s">
        <v>303</v>
      </c>
      <c r="C406" t="s">
        <v>24</v>
      </c>
      <c r="D406" t="s">
        <v>519</v>
      </c>
      <c r="J406" t="s">
        <v>94</v>
      </c>
      <c r="K406" s="3">
        <v>165</v>
      </c>
      <c r="L406" s="2">
        <v>0</v>
      </c>
      <c r="M406" s="2">
        <f>+K406-L406</f>
        <v>165</v>
      </c>
      <c r="N406" s="2">
        <v>8.26</v>
      </c>
      <c r="O406" s="2">
        <v>-0.26</v>
      </c>
      <c r="P406" s="2">
        <v>173</v>
      </c>
      <c r="Q406" t="s">
        <v>30</v>
      </c>
      <c r="S406" t="s">
        <v>27</v>
      </c>
      <c r="T406" s="8">
        <v>46011</v>
      </c>
      <c r="U406" s="7">
        <v>0.95232638888888888</v>
      </c>
    </row>
    <row r="407" spans="1:21" x14ac:dyDescent="0.2">
      <c r="A407">
        <v>732</v>
      </c>
      <c r="B407" t="s">
        <v>516</v>
      </c>
      <c r="C407" t="s">
        <v>24</v>
      </c>
      <c r="D407" t="s">
        <v>517</v>
      </c>
      <c r="J407" t="s">
        <v>518</v>
      </c>
      <c r="K407" s="3">
        <v>380</v>
      </c>
      <c r="L407" s="2">
        <v>0</v>
      </c>
      <c r="M407" s="2">
        <f>+K407-L407</f>
        <v>380</v>
      </c>
      <c r="N407" s="2">
        <v>19</v>
      </c>
      <c r="O407" s="2">
        <v>0</v>
      </c>
      <c r="P407" s="2">
        <v>399</v>
      </c>
      <c r="Q407" t="s">
        <v>40</v>
      </c>
      <c r="S407" t="s">
        <v>27</v>
      </c>
      <c r="T407" s="8">
        <v>46011</v>
      </c>
      <c r="U407" s="7">
        <v>0.95719907407407412</v>
      </c>
    </row>
    <row r="408" spans="1:21" x14ac:dyDescent="0.2">
      <c r="A408">
        <v>733</v>
      </c>
      <c r="B408" t="s">
        <v>164</v>
      </c>
      <c r="C408" t="s">
        <v>24</v>
      </c>
      <c r="J408" t="s">
        <v>515</v>
      </c>
      <c r="K408" s="3">
        <v>830</v>
      </c>
      <c r="L408" s="2">
        <v>0</v>
      </c>
      <c r="M408" s="2">
        <f>+K408-L408</f>
        <v>830</v>
      </c>
      <c r="N408" s="2">
        <v>41.5</v>
      </c>
      <c r="O408" s="2">
        <v>0.5</v>
      </c>
      <c r="P408" s="2">
        <v>872</v>
      </c>
      <c r="Q408" t="s">
        <v>40</v>
      </c>
      <c r="S408" t="s">
        <v>27</v>
      </c>
      <c r="T408" s="8">
        <v>46011</v>
      </c>
      <c r="U408" s="7">
        <v>0.95835648148148145</v>
      </c>
    </row>
    <row r="409" spans="1:21" x14ac:dyDescent="0.2">
      <c r="A409">
        <v>734</v>
      </c>
      <c r="B409" t="s">
        <v>85</v>
      </c>
      <c r="C409" t="s">
        <v>24</v>
      </c>
      <c r="D409" t="s">
        <v>514</v>
      </c>
      <c r="J409" t="s">
        <v>177</v>
      </c>
      <c r="K409" s="3">
        <v>425</v>
      </c>
      <c r="L409" s="2">
        <v>0</v>
      </c>
      <c r="M409" s="2">
        <f>+K409-L409</f>
        <v>425</v>
      </c>
      <c r="N409" s="2">
        <v>21.26</v>
      </c>
      <c r="O409" s="2">
        <v>-0.26</v>
      </c>
      <c r="P409" s="2">
        <v>446</v>
      </c>
      <c r="Q409" t="s">
        <v>40</v>
      </c>
      <c r="S409" t="s">
        <v>27</v>
      </c>
      <c r="T409" s="8">
        <v>46011</v>
      </c>
      <c r="U409" s="7">
        <v>0.95961805555555557</v>
      </c>
    </row>
    <row r="410" spans="1:21" x14ac:dyDescent="0.2">
      <c r="A410">
        <v>735</v>
      </c>
      <c r="B410" t="s">
        <v>512</v>
      </c>
      <c r="C410" t="s">
        <v>24</v>
      </c>
      <c r="J410" t="s">
        <v>513</v>
      </c>
      <c r="K410" s="3">
        <v>450</v>
      </c>
      <c r="L410" s="2">
        <v>0</v>
      </c>
      <c r="M410" s="2">
        <f>+K410-L410</f>
        <v>450</v>
      </c>
      <c r="N410" s="2">
        <v>22.5</v>
      </c>
      <c r="O410" s="2">
        <v>0.5</v>
      </c>
      <c r="P410" s="2">
        <v>473</v>
      </c>
      <c r="Q410" t="s">
        <v>40</v>
      </c>
      <c r="S410" t="s">
        <v>27</v>
      </c>
      <c r="T410" s="8">
        <v>46011</v>
      </c>
      <c r="U410" s="7">
        <v>0.9650347222222222</v>
      </c>
    </row>
    <row r="411" spans="1:21" x14ac:dyDescent="0.2">
      <c r="A411">
        <v>736</v>
      </c>
      <c r="B411" t="s">
        <v>510</v>
      </c>
      <c r="C411" t="s">
        <v>24</v>
      </c>
      <c r="J411" t="s">
        <v>511</v>
      </c>
      <c r="K411" s="3">
        <v>725</v>
      </c>
      <c r="L411" s="2">
        <v>72.5</v>
      </c>
      <c r="M411" s="2">
        <f>+K411-L411</f>
        <v>652.5</v>
      </c>
      <c r="N411" s="2">
        <v>32.619999999999997</v>
      </c>
      <c r="O411" s="2">
        <v>-0.12</v>
      </c>
      <c r="P411" s="2">
        <v>685</v>
      </c>
      <c r="Q411" t="s">
        <v>30</v>
      </c>
      <c r="S411" t="s">
        <v>27</v>
      </c>
      <c r="T411" s="8">
        <v>46011</v>
      </c>
      <c r="U411" s="7">
        <v>0.96750000000000003</v>
      </c>
    </row>
    <row r="412" spans="1:21" x14ac:dyDescent="0.2">
      <c r="A412">
        <v>737</v>
      </c>
      <c r="B412" t="s">
        <v>508</v>
      </c>
      <c r="C412" t="s">
        <v>24</v>
      </c>
      <c r="J412" t="s">
        <v>509</v>
      </c>
      <c r="K412" s="3">
        <v>190</v>
      </c>
      <c r="L412" s="2">
        <v>0</v>
      </c>
      <c r="M412" s="2">
        <f>+K412-L412</f>
        <v>190</v>
      </c>
      <c r="N412" s="2">
        <v>9.5</v>
      </c>
      <c r="O412" s="2">
        <v>0.5</v>
      </c>
      <c r="P412" s="2">
        <v>200</v>
      </c>
      <c r="Q412" t="s">
        <v>30</v>
      </c>
      <c r="S412" t="s">
        <v>27</v>
      </c>
      <c r="T412" s="8">
        <v>46011</v>
      </c>
      <c r="U412" s="7">
        <v>0.96857638888888886</v>
      </c>
    </row>
    <row r="413" spans="1:21" x14ac:dyDescent="0.2">
      <c r="A413">
        <v>738</v>
      </c>
      <c r="B413" t="s">
        <v>505</v>
      </c>
      <c r="C413" t="s">
        <v>24</v>
      </c>
      <c r="D413" t="s">
        <v>506</v>
      </c>
      <c r="J413" t="s">
        <v>507</v>
      </c>
      <c r="K413" s="3">
        <v>554</v>
      </c>
      <c r="L413" s="2">
        <v>55.4</v>
      </c>
      <c r="M413" s="2">
        <f>+K413-L413</f>
        <v>498.6</v>
      </c>
      <c r="N413" s="2">
        <v>24.94</v>
      </c>
      <c r="O413" s="2">
        <v>0.46</v>
      </c>
      <c r="P413" s="2">
        <v>524</v>
      </c>
      <c r="Q413" t="s">
        <v>40</v>
      </c>
      <c r="S413" t="s">
        <v>27</v>
      </c>
      <c r="T413" s="8">
        <v>46011</v>
      </c>
      <c r="U413" s="7">
        <v>0.96954861111111112</v>
      </c>
    </row>
    <row r="414" spans="1:21" x14ac:dyDescent="0.2">
      <c r="A414">
        <v>739</v>
      </c>
      <c r="B414" t="s">
        <v>503</v>
      </c>
      <c r="C414" t="s">
        <v>24</v>
      </c>
      <c r="J414" t="s">
        <v>504</v>
      </c>
      <c r="K414" s="3">
        <v>909</v>
      </c>
      <c r="L414" s="2">
        <v>90.9</v>
      </c>
      <c r="M414" s="2">
        <f>+K414-L414</f>
        <v>818.1</v>
      </c>
      <c r="N414" s="2">
        <v>40.9</v>
      </c>
      <c r="O414" s="2">
        <v>0</v>
      </c>
      <c r="P414" s="2">
        <v>859</v>
      </c>
      <c r="Q414" t="s">
        <v>40</v>
      </c>
      <c r="S414" t="s">
        <v>27</v>
      </c>
      <c r="T414" s="8">
        <v>46011</v>
      </c>
      <c r="U414" s="7">
        <v>0.97165509259259264</v>
      </c>
    </row>
    <row r="415" spans="1:21" x14ac:dyDescent="0.2">
      <c r="A415">
        <v>740</v>
      </c>
      <c r="B415" t="s">
        <v>23</v>
      </c>
      <c r="C415" t="s">
        <v>24</v>
      </c>
      <c r="J415" t="s">
        <v>502</v>
      </c>
      <c r="K415" s="3">
        <v>790</v>
      </c>
      <c r="L415" s="2">
        <v>79</v>
      </c>
      <c r="M415" s="2">
        <f>+K415-L415</f>
        <v>711</v>
      </c>
      <c r="N415" s="2">
        <v>35.54</v>
      </c>
      <c r="O415" s="2">
        <v>0.46</v>
      </c>
      <c r="P415" s="2">
        <v>747</v>
      </c>
      <c r="Q415" t="s">
        <v>33</v>
      </c>
      <c r="S415" t="s">
        <v>27</v>
      </c>
      <c r="T415" s="8">
        <v>46011</v>
      </c>
      <c r="U415" s="7">
        <v>0.97303240740740737</v>
      </c>
    </row>
    <row r="416" spans="1:21" x14ac:dyDescent="0.2">
      <c r="A416">
        <v>741</v>
      </c>
      <c r="B416" t="s">
        <v>281</v>
      </c>
      <c r="C416" t="s">
        <v>24</v>
      </c>
      <c r="D416" t="s">
        <v>282</v>
      </c>
      <c r="E416">
        <v>9536971573</v>
      </c>
      <c r="J416" t="s">
        <v>501</v>
      </c>
      <c r="K416" s="3">
        <v>2315</v>
      </c>
      <c r="L416" s="2">
        <v>0</v>
      </c>
      <c r="M416" s="2">
        <f>+K416-L416</f>
        <v>2315</v>
      </c>
      <c r="N416" s="2">
        <v>115.76</v>
      </c>
      <c r="O416" s="2">
        <v>0.24</v>
      </c>
      <c r="P416" s="2">
        <v>2431</v>
      </c>
      <c r="Q416" t="s">
        <v>30</v>
      </c>
      <c r="S416" t="s">
        <v>27</v>
      </c>
      <c r="T416" s="8">
        <v>46011</v>
      </c>
      <c r="U416" s="7">
        <v>0.98024305555555558</v>
      </c>
    </row>
    <row r="417" spans="1:21" x14ac:dyDescent="0.2">
      <c r="A417">
        <v>742</v>
      </c>
      <c r="B417" t="s">
        <v>91</v>
      </c>
      <c r="C417" t="s">
        <v>24</v>
      </c>
      <c r="J417" t="s">
        <v>500</v>
      </c>
      <c r="K417" s="3">
        <v>0</v>
      </c>
      <c r="L417" s="2">
        <v>0</v>
      </c>
      <c r="M417" s="2">
        <f>+K417-L417</f>
        <v>0</v>
      </c>
      <c r="N417" s="2">
        <v>0</v>
      </c>
      <c r="O417" s="2">
        <v>0</v>
      </c>
      <c r="P417" s="2">
        <v>0</v>
      </c>
      <c r="Q417" t="s">
        <v>33</v>
      </c>
      <c r="S417" t="s">
        <v>27</v>
      </c>
      <c r="T417" s="8">
        <v>46011</v>
      </c>
      <c r="U417" s="7">
        <v>0.98141203703703705</v>
      </c>
    </row>
    <row r="418" spans="1:21" x14ac:dyDescent="0.2">
      <c r="A418">
        <v>743</v>
      </c>
      <c r="B418" t="s">
        <v>254</v>
      </c>
      <c r="C418" t="s">
        <v>24</v>
      </c>
      <c r="J418" t="s">
        <v>499</v>
      </c>
      <c r="K418" s="3">
        <v>585</v>
      </c>
      <c r="L418" s="2">
        <v>0</v>
      </c>
      <c r="M418" s="2">
        <f>+K418-L418</f>
        <v>585</v>
      </c>
      <c r="N418" s="2">
        <v>29.26</v>
      </c>
      <c r="O418" s="2">
        <v>-0.26</v>
      </c>
      <c r="P418" s="2">
        <v>614</v>
      </c>
      <c r="Q418" t="s">
        <v>30</v>
      </c>
      <c r="S418" t="s">
        <v>27</v>
      </c>
      <c r="T418" s="8">
        <v>46011</v>
      </c>
      <c r="U418" s="7">
        <v>0.98214120370370372</v>
      </c>
    </row>
    <row r="419" spans="1:21" x14ac:dyDescent="0.2">
      <c r="A419">
        <v>744</v>
      </c>
      <c r="B419" t="s">
        <v>54</v>
      </c>
      <c r="C419" t="s">
        <v>24</v>
      </c>
      <c r="J419" t="s">
        <v>498</v>
      </c>
      <c r="K419" s="3">
        <v>599</v>
      </c>
      <c r="L419" s="2">
        <v>89.85</v>
      </c>
      <c r="M419" s="2">
        <f>+K419-L419</f>
        <v>509.15</v>
      </c>
      <c r="N419" s="2">
        <v>25.46</v>
      </c>
      <c r="O419" s="2">
        <v>0.39</v>
      </c>
      <c r="P419" s="2">
        <v>535</v>
      </c>
      <c r="Q419" t="s">
        <v>40</v>
      </c>
      <c r="S419" t="s">
        <v>27</v>
      </c>
      <c r="T419" s="8">
        <v>46011</v>
      </c>
      <c r="U419" s="7">
        <v>0.9846759259259259</v>
      </c>
    </row>
    <row r="420" spans="1:21" x14ac:dyDescent="0.2">
      <c r="A420">
        <v>745</v>
      </c>
      <c r="B420" t="s">
        <v>50</v>
      </c>
      <c r="C420" t="s">
        <v>24</v>
      </c>
      <c r="J420" t="s">
        <v>497</v>
      </c>
      <c r="K420" s="3">
        <v>645</v>
      </c>
      <c r="L420" s="2">
        <v>64.5</v>
      </c>
      <c r="M420" s="2">
        <f>+K420-L420</f>
        <v>580.5</v>
      </c>
      <c r="N420" s="2">
        <v>29.02</v>
      </c>
      <c r="O420" s="2">
        <v>0.48</v>
      </c>
      <c r="P420" s="2">
        <v>610</v>
      </c>
      <c r="Q420" t="s">
        <v>40</v>
      </c>
      <c r="S420" t="s">
        <v>27</v>
      </c>
      <c r="T420" s="8">
        <v>46011</v>
      </c>
      <c r="U420" s="7">
        <v>0.98539351851851853</v>
      </c>
    </row>
    <row r="421" spans="1:21" x14ac:dyDescent="0.2">
      <c r="A421">
        <v>746</v>
      </c>
      <c r="B421" t="s">
        <v>34</v>
      </c>
      <c r="C421" t="s">
        <v>24</v>
      </c>
      <c r="J421" t="s">
        <v>496</v>
      </c>
      <c r="K421" s="3">
        <v>0</v>
      </c>
      <c r="L421" s="2">
        <v>0</v>
      </c>
      <c r="M421" s="2">
        <f>+K421-L421</f>
        <v>0</v>
      </c>
      <c r="N421" s="2">
        <v>0</v>
      </c>
      <c r="O421" s="2">
        <v>0</v>
      </c>
      <c r="P421" s="2">
        <v>0</v>
      </c>
      <c r="Q421" t="s">
        <v>40</v>
      </c>
      <c r="S421" t="s">
        <v>27</v>
      </c>
      <c r="T421" s="8">
        <v>46011</v>
      </c>
      <c r="U421" s="7">
        <v>0.98645833333333333</v>
      </c>
    </row>
    <row r="422" spans="1:21" x14ac:dyDescent="0.2">
      <c r="A422">
        <v>747</v>
      </c>
      <c r="B422" t="s">
        <v>54</v>
      </c>
      <c r="C422" t="s">
        <v>24</v>
      </c>
      <c r="J422" t="s">
        <v>495</v>
      </c>
      <c r="K422" s="3">
        <v>644</v>
      </c>
      <c r="L422" s="2">
        <v>64.400000000000006</v>
      </c>
      <c r="M422" s="2">
        <f>+K422-L422</f>
        <v>579.6</v>
      </c>
      <c r="N422" s="2">
        <v>26.32</v>
      </c>
      <c r="O422" s="2">
        <v>0.08</v>
      </c>
      <c r="P422" s="2">
        <v>606</v>
      </c>
      <c r="Q422" t="s">
        <v>30</v>
      </c>
      <c r="S422" t="s">
        <v>27</v>
      </c>
      <c r="T422" s="8">
        <v>46012</v>
      </c>
      <c r="U422" s="7">
        <v>0.5435416666666667</v>
      </c>
    </row>
    <row r="423" spans="1:21" x14ac:dyDescent="0.2">
      <c r="A423">
        <v>748</v>
      </c>
      <c r="B423" t="s">
        <v>23</v>
      </c>
      <c r="C423" t="s">
        <v>24</v>
      </c>
      <c r="J423" t="s">
        <v>494</v>
      </c>
      <c r="K423" s="3">
        <v>500</v>
      </c>
      <c r="L423" s="2">
        <v>50</v>
      </c>
      <c r="M423" s="2">
        <f>+K423-L423</f>
        <v>450</v>
      </c>
      <c r="N423" s="2">
        <v>22.5</v>
      </c>
      <c r="O423" s="2">
        <v>0.5</v>
      </c>
      <c r="P423" s="2">
        <v>473</v>
      </c>
      <c r="Q423" t="s">
        <v>40</v>
      </c>
      <c r="S423" t="s">
        <v>27</v>
      </c>
      <c r="T423" s="8">
        <v>46012</v>
      </c>
      <c r="U423" s="7">
        <v>0.55252314814814818</v>
      </c>
    </row>
    <row r="424" spans="1:21" x14ac:dyDescent="0.2">
      <c r="A424">
        <v>749</v>
      </c>
      <c r="B424" t="s">
        <v>58</v>
      </c>
      <c r="C424" t="s">
        <v>24</v>
      </c>
      <c r="J424" t="s">
        <v>493</v>
      </c>
      <c r="K424" s="3">
        <v>2690</v>
      </c>
      <c r="L424" s="2">
        <v>269</v>
      </c>
      <c r="M424" s="2">
        <f>+K424-L424</f>
        <v>2421</v>
      </c>
      <c r="N424" s="2">
        <v>121.06</v>
      </c>
      <c r="O424" s="2">
        <v>-0.06</v>
      </c>
      <c r="P424" s="2">
        <v>2542</v>
      </c>
      <c r="Q424" t="s">
        <v>40</v>
      </c>
      <c r="S424" t="s">
        <v>27</v>
      </c>
      <c r="T424" s="8">
        <v>46012</v>
      </c>
      <c r="U424" s="7">
        <v>0.58416666666666661</v>
      </c>
    </row>
    <row r="425" spans="1:21" x14ac:dyDescent="0.2">
      <c r="A425">
        <v>750</v>
      </c>
      <c r="B425" t="s">
        <v>491</v>
      </c>
      <c r="C425" t="s">
        <v>24</v>
      </c>
      <c r="J425" t="s">
        <v>492</v>
      </c>
      <c r="K425" s="3">
        <v>12090</v>
      </c>
      <c r="L425" s="2">
        <v>1813.5</v>
      </c>
      <c r="M425" s="2">
        <f>+K425-L425</f>
        <v>10276.5</v>
      </c>
      <c r="N425" s="2">
        <v>818.12</v>
      </c>
      <c r="O425" s="2">
        <v>0.38</v>
      </c>
      <c r="P425" s="2">
        <v>11095</v>
      </c>
      <c r="Q425" t="s">
        <v>40</v>
      </c>
      <c r="S425" t="s">
        <v>27</v>
      </c>
      <c r="T425" s="8">
        <v>46012</v>
      </c>
      <c r="U425" s="7">
        <v>0.63962962962962966</v>
      </c>
    </row>
    <row r="426" spans="1:21" x14ac:dyDescent="0.2">
      <c r="A426">
        <v>751</v>
      </c>
      <c r="B426" t="s">
        <v>490</v>
      </c>
      <c r="C426" t="s">
        <v>24</v>
      </c>
      <c r="J426" t="s">
        <v>1219</v>
      </c>
      <c r="K426" s="3">
        <v>3474</v>
      </c>
      <c r="L426" s="2">
        <v>347.4</v>
      </c>
      <c r="M426" s="2">
        <f>+K426-L426</f>
        <v>3126.6</v>
      </c>
      <c r="N426" s="2">
        <v>146.91999999999999</v>
      </c>
      <c r="O426" s="2">
        <v>0.48</v>
      </c>
      <c r="P426" s="2">
        <v>3274</v>
      </c>
      <c r="Q426" t="s">
        <v>30</v>
      </c>
      <c r="S426" t="s">
        <v>27</v>
      </c>
      <c r="T426" s="8">
        <v>46012</v>
      </c>
      <c r="U426" s="7">
        <v>0.67166666666666663</v>
      </c>
    </row>
    <row r="427" spans="1:21" x14ac:dyDescent="0.2">
      <c r="A427">
        <v>752</v>
      </c>
      <c r="B427" t="s">
        <v>489</v>
      </c>
      <c r="C427" t="s">
        <v>24</v>
      </c>
      <c r="J427" t="s">
        <v>1218</v>
      </c>
      <c r="K427" s="3">
        <v>3185</v>
      </c>
      <c r="L427" s="2">
        <v>318.5</v>
      </c>
      <c r="M427" s="2">
        <f>+K427-L427</f>
        <v>2866.5</v>
      </c>
      <c r="N427" s="2">
        <v>143.32</v>
      </c>
      <c r="O427" s="2">
        <v>0.18</v>
      </c>
      <c r="P427" s="2">
        <v>3010</v>
      </c>
      <c r="Q427" t="s">
        <v>30</v>
      </c>
      <c r="S427" t="s">
        <v>27</v>
      </c>
      <c r="T427" s="8">
        <v>46012</v>
      </c>
      <c r="U427" s="7">
        <v>0.67736111111111108</v>
      </c>
    </row>
    <row r="428" spans="1:21" x14ac:dyDescent="0.2">
      <c r="A428">
        <v>753</v>
      </c>
      <c r="B428" t="s">
        <v>164</v>
      </c>
      <c r="C428" t="s">
        <v>24</v>
      </c>
      <c r="J428" t="s">
        <v>488</v>
      </c>
      <c r="K428" s="3">
        <v>920</v>
      </c>
      <c r="L428" s="2">
        <v>0</v>
      </c>
      <c r="M428" s="2">
        <f>+K428-L428</f>
        <v>920</v>
      </c>
      <c r="N428" s="2">
        <v>46</v>
      </c>
      <c r="O428" s="2">
        <v>0</v>
      </c>
      <c r="P428" s="2">
        <v>966</v>
      </c>
      <c r="Q428" t="s">
        <v>30</v>
      </c>
      <c r="S428" t="s">
        <v>27</v>
      </c>
      <c r="T428" s="8">
        <v>46012</v>
      </c>
      <c r="U428" s="7">
        <v>0.69488425925925923</v>
      </c>
    </row>
    <row r="429" spans="1:21" x14ac:dyDescent="0.2">
      <c r="A429">
        <v>754</v>
      </c>
      <c r="B429" t="s">
        <v>485</v>
      </c>
      <c r="C429" t="s">
        <v>24</v>
      </c>
      <c r="D429" t="s">
        <v>486</v>
      </c>
      <c r="J429" t="s">
        <v>487</v>
      </c>
      <c r="K429" s="3">
        <v>1300</v>
      </c>
      <c r="L429" s="2">
        <v>0</v>
      </c>
      <c r="M429" s="2">
        <f>+K429-L429</f>
        <v>1300</v>
      </c>
      <c r="N429" s="2">
        <v>65</v>
      </c>
      <c r="O429" s="2">
        <v>0</v>
      </c>
      <c r="P429" s="2">
        <v>1365</v>
      </c>
      <c r="Q429" t="s">
        <v>30</v>
      </c>
      <c r="S429" t="s">
        <v>27</v>
      </c>
      <c r="T429" s="8">
        <v>46012</v>
      </c>
      <c r="U429" s="7">
        <v>0.69554398148148144</v>
      </c>
    </row>
    <row r="430" spans="1:21" x14ac:dyDescent="0.2">
      <c r="A430">
        <v>755</v>
      </c>
      <c r="B430" t="s">
        <v>50</v>
      </c>
      <c r="C430" t="s">
        <v>24</v>
      </c>
      <c r="J430" t="s">
        <v>200</v>
      </c>
      <c r="K430" s="3">
        <v>345</v>
      </c>
      <c r="L430" s="2">
        <v>0</v>
      </c>
      <c r="M430" s="2">
        <f>+K430-L430</f>
        <v>345</v>
      </c>
      <c r="N430" s="2">
        <v>17.260000000000002</v>
      </c>
      <c r="O430" s="2">
        <v>-0.26</v>
      </c>
      <c r="P430" s="2">
        <v>362</v>
      </c>
      <c r="Q430" t="s">
        <v>26</v>
      </c>
      <c r="S430" t="s">
        <v>27</v>
      </c>
      <c r="T430" s="8">
        <v>46012</v>
      </c>
      <c r="U430" s="7">
        <v>0.69694444444444448</v>
      </c>
    </row>
    <row r="431" spans="1:21" x14ac:dyDescent="0.2">
      <c r="A431">
        <v>756</v>
      </c>
      <c r="B431" t="s">
        <v>377</v>
      </c>
      <c r="C431" t="s">
        <v>24</v>
      </c>
      <c r="J431" t="s">
        <v>484</v>
      </c>
      <c r="K431" s="3">
        <v>1015</v>
      </c>
      <c r="L431" s="2">
        <v>101.5</v>
      </c>
      <c r="M431" s="2">
        <f>+K431-L431</f>
        <v>913.5</v>
      </c>
      <c r="N431" s="2">
        <v>45.68</v>
      </c>
      <c r="O431" s="2">
        <v>-0.18</v>
      </c>
      <c r="P431" s="2">
        <v>959</v>
      </c>
      <c r="Q431" t="s">
        <v>26</v>
      </c>
      <c r="S431" t="s">
        <v>27</v>
      </c>
      <c r="T431" s="8">
        <v>46012</v>
      </c>
      <c r="U431" s="7">
        <v>0.71127314814814813</v>
      </c>
    </row>
    <row r="432" spans="1:21" x14ac:dyDescent="0.2">
      <c r="A432">
        <v>757</v>
      </c>
      <c r="B432" t="s">
        <v>481</v>
      </c>
      <c r="C432" t="s">
        <v>24</v>
      </c>
      <c r="D432" t="s">
        <v>482</v>
      </c>
      <c r="J432" t="s">
        <v>483</v>
      </c>
      <c r="K432" s="3">
        <v>540</v>
      </c>
      <c r="L432" s="2">
        <v>0</v>
      </c>
      <c r="M432" s="2">
        <f>+K432-L432</f>
        <v>540</v>
      </c>
      <c r="N432" s="2">
        <v>27</v>
      </c>
      <c r="O432" s="2">
        <v>0</v>
      </c>
      <c r="P432" s="2">
        <v>567</v>
      </c>
      <c r="Q432" t="s">
        <v>33</v>
      </c>
      <c r="S432" t="s">
        <v>27</v>
      </c>
      <c r="T432" s="8">
        <v>46012</v>
      </c>
      <c r="U432" s="7">
        <v>0.72584490740740737</v>
      </c>
    </row>
    <row r="433" spans="1:21" x14ac:dyDescent="0.2">
      <c r="A433">
        <v>758</v>
      </c>
      <c r="B433" t="s">
        <v>478</v>
      </c>
      <c r="C433" t="s">
        <v>24</v>
      </c>
      <c r="D433" t="s">
        <v>479</v>
      </c>
      <c r="J433" t="s">
        <v>480</v>
      </c>
      <c r="K433" s="3">
        <v>765</v>
      </c>
      <c r="L433" s="2">
        <v>0</v>
      </c>
      <c r="M433" s="2">
        <f>+K433-L433</f>
        <v>765</v>
      </c>
      <c r="N433" s="2">
        <v>38.26</v>
      </c>
      <c r="O433" s="2">
        <v>-0.26</v>
      </c>
      <c r="P433" s="2">
        <v>803</v>
      </c>
      <c r="Q433" t="s">
        <v>40</v>
      </c>
      <c r="S433" t="s">
        <v>27</v>
      </c>
      <c r="T433" s="8">
        <v>46012</v>
      </c>
      <c r="U433" s="7">
        <v>0.72815972222222225</v>
      </c>
    </row>
    <row r="434" spans="1:21" x14ac:dyDescent="0.2">
      <c r="A434">
        <v>759</v>
      </c>
      <c r="B434" t="s">
        <v>394</v>
      </c>
      <c r="C434" t="s">
        <v>24</v>
      </c>
      <c r="J434" t="s">
        <v>477</v>
      </c>
      <c r="K434" s="3">
        <v>295</v>
      </c>
      <c r="L434" s="2">
        <v>0</v>
      </c>
      <c r="M434" s="2">
        <f>+K434-L434</f>
        <v>295</v>
      </c>
      <c r="N434" s="2">
        <v>14.76</v>
      </c>
      <c r="O434" s="2">
        <v>0.24</v>
      </c>
      <c r="P434" s="2">
        <v>310</v>
      </c>
      <c r="Q434" t="s">
        <v>40</v>
      </c>
      <c r="S434" t="s">
        <v>27</v>
      </c>
      <c r="T434" s="8">
        <v>46012</v>
      </c>
      <c r="U434" s="7">
        <v>0.75988425925925929</v>
      </c>
    </row>
    <row r="435" spans="1:21" x14ac:dyDescent="0.2">
      <c r="A435">
        <v>760</v>
      </c>
      <c r="B435" t="s">
        <v>155</v>
      </c>
      <c r="C435" t="s">
        <v>24</v>
      </c>
      <c r="J435" t="s">
        <v>476</v>
      </c>
      <c r="K435" s="3">
        <v>1250</v>
      </c>
      <c r="L435" s="2">
        <v>187.5</v>
      </c>
      <c r="M435" s="2">
        <f>+K435-L435</f>
        <v>1062.5</v>
      </c>
      <c r="N435" s="2">
        <v>53.12</v>
      </c>
      <c r="O435" s="2">
        <v>0.38</v>
      </c>
      <c r="P435" s="2">
        <v>1116</v>
      </c>
      <c r="Q435" t="s">
        <v>30</v>
      </c>
      <c r="S435" t="s">
        <v>27</v>
      </c>
      <c r="T435" s="8">
        <v>46012</v>
      </c>
      <c r="U435" s="7">
        <v>0.76105324074074077</v>
      </c>
    </row>
    <row r="436" spans="1:21" x14ac:dyDescent="0.2">
      <c r="A436">
        <v>761</v>
      </c>
      <c r="B436" t="s">
        <v>474</v>
      </c>
      <c r="C436" t="s">
        <v>24</v>
      </c>
      <c r="J436" t="s">
        <v>475</v>
      </c>
      <c r="K436" s="3">
        <v>1085</v>
      </c>
      <c r="L436" s="2">
        <v>108.5</v>
      </c>
      <c r="M436" s="2">
        <f>+K436-L436</f>
        <v>976.5</v>
      </c>
      <c r="N436" s="2">
        <v>48.82</v>
      </c>
      <c r="O436" s="2">
        <v>-0.32</v>
      </c>
      <c r="P436" s="2">
        <v>1025</v>
      </c>
      <c r="Q436" t="s">
        <v>40</v>
      </c>
      <c r="S436" t="s">
        <v>27</v>
      </c>
      <c r="T436" s="8">
        <v>46012</v>
      </c>
      <c r="U436" s="7">
        <v>0.77430555555555558</v>
      </c>
    </row>
    <row r="437" spans="1:21" x14ac:dyDescent="0.2">
      <c r="A437">
        <v>762</v>
      </c>
      <c r="B437" t="s">
        <v>388</v>
      </c>
      <c r="C437" t="s">
        <v>24</v>
      </c>
      <c r="J437" t="s">
        <v>473</v>
      </c>
      <c r="K437" s="3">
        <v>470</v>
      </c>
      <c r="L437" s="2">
        <v>47</v>
      </c>
      <c r="M437" s="2">
        <f>+K437-L437</f>
        <v>423</v>
      </c>
      <c r="N437" s="2">
        <v>21.16</v>
      </c>
      <c r="O437" s="2">
        <v>-0.16</v>
      </c>
      <c r="P437" s="2">
        <v>444</v>
      </c>
      <c r="Q437" t="s">
        <v>40</v>
      </c>
      <c r="S437" t="s">
        <v>27</v>
      </c>
      <c r="T437" s="8">
        <v>46012</v>
      </c>
      <c r="U437" s="7">
        <v>0.78973379629629625</v>
      </c>
    </row>
    <row r="438" spans="1:21" x14ac:dyDescent="0.2">
      <c r="A438">
        <v>763</v>
      </c>
      <c r="B438" t="s">
        <v>471</v>
      </c>
      <c r="C438" t="s">
        <v>24</v>
      </c>
      <c r="J438" t="s">
        <v>472</v>
      </c>
      <c r="K438" s="3">
        <v>710</v>
      </c>
      <c r="L438" s="2">
        <v>71</v>
      </c>
      <c r="M438" s="2">
        <f>+K438-L438</f>
        <v>639</v>
      </c>
      <c r="N438" s="2">
        <v>31.96</v>
      </c>
      <c r="O438" s="2">
        <v>0.04</v>
      </c>
      <c r="P438" s="2">
        <v>671</v>
      </c>
      <c r="Q438" t="s">
        <v>30</v>
      </c>
      <c r="S438" t="s">
        <v>27</v>
      </c>
      <c r="T438" s="8">
        <v>46012</v>
      </c>
      <c r="U438" s="7">
        <v>0.79006944444444449</v>
      </c>
    </row>
    <row r="439" spans="1:21" x14ac:dyDescent="0.2">
      <c r="A439">
        <v>764</v>
      </c>
      <c r="B439" t="s">
        <v>468</v>
      </c>
      <c r="C439" t="s">
        <v>24</v>
      </c>
      <c r="D439" t="s">
        <v>469</v>
      </c>
      <c r="J439" t="s">
        <v>470</v>
      </c>
      <c r="K439" s="3">
        <v>885</v>
      </c>
      <c r="L439" s="2">
        <v>88.5</v>
      </c>
      <c r="M439" s="2">
        <f>+K439-L439</f>
        <v>796.5</v>
      </c>
      <c r="N439" s="2">
        <v>39.82</v>
      </c>
      <c r="O439" s="2">
        <v>-0.32</v>
      </c>
      <c r="P439" s="2">
        <v>836</v>
      </c>
      <c r="Q439" t="s">
        <v>30</v>
      </c>
      <c r="S439" t="s">
        <v>27</v>
      </c>
      <c r="T439" s="8">
        <v>46012</v>
      </c>
      <c r="U439" s="7">
        <v>0.79721064814814813</v>
      </c>
    </row>
    <row r="440" spans="1:21" x14ac:dyDescent="0.2">
      <c r="A440">
        <v>765</v>
      </c>
      <c r="B440" t="s">
        <v>466</v>
      </c>
      <c r="C440" t="s">
        <v>24</v>
      </c>
      <c r="J440" t="s">
        <v>467</v>
      </c>
      <c r="K440" s="3">
        <v>470</v>
      </c>
      <c r="L440" s="2">
        <v>47</v>
      </c>
      <c r="M440" s="2">
        <f>+K440-L440</f>
        <v>423</v>
      </c>
      <c r="N440" s="2">
        <v>21.16</v>
      </c>
      <c r="O440" s="2">
        <v>-0.16</v>
      </c>
      <c r="P440" s="2">
        <v>444</v>
      </c>
      <c r="Q440" t="s">
        <v>40</v>
      </c>
      <c r="S440" t="s">
        <v>27</v>
      </c>
      <c r="T440" s="8">
        <v>46012</v>
      </c>
      <c r="U440" s="7">
        <v>0.80179398148148151</v>
      </c>
    </row>
    <row r="441" spans="1:21" x14ac:dyDescent="0.2">
      <c r="A441">
        <v>766</v>
      </c>
      <c r="B441" t="s">
        <v>463</v>
      </c>
      <c r="C441" t="s">
        <v>24</v>
      </c>
      <c r="D441" t="s">
        <v>464</v>
      </c>
      <c r="J441" t="s">
        <v>465</v>
      </c>
      <c r="K441" s="3">
        <v>1480</v>
      </c>
      <c r="L441" s="2">
        <v>148</v>
      </c>
      <c r="M441" s="2">
        <f>+K441-L441</f>
        <v>1332</v>
      </c>
      <c r="N441" s="2">
        <v>66.599999999999994</v>
      </c>
      <c r="O441" s="2">
        <v>0.4</v>
      </c>
      <c r="P441" s="2">
        <v>1399</v>
      </c>
      <c r="Q441" t="s">
        <v>40</v>
      </c>
      <c r="S441" t="s">
        <v>27</v>
      </c>
      <c r="T441" s="8">
        <v>46012</v>
      </c>
      <c r="U441" s="7">
        <v>0.81556712962962963</v>
      </c>
    </row>
    <row r="442" spans="1:21" x14ac:dyDescent="0.2">
      <c r="A442">
        <v>767</v>
      </c>
      <c r="B442" t="s">
        <v>41</v>
      </c>
      <c r="C442" t="s">
        <v>24</v>
      </c>
      <c r="J442" t="s">
        <v>462</v>
      </c>
      <c r="K442" s="3">
        <v>290</v>
      </c>
      <c r="L442" s="2">
        <v>29</v>
      </c>
      <c r="M442" s="2">
        <f>+K442-L442</f>
        <v>261</v>
      </c>
      <c r="N442" s="2">
        <v>13.06</v>
      </c>
      <c r="O442" s="2">
        <v>-0.06</v>
      </c>
      <c r="P442" s="2">
        <v>274</v>
      </c>
      <c r="Q442" t="s">
        <v>40</v>
      </c>
      <c r="S442" t="s">
        <v>27</v>
      </c>
      <c r="T442" s="8">
        <v>46012</v>
      </c>
      <c r="U442" s="7">
        <v>0.82819444444444446</v>
      </c>
    </row>
    <row r="443" spans="1:21" x14ac:dyDescent="0.2">
      <c r="A443">
        <v>768</v>
      </c>
      <c r="B443" t="s">
        <v>58</v>
      </c>
      <c r="C443" t="s">
        <v>24</v>
      </c>
      <c r="J443" t="s">
        <v>461</v>
      </c>
      <c r="K443" s="3">
        <v>529</v>
      </c>
      <c r="L443" s="2">
        <v>0</v>
      </c>
      <c r="M443" s="2">
        <f>+K443-L443</f>
        <v>529</v>
      </c>
      <c r="N443" s="2">
        <v>26.46</v>
      </c>
      <c r="O443" s="2">
        <v>-0.46</v>
      </c>
      <c r="P443" s="2">
        <v>555</v>
      </c>
      <c r="Q443" t="s">
        <v>40</v>
      </c>
      <c r="S443" t="s">
        <v>27</v>
      </c>
      <c r="T443" s="8">
        <v>46012</v>
      </c>
      <c r="U443" s="7">
        <v>0.83944444444444444</v>
      </c>
    </row>
    <row r="444" spans="1:21" x14ac:dyDescent="0.2">
      <c r="A444">
        <v>769</v>
      </c>
      <c r="B444" t="s">
        <v>458</v>
      </c>
      <c r="C444" t="s">
        <v>24</v>
      </c>
      <c r="D444" t="s">
        <v>459</v>
      </c>
      <c r="J444" t="s">
        <v>460</v>
      </c>
      <c r="K444" s="3">
        <v>425</v>
      </c>
      <c r="L444" s="2">
        <v>42.5</v>
      </c>
      <c r="M444" s="2">
        <f>+K444-L444</f>
        <v>382.5</v>
      </c>
      <c r="N444" s="2">
        <v>19.12</v>
      </c>
      <c r="O444" s="2">
        <v>0.38</v>
      </c>
      <c r="P444" s="2">
        <v>402</v>
      </c>
      <c r="Q444" t="s">
        <v>30</v>
      </c>
      <c r="S444" t="s">
        <v>27</v>
      </c>
      <c r="T444" s="8">
        <v>46012</v>
      </c>
      <c r="U444" s="7">
        <v>0.86949074074074073</v>
      </c>
    </row>
    <row r="445" spans="1:21" x14ac:dyDescent="0.2">
      <c r="A445">
        <v>770</v>
      </c>
      <c r="B445" t="s">
        <v>456</v>
      </c>
      <c r="C445" t="s">
        <v>24</v>
      </c>
      <c r="J445" t="s">
        <v>457</v>
      </c>
      <c r="K445" s="3">
        <v>985</v>
      </c>
      <c r="L445" s="2">
        <v>98.5</v>
      </c>
      <c r="M445" s="2">
        <f>+K445-L445</f>
        <v>886.5</v>
      </c>
      <c r="N445" s="2">
        <v>44.32</v>
      </c>
      <c r="O445" s="2">
        <v>0.18</v>
      </c>
      <c r="P445" s="2">
        <v>931</v>
      </c>
      <c r="Q445" t="s">
        <v>40</v>
      </c>
      <c r="S445" t="s">
        <v>27</v>
      </c>
      <c r="T445" s="8">
        <v>46012</v>
      </c>
      <c r="U445" s="7">
        <v>0.87866898148148154</v>
      </c>
    </row>
    <row r="446" spans="1:21" x14ac:dyDescent="0.2">
      <c r="A446">
        <v>771</v>
      </c>
      <c r="B446" t="s">
        <v>454</v>
      </c>
      <c r="C446" t="s">
        <v>24</v>
      </c>
      <c r="J446" t="s">
        <v>455</v>
      </c>
      <c r="K446" s="3">
        <v>380</v>
      </c>
      <c r="L446" s="2">
        <v>0</v>
      </c>
      <c r="M446" s="2">
        <f>+K446-L446</f>
        <v>380</v>
      </c>
      <c r="N446" s="2">
        <v>19</v>
      </c>
      <c r="O446" s="2">
        <v>0</v>
      </c>
      <c r="P446" s="2">
        <v>399</v>
      </c>
      <c r="Q446" t="s">
        <v>40</v>
      </c>
      <c r="S446" t="s">
        <v>27</v>
      </c>
      <c r="T446" s="8">
        <v>46012</v>
      </c>
      <c r="U446" s="7">
        <v>0.88013888888888892</v>
      </c>
    </row>
    <row r="447" spans="1:21" x14ac:dyDescent="0.2">
      <c r="A447">
        <v>772</v>
      </c>
      <c r="B447" t="s">
        <v>453</v>
      </c>
      <c r="C447" t="s">
        <v>24</v>
      </c>
      <c r="J447" t="s">
        <v>229</v>
      </c>
      <c r="K447" s="3">
        <v>280</v>
      </c>
      <c r="L447" s="2">
        <v>0</v>
      </c>
      <c r="M447" s="2">
        <f>+K447-L447</f>
        <v>280</v>
      </c>
      <c r="N447" s="2">
        <v>14</v>
      </c>
      <c r="O447" s="2">
        <v>0</v>
      </c>
      <c r="P447" s="2">
        <v>294</v>
      </c>
      <c r="Q447" t="s">
        <v>40</v>
      </c>
      <c r="S447" t="s">
        <v>27</v>
      </c>
      <c r="T447" s="8">
        <v>46012</v>
      </c>
      <c r="U447" s="7">
        <v>0.88731481481481478</v>
      </c>
    </row>
    <row r="448" spans="1:21" x14ac:dyDescent="0.2">
      <c r="A448">
        <v>773</v>
      </c>
      <c r="B448" t="s">
        <v>451</v>
      </c>
      <c r="C448" t="s">
        <v>24</v>
      </c>
      <c r="J448" t="s">
        <v>452</v>
      </c>
      <c r="K448" s="3">
        <v>670</v>
      </c>
      <c r="L448" s="2">
        <v>0</v>
      </c>
      <c r="M448" s="2">
        <f>+K448-L448</f>
        <v>670</v>
      </c>
      <c r="N448" s="2">
        <v>33.5</v>
      </c>
      <c r="O448" s="2">
        <v>0.5</v>
      </c>
      <c r="P448" s="2">
        <v>704</v>
      </c>
      <c r="Q448" t="s">
        <v>30</v>
      </c>
      <c r="S448" t="s">
        <v>27</v>
      </c>
      <c r="T448" s="8">
        <v>46012</v>
      </c>
      <c r="U448" s="7">
        <v>0.9146643518518518</v>
      </c>
    </row>
    <row r="449" spans="1:21" x14ac:dyDescent="0.2">
      <c r="A449">
        <v>774</v>
      </c>
      <c r="B449" t="s">
        <v>449</v>
      </c>
      <c r="C449" t="s">
        <v>24</v>
      </c>
      <c r="J449" t="s">
        <v>450</v>
      </c>
      <c r="K449" s="3">
        <v>630</v>
      </c>
      <c r="L449" s="2">
        <v>63</v>
      </c>
      <c r="M449" s="2">
        <f>+K449-L449</f>
        <v>567</v>
      </c>
      <c r="N449" s="2">
        <v>28.36</v>
      </c>
      <c r="O449" s="2">
        <v>-0.36</v>
      </c>
      <c r="P449" s="2">
        <v>595</v>
      </c>
      <c r="Q449" t="s">
        <v>40</v>
      </c>
      <c r="S449" t="s">
        <v>27</v>
      </c>
      <c r="T449" s="8">
        <v>46012</v>
      </c>
      <c r="U449" s="7">
        <v>0.92290509259259257</v>
      </c>
    </row>
    <row r="450" spans="1:21" x14ac:dyDescent="0.2">
      <c r="A450">
        <v>775</v>
      </c>
      <c r="B450" t="s">
        <v>448</v>
      </c>
      <c r="C450" t="s">
        <v>24</v>
      </c>
      <c r="J450" t="s">
        <v>380</v>
      </c>
      <c r="K450" s="3">
        <v>320</v>
      </c>
      <c r="L450" s="2">
        <v>0</v>
      </c>
      <c r="M450" s="2">
        <f>+K450-L450</f>
        <v>320</v>
      </c>
      <c r="N450" s="2">
        <v>16</v>
      </c>
      <c r="O450" s="2">
        <v>0</v>
      </c>
      <c r="P450" s="2">
        <v>336</v>
      </c>
      <c r="Q450" t="s">
        <v>40</v>
      </c>
      <c r="S450" t="s">
        <v>27</v>
      </c>
      <c r="T450" s="8">
        <v>46012</v>
      </c>
      <c r="U450" s="7">
        <v>0.94133101851851853</v>
      </c>
    </row>
    <row r="451" spans="1:21" x14ac:dyDescent="0.2">
      <c r="A451">
        <v>776</v>
      </c>
      <c r="B451" t="s">
        <v>446</v>
      </c>
      <c r="C451" t="s">
        <v>24</v>
      </c>
      <c r="J451" t="s">
        <v>447</v>
      </c>
      <c r="K451" s="3">
        <v>520</v>
      </c>
      <c r="L451" s="2">
        <v>0</v>
      </c>
      <c r="M451" s="2">
        <f>+K451-L451</f>
        <v>520</v>
      </c>
      <c r="N451" s="2">
        <v>26</v>
      </c>
      <c r="O451" s="2">
        <v>0</v>
      </c>
      <c r="P451" s="2">
        <v>546</v>
      </c>
      <c r="Q451" t="s">
        <v>40</v>
      </c>
      <c r="S451" t="s">
        <v>27</v>
      </c>
      <c r="T451" s="8">
        <v>46012</v>
      </c>
      <c r="U451" s="7">
        <v>0.95126157407407408</v>
      </c>
    </row>
    <row r="452" spans="1:21" x14ac:dyDescent="0.2">
      <c r="A452">
        <v>777</v>
      </c>
      <c r="B452" t="s">
        <v>445</v>
      </c>
      <c r="C452" t="s">
        <v>24</v>
      </c>
      <c r="J452" t="s">
        <v>71</v>
      </c>
      <c r="K452" s="3">
        <v>60</v>
      </c>
      <c r="L452" s="2">
        <v>0</v>
      </c>
      <c r="M452" s="2">
        <f>+K452-L452</f>
        <v>60</v>
      </c>
      <c r="N452" s="2">
        <v>0</v>
      </c>
      <c r="O452" s="2">
        <v>0</v>
      </c>
      <c r="P452" s="2">
        <v>60</v>
      </c>
      <c r="Q452" t="s">
        <v>40</v>
      </c>
      <c r="S452" t="s">
        <v>27</v>
      </c>
      <c r="T452" s="8">
        <v>46012</v>
      </c>
      <c r="U452" s="7">
        <v>0.9525231481481482</v>
      </c>
    </row>
    <row r="453" spans="1:21" x14ac:dyDescent="0.2">
      <c r="A453">
        <v>778</v>
      </c>
      <c r="B453" t="s">
        <v>43</v>
      </c>
      <c r="C453" t="s">
        <v>24</v>
      </c>
      <c r="D453" t="s">
        <v>444</v>
      </c>
      <c r="J453" t="s">
        <v>244</v>
      </c>
      <c r="K453" s="3">
        <v>122</v>
      </c>
      <c r="L453" s="2">
        <v>0</v>
      </c>
      <c r="M453" s="2">
        <f>+K453-L453</f>
        <v>122</v>
      </c>
      <c r="N453" s="2">
        <v>21.96</v>
      </c>
      <c r="O453" s="2">
        <v>0.04</v>
      </c>
      <c r="P453" s="2">
        <v>144</v>
      </c>
      <c r="Q453" t="s">
        <v>40</v>
      </c>
      <c r="S453" t="s">
        <v>27</v>
      </c>
      <c r="T453" s="8">
        <v>46012</v>
      </c>
      <c r="U453" s="7">
        <v>0.95442129629629635</v>
      </c>
    </row>
    <row r="454" spans="1:21" x14ac:dyDescent="0.2">
      <c r="A454">
        <v>779</v>
      </c>
      <c r="B454" t="s">
        <v>442</v>
      </c>
      <c r="C454" t="s">
        <v>24</v>
      </c>
      <c r="J454" t="s">
        <v>443</v>
      </c>
      <c r="K454" s="3">
        <v>290</v>
      </c>
      <c r="L454" s="2">
        <v>0</v>
      </c>
      <c r="M454" s="2">
        <f>+K454-L454</f>
        <v>290</v>
      </c>
      <c r="N454" s="2">
        <v>14.5</v>
      </c>
      <c r="O454" s="2">
        <v>0.5</v>
      </c>
      <c r="P454" s="2">
        <v>305</v>
      </c>
      <c r="Q454" t="s">
        <v>40</v>
      </c>
      <c r="S454" t="s">
        <v>27</v>
      </c>
      <c r="T454" s="8">
        <v>46012</v>
      </c>
      <c r="U454" s="7">
        <v>0.95616898148148144</v>
      </c>
    </row>
    <row r="455" spans="1:21" x14ac:dyDescent="0.2">
      <c r="A455">
        <v>780</v>
      </c>
      <c r="B455" t="s">
        <v>303</v>
      </c>
      <c r="C455" t="s">
        <v>24</v>
      </c>
      <c r="J455" t="s">
        <v>441</v>
      </c>
      <c r="K455" s="3">
        <v>455</v>
      </c>
      <c r="L455" s="2">
        <v>0</v>
      </c>
      <c r="M455" s="2">
        <f>+K455-L455</f>
        <v>455</v>
      </c>
      <c r="N455" s="2">
        <v>22.76</v>
      </c>
      <c r="O455" s="2">
        <v>0.24</v>
      </c>
      <c r="P455" s="2">
        <v>478</v>
      </c>
      <c r="Q455" t="s">
        <v>40</v>
      </c>
      <c r="S455" t="s">
        <v>27</v>
      </c>
      <c r="T455" s="8">
        <v>46012</v>
      </c>
      <c r="U455" s="7">
        <v>0.95734953703703707</v>
      </c>
    </row>
    <row r="456" spans="1:21" x14ac:dyDescent="0.2">
      <c r="A456">
        <v>781</v>
      </c>
      <c r="B456" t="s">
        <v>85</v>
      </c>
      <c r="C456" t="s">
        <v>24</v>
      </c>
      <c r="J456" t="s">
        <v>94</v>
      </c>
      <c r="K456" s="3">
        <v>165</v>
      </c>
      <c r="L456" s="2">
        <v>0</v>
      </c>
      <c r="M456" s="2">
        <f>+K456-L456</f>
        <v>165</v>
      </c>
      <c r="N456" s="2">
        <v>8.26</v>
      </c>
      <c r="O456" s="2">
        <v>-0.26</v>
      </c>
      <c r="P456" s="2">
        <v>173</v>
      </c>
      <c r="Q456" t="s">
        <v>40</v>
      </c>
      <c r="S456" t="s">
        <v>27</v>
      </c>
      <c r="T456" s="8">
        <v>46012</v>
      </c>
      <c r="U456" s="7">
        <v>0.95741898148148152</v>
      </c>
    </row>
    <row r="457" spans="1:21" x14ac:dyDescent="0.2">
      <c r="A457">
        <v>782</v>
      </c>
      <c r="B457" t="s">
        <v>439</v>
      </c>
      <c r="C457" t="s">
        <v>24</v>
      </c>
      <c r="J457" t="s">
        <v>440</v>
      </c>
      <c r="K457" s="3">
        <v>1665</v>
      </c>
      <c r="L457" s="2">
        <v>0</v>
      </c>
      <c r="M457" s="2">
        <f>+K457-L457</f>
        <v>1665</v>
      </c>
      <c r="N457" s="2">
        <v>83.26</v>
      </c>
      <c r="O457" s="2">
        <v>-0.26</v>
      </c>
      <c r="P457" s="2">
        <v>1748</v>
      </c>
      <c r="Q457" t="s">
        <v>30</v>
      </c>
      <c r="S457" t="s">
        <v>27</v>
      </c>
      <c r="T457" s="8">
        <v>46012</v>
      </c>
      <c r="U457" s="7">
        <v>0.95931712962962967</v>
      </c>
    </row>
    <row r="458" spans="1:21" x14ac:dyDescent="0.2">
      <c r="A458">
        <v>783</v>
      </c>
      <c r="B458" t="s">
        <v>91</v>
      </c>
      <c r="C458" t="s">
        <v>24</v>
      </c>
      <c r="J458" t="s">
        <v>438</v>
      </c>
      <c r="K458" s="3">
        <v>0</v>
      </c>
      <c r="L458" s="2">
        <v>0</v>
      </c>
      <c r="M458" s="2">
        <f>+K458-L458</f>
        <v>0</v>
      </c>
      <c r="N458" s="2">
        <v>0</v>
      </c>
      <c r="O458" s="2">
        <v>0</v>
      </c>
      <c r="P458" s="2">
        <v>0</v>
      </c>
      <c r="Q458" t="s">
        <v>33</v>
      </c>
      <c r="S458" t="s">
        <v>27</v>
      </c>
      <c r="T458" s="8">
        <v>46012</v>
      </c>
      <c r="U458" s="7">
        <v>0.95978009259259256</v>
      </c>
    </row>
    <row r="459" spans="1:21" x14ac:dyDescent="0.2">
      <c r="A459">
        <v>784</v>
      </c>
      <c r="B459" t="s">
        <v>95</v>
      </c>
      <c r="C459" t="s">
        <v>24</v>
      </c>
      <c r="J459" t="s">
        <v>437</v>
      </c>
      <c r="K459" s="3">
        <v>0</v>
      </c>
      <c r="L459" s="2">
        <v>0</v>
      </c>
      <c r="M459" s="2">
        <f>+K459-L459</f>
        <v>0</v>
      </c>
      <c r="N459" s="2">
        <v>0</v>
      </c>
      <c r="O459" s="2">
        <v>0</v>
      </c>
      <c r="P459" s="2">
        <v>0</v>
      </c>
      <c r="Q459" t="s">
        <v>33</v>
      </c>
      <c r="S459" t="s">
        <v>27</v>
      </c>
      <c r="T459" s="8">
        <v>46012</v>
      </c>
      <c r="U459" s="7">
        <v>0.96001157407407411</v>
      </c>
    </row>
    <row r="460" spans="1:21" x14ac:dyDescent="0.2">
      <c r="A460">
        <v>785</v>
      </c>
      <c r="B460" t="s">
        <v>435</v>
      </c>
      <c r="C460" t="s">
        <v>24</v>
      </c>
      <c r="J460" t="s">
        <v>436</v>
      </c>
      <c r="K460" s="3">
        <v>690</v>
      </c>
      <c r="L460" s="2">
        <v>0</v>
      </c>
      <c r="M460" s="2">
        <f>+K460-L460</f>
        <v>690</v>
      </c>
      <c r="N460" s="2">
        <v>34.5</v>
      </c>
      <c r="O460" s="2">
        <v>0.5</v>
      </c>
      <c r="P460" s="2">
        <v>725</v>
      </c>
      <c r="Q460" t="s">
        <v>30</v>
      </c>
      <c r="S460" t="s">
        <v>27</v>
      </c>
      <c r="T460" s="8">
        <v>46012</v>
      </c>
      <c r="U460" s="7">
        <v>0.96069444444444441</v>
      </c>
    </row>
    <row r="461" spans="1:21" x14ac:dyDescent="0.2">
      <c r="A461">
        <v>786</v>
      </c>
      <c r="B461" t="s">
        <v>379</v>
      </c>
      <c r="C461" t="s">
        <v>24</v>
      </c>
      <c r="J461" t="s">
        <v>90</v>
      </c>
      <c r="K461" s="3">
        <v>325</v>
      </c>
      <c r="L461" s="2">
        <v>32.5</v>
      </c>
      <c r="M461" s="2">
        <f>+K461-L461</f>
        <v>292.5</v>
      </c>
      <c r="N461" s="2">
        <v>14.62</v>
      </c>
      <c r="O461" s="2">
        <v>-0.12</v>
      </c>
      <c r="P461" s="2">
        <v>307</v>
      </c>
      <c r="Q461" t="s">
        <v>30</v>
      </c>
      <c r="S461" t="s">
        <v>27</v>
      </c>
      <c r="T461" s="8">
        <v>46012</v>
      </c>
      <c r="U461" s="7">
        <v>0.9617013888888889</v>
      </c>
    </row>
    <row r="462" spans="1:21" x14ac:dyDescent="0.2">
      <c r="A462">
        <v>787</v>
      </c>
      <c r="B462" t="s">
        <v>416</v>
      </c>
      <c r="C462" t="s">
        <v>24</v>
      </c>
      <c r="J462" t="s">
        <v>434</v>
      </c>
      <c r="K462" s="3">
        <v>1325</v>
      </c>
      <c r="L462" s="2">
        <v>0</v>
      </c>
      <c r="M462" s="2">
        <f>+K462-L462</f>
        <v>1325</v>
      </c>
      <c r="N462" s="2">
        <v>66.260000000000005</v>
      </c>
      <c r="O462" s="2">
        <v>-0.26</v>
      </c>
      <c r="P462" s="2">
        <v>1391</v>
      </c>
      <c r="Q462" t="s">
        <v>26</v>
      </c>
      <c r="S462" t="s">
        <v>27</v>
      </c>
      <c r="T462" s="8">
        <v>46013</v>
      </c>
      <c r="U462" s="7">
        <v>0.69342592592592589</v>
      </c>
    </row>
    <row r="463" spans="1:21" x14ac:dyDescent="0.2">
      <c r="A463">
        <v>788</v>
      </c>
      <c r="B463" t="s">
        <v>23</v>
      </c>
      <c r="C463" t="s">
        <v>24</v>
      </c>
      <c r="J463" t="s">
        <v>433</v>
      </c>
      <c r="K463" s="3">
        <v>940</v>
      </c>
      <c r="L463" s="2">
        <v>0</v>
      </c>
      <c r="M463" s="2">
        <f>+K463-L463</f>
        <v>940</v>
      </c>
      <c r="N463" s="2">
        <v>47</v>
      </c>
      <c r="O463" s="2">
        <v>0</v>
      </c>
      <c r="P463" s="2">
        <v>987</v>
      </c>
      <c r="Q463" t="s">
        <v>33</v>
      </c>
      <c r="S463" t="s">
        <v>27</v>
      </c>
      <c r="T463" s="8">
        <v>46013</v>
      </c>
      <c r="U463" s="7">
        <v>0.74350694444444443</v>
      </c>
    </row>
    <row r="464" spans="1:21" x14ac:dyDescent="0.2">
      <c r="A464">
        <v>789</v>
      </c>
      <c r="B464" t="s">
        <v>343</v>
      </c>
      <c r="C464" t="s">
        <v>24</v>
      </c>
      <c r="J464" t="s">
        <v>432</v>
      </c>
      <c r="K464" s="3">
        <v>520</v>
      </c>
      <c r="L464" s="2">
        <v>52</v>
      </c>
      <c r="M464" s="2">
        <f>+K464-L464</f>
        <v>468</v>
      </c>
      <c r="N464" s="2">
        <v>23.4</v>
      </c>
      <c r="O464" s="2">
        <v>-0.4</v>
      </c>
      <c r="P464" s="2">
        <v>491</v>
      </c>
      <c r="Q464" t="s">
        <v>40</v>
      </c>
      <c r="S464" t="s">
        <v>27</v>
      </c>
      <c r="T464" s="8">
        <v>46013</v>
      </c>
      <c r="U464" s="7">
        <v>0.75085648148148143</v>
      </c>
    </row>
    <row r="465" spans="1:21" x14ac:dyDescent="0.2">
      <c r="A465">
        <v>790</v>
      </c>
      <c r="B465" t="s">
        <v>416</v>
      </c>
      <c r="C465" t="s">
        <v>24</v>
      </c>
      <c r="J465" t="s">
        <v>431</v>
      </c>
      <c r="K465" s="3">
        <v>855</v>
      </c>
      <c r="L465" s="2">
        <v>0</v>
      </c>
      <c r="M465" s="2">
        <f>+K465-L465</f>
        <v>855</v>
      </c>
      <c r="N465" s="2">
        <v>42.76</v>
      </c>
      <c r="O465" s="2">
        <v>0.24</v>
      </c>
      <c r="P465" s="2">
        <v>898</v>
      </c>
      <c r="Q465" t="s">
        <v>30</v>
      </c>
      <c r="S465" t="s">
        <v>27</v>
      </c>
      <c r="T465" s="8">
        <v>46013</v>
      </c>
      <c r="U465" s="7">
        <v>0.76653935185185185</v>
      </c>
    </row>
    <row r="466" spans="1:21" x14ac:dyDescent="0.2">
      <c r="A466">
        <v>791</v>
      </c>
      <c r="B466" t="s">
        <v>41</v>
      </c>
      <c r="C466" t="s">
        <v>24</v>
      </c>
      <c r="J466" t="s">
        <v>430</v>
      </c>
      <c r="K466" s="3">
        <v>460</v>
      </c>
      <c r="L466" s="2">
        <v>0</v>
      </c>
      <c r="M466" s="2">
        <f>+K466-L466</f>
        <v>460</v>
      </c>
      <c r="N466" s="2">
        <v>23</v>
      </c>
      <c r="O466" s="2">
        <v>0</v>
      </c>
      <c r="P466" s="2">
        <v>483</v>
      </c>
      <c r="Q466" t="s">
        <v>33</v>
      </c>
      <c r="S466" t="s">
        <v>27</v>
      </c>
      <c r="T466" s="8">
        <v>46013</v>
      </c>
      <c r="U466" s="7">
        <v>0.77003472222222225</v>
      </c>
    </row>
    <row r="467" spans="1:21" x14ac:dyDescent="0.2">
      <c r="A467">
        <v>792</v>
      </c>
      <c r="B467" t="s">
        <v>43</v>
      </c>
      <c r="C467" t="s">
        <v>24</v>
      </c>
      <c r="J467" t="s">
        <v>429</v>
      </c>
      <c r="K467" s="3">
        <v>1715</v>
      </c>
      <c r="L467" s="2">
        <v>171.5</v>
      </c>
      <c r="M467" s="2">
        <f>+K467-L467</f>
        <v>1543.5</v>
      </c>
      <c r="N467" s="2">
        <v>77.180000000000007</v>
      </c>
      <c r="O467" s="2">
        <v>0.32</v>
      </c>
      <c r="P467" s="2">
        <v>1621</v>
      </c>
      <c r="Q467" t="s">
        <v>30</v>
      </c>
      <c r="S467" t="s">
        <v>27</v>
      </c>
      <c r="T467" s="8">
        <v>46013</v>
      </c>
      <c r="U467" s="7">
        <v>0.82856481481481481</v>
      </c>
    </row>
    <row r="468" spans="1:21" x14ac:dyDescent="0.2">
      <c r="A468">
        <v>793</v>
      </c>
      <c r="B468" t="s">
        <v>52</v>
      </c>
      <c r="C468" t="s">
        <v>24</v>
      </c>
      <c r="J468" t="s">
        <v>428</v>
      </c>
      <c r="K468" s="3">
        <v>1520</v>
      </c>
      <c r="L468" s="2">
        <v>152</v>
      </c>
      <c r="M468" s="2">
        <f>+K468-L468</f>
        <v>1368</v>
      </c>
      <c r="N468" s="2">
        <v>68.400000000000006</v>
      </c>
      <c r="O468" s="2">
        <v>-0.4</v>
      </c>
      <c r="P468" s="2">
        <v>1436</v>
      </c>
      <c r="Q468" t="s">
        <v>40</v>
      </c>
      <c r="S468" t="s">
        <v>27</v>
      </c>
      <c r="T468" s="8">
        <v>46013</v>
      </c>
      <c r="U468" s="7">
        <v>0.83053240740740741</v>
      </c>
    </row>
    <row r="469" spans="1:21" x14ac:dyDescent="0.2">
      <c r="A469">
        <v>794</v>
      </c>
      <c r="B469" t="s">
        <v>394</v>
      </c>
      <c r="C469" t="s">
        <v>24</v>
      </c>
      <c r="J469" t="s">
        <v>71</v>
      </c>
      <c r="K469" s="3">
        <v>60</v>
      </c>
      <c r="L469" s="2">
        <v>0</v>
      </c>
      <c r="M469" s="2">
        <f>+K469-L469</f>
        <v>60</v>
      </c>
      <c r="N469" s="2">
        <v>0</v>
      </c>
      <c r="O469" s="2">
        <v>0</v>
      </c>
      <c r="P469" s="2">
        <v>60</v>
      </c>
      <c r="Q469" t="s">
        <v>40</v>
      </c>
      <c r="S469" t="s">
        <v>27</v>
      </c>
      <c r="T469" s="8">
        <v>46013</v>
      </c>
      <c r="U469" s="7">
        <v>0.83960648148148154</v>
      </c>
    </row>
    <row r="470" spans="1:21" x14ac:dyDescent="0.2">
      <c r="A470">
        <v>795</v>
      </c>
      <c r="B470" t="s">
        <v>23</v>
      </c>
      <c r="C470" t="s">
        <v>24</v>
      </c>
      <c r="J470" t="s">
        <v>427</v>
      </c>
      <c r="K470" s="3">
        <v>1099</v>
      </c>
      <c r="L470" s="2">
        <v>109.9</v>
      </c>
      <c r="M470" s="2">
        <f>+K470-L470</f>
        <v>989.1</v>
      </c>
      <c r="N470" s="2">
        <v>38.26</v>
      </c>
      <c r="O470" s="2">
        <v>-0.36</v>
      </c>
      <c r="P470" s="2">
        <v>1027</v>
      </c>
      <c r="Q470" t="s">
        <v>30</v>
      </c>
      <c r="S470" t="s">
        <v>27</v>
      </c>
      <c r="T470" s="8">
        <v>46013</v>
      </c>
      <c r="U470" s="7">
        <v>0.89826388888888886</v>
      </c>
    </row>
    <row r="471" spans="1:21" x14ac:dyDescent="0.2">
      <c r="A471">
        <v>796</v>
      </c>
      <c r="B471" t="s">
        <v>41</v>
      </c>
      <c r="C471" t="s">
        <v>24</v>
      </c>
      <c r="J471" t="s">
        <v>426</v>
      </c>
      <c r="K471" s="3">
        <v>865</v>
      </c>
      <c r="L471" s="2">
        <v>86.5</v>
      </c>
      <c r="M471" s="2">
        <f>+K471-L471</f>
        <v>778.5</v>
      </c>
      <c r="N471" s="2">
        <v>38.92</v>
      </c>
      <c r="O471" s="2">
        <v>-0.42</v>
      </c>
      <c r="P471" s="2">
        <v>817</v>
      </c>
      <c r="Q471" t="s">
        <v>40</v>
      </c>
      <c r="S471" t="s">
        <v>27</v>
      </c>
      <c r="T471" s="8">
        <v>46013</v>
      </c>
      <c r="U471" s="7">
        <v>0.91531249999999997</v>
      </c>
    </row>
    <row r="472" spans="1:21" x14ac:dyDescent="0.2">
      <c r="A472">
        <v>797</v>
      </c>
      <c r="B472" t="s">
        <v>204</v>
      </c>
      <c r="C472" t="s">
        <v>24</v>
      </c>
      <c r="J472" t="s">
        <v>96</v>
      </c>
      <c r="K472" s="3">
        <v>0</v>
      </c>
      <c r="L472" s="2">
        <v>0</v>
      </c>
      <c r="M472" s="2">
        <f>+K472-L472</f>
        <v>0</v>
      </c>
      <c r="N472" s="2">
        <v>0</v>
      </c>
      <c r="O472" s="2">
        <v>0</v>
      </c>
      <c r="P472" s="2">
        <v>0</v>
      </c>
      <c r="Q472" t="s">
        <v>33</v>
      </c>
      <c r="S472" t="s">
        <v>27</v>
      </c>
      <c r="T472" s="8">
        <v>46013</v>
      </c>
      <c r="U472" s="7">
        <v>0.9591319444444445</v>
      </c>
    </row>
    <row r="473" spans="1:21" x14ac:dyDescent="0.2">
      <c r="A473">
        <v>798</v>
      </c>
      <c r="B473" t="s">
        <v>91</v>
      </c>
      <c r="C473" t="s">
        <v>24</v>
      </c>
      <c r="J473" t="s">
        <v>425</v>
      </c>
      <c r="K473" s="3">
        <v>0</v>
      </c>
      <c r="L473" s="2">
        <v>0</v>
      </c>
      <c r="M473" s="2">
        <f>+K473-L473</f>
        <v>0</v>
      </c>
      <c r="N473" s="2">
        <v>0</v>
      </c>
      <c r="O473" s="2">
        <v>0</v>
      </c>
      <c r="P473" s="2">
        <v>0</v>
      </c>
      <c r="Q473" t="s">
        <v>33</v>
      </c>
      <c r="S473" t="s">
        <v>27</v>
      </c>
      <c r="T473" s="8">
        <v>46013</v>
      </c>
      <c r="U473" s="7">
        <v>0.95960648148148153</v>
      </c>
    </row>
    <row r="474" spans="1:21" x14ac:dyDescent="0.2">
      <c r="A474">
        <v>799</v>
      </c>
      <c r="B474" t="s">
        <v>45</v>
      </c>
      <c r="C474" t="s">
        <v>24</v>
      </c>
      <c r="J474" t="s">
        <v>424</v>
      </c>
      <c r="K474" s="3">
        <v>1935</v>
      </c>
      <c r="L474" s="2">
        <v>193.5</v>
      </c>
      <c r="M474" s="2">
        <f>+K474-L474</f>
        <v>1741.5</v>
      </c>
      <c r="N474" s="2">
        <v>84.38</v>
      </c>
      <c r="O474" s="2">
        <v>0.12</v>
      </c>
      <c r="P474" s="2">
        <v>1826</v>
      </c>
      <c r="Q474" t="s">
        <v>40</v>
      </c>
      <c r="S474" t="s">
        <v>27</v>
      </c>
      <c r="T474" s="8">
        <v>46013</v>
      </c>
      <c r="U474" s="7">
        <v>0.95994212962962966</v>
      </c>
    </row>
    <row r="475" spans="1:21" x14ac:dyDescent="0.2">
      <c r="A475">
        <v>800</v>
      </c>
      <c r="B475" t="s">
        <v>41</v>
      </c>
      <c r="C475" t="s">
        <v>24</v>
      </c>
      <c r="J475" t="s">
        <v>423</v>
      </c>
      <c r="K475" s="3">
        <v>1000</v>
      </c>
      <c r="L475" s="2">
        <v>100</v>
      </c>
      <c r="M475" s="2">
        <f>+K475-L475</f>
        <v>900</v>
      </c>
      <c r="N475" s="2">
        <v>45</v>
      </c>
      <c r="O475" s="2">
        <v>0</v>
      </c>
      <c r="P475" s="2">
        <v>945</v>
      </c>
      <c r="Q475" t="s">
        <v>33</v>
      </c>
      <c r="S475" t="s">
        <v>27</v>
      </c>
      <c r="T475" s="8">
        <v>46013</v>
      </c>
      <c r="U475" s="7">
        <v>0.96096064814814819</v>
      </c>
    </row>
    <row r="476" spans="1:21" x14ac:dyDescent="0.2">
      <c r="A476">
        <v>801</v>
      </c>
      <c r="B476" t="s">
        <v>400</v>
      </c>
      <c r="C476" t="s">
        <v>24</v>
      </c>
      <c r="J476" t="s">
        <v>422</v>
      </c>
      <c r="K476" s="3">
        <v>1847</v>
      </c>
      <c r="L476" s="2">
        <v>0</v>
      </c>
      <c r="M476" s="2">
        <f>+K476-L476</f>
        <v>1847</v>
      </c>
      <c r="N476" s="2">
        <v>78.84</v>
      </c>
      <c r="O476" s="2">
        <v>0.16</v>
      </c>
      <c r="P476" s="2">
        <v>1926</v>
      </c>
      <c r="Q476" t="s">
        <v>30</v>
      </c>
      <c r="S476" t="s">
        <v>27</v>
      </c>
      <c r="T476" s="8">
        <v>46013</v>
      </c>
      <c r="U476" s="7">
        <v>0.96231481481481485</v>
      </c>
    </row>
    <row r="477" spans="1:21" x14ac:dyDescent="0.2">
      <c r="A477">
        <v>802</v>
      </c>
      <c r="B477" t="s">
        <v>43</v>
      </c>
      <c r="C477" t="s">
        <v>24</v>
      </c>
      <c r="J477" t="s">
        <v>421</v>
      </c>
      <c r="K477" s="3">
        <v>910</v>
      </c>
      <c r="L477" s="2">
        <v>0</v>
      </c>
      <c r="M477" s="2">
        <f>+K477-L477</f>
        <v>910</v>
      </c>
      <c r="N477" s="2">
        <v>45.5</v>
      </c>
      <c r="O477" s="2">
        <v>0.5</v>
      </c>
      <c r="P477" s="2">
        <v>956</v>
      </c>
      <c r="Q477" t="s">
        <v>40</v>
      </c>
      <c r="S477" t="s">
        <v>27</v>
      </c>
      <c r="T477" s="8">
        <v>46014</v>
      </c>
      <c r="U477" s="7">
        <v>0.58848379629629632</v>
      </c>
    </row>
    <row r="478" spans="1:21" x14ac:dyDescent="0.2">
      <c r="A478">
        <v>803</v>
      </c>
      <c r="B478" t="s">
        <v>43</v>
      </c>
      <c r="C478" t="s">
        <v>24</v>
      </c>
      <c r="J478" t="s">
        <v>420</v>
      </c>
      <c r="K478" s="3">
        <v>1635</v>
      </c>
      <c r="L478" s="2">
        <v>163.5</v>
      </c>
      <c r="M478" s="2">
        <f>+K478-L478</f>
        <v>1471.5</v>
      </c>
      <c r="N478" s="2">
        <v>73.58</v>
      </c>
      <c r="O478" s="2">
        <v>-0.08</v>
      </c>
      <c r="P478" s="2">
        <v>1545</v>
      </c>
      <c r="Q478" t="s">
        <v>40</v>
      </c>
      <c r="S478" t="s">
        <v>27</v>
      </c>
      <c r="T478" s="8">
        <v>46014</v>
      </c>
      <c r="U478" s="7">
        <v>0.63133101851851847</v>
      </c>
    </row>
    <row r="479" spans="1:21" x14ac:dyDescent="0.2">
      <c r="A479">
        <v>804</v>
      </c>
      <c r="B479" t="s">
        <v>23</v>
      </c>
      <c r="C479" t="s">
        <v>24</v>
      </c>
      <c r="J479" t="s">
        <v>419</v>
      </c>
      <c r="K479" s="3">
        <v>1095</v>
      </c>
      <c r="L479" s="2">
        <v>109.5</v>
      </c>
      <c r="M479" s="2">
        <f>+K479-L479</f>
        <v>985.5</v>
      </c>
      <c r="N479" s="2">
        <v>49.28</v>
      </c>
      <c r="O479" s="2">
        <v>0.22</v>
      </c>
      <c r="P479" s="2">
        <v>1035</v>
      </c>
      <c r="Q479" t="s">
        <v>40</v>
      </c>
      <c r="S479" t="s">
        <v>27</v>
      </c>
      <c r="T479" s="8">
        <v>46014</v>
      </c>
      <c r="U479" s="7">
        <v>0.74443287037037043</v>
      </c>
    </row>
    <row r="480" spans="1:21" x14ac:dyDescent="0.2">
      <c r="A480">
        <v>805</v>
      </c>
      <c r="B480" t="s">
        <v>413</v>
      </c>
      <c r="C480" t="s">
        <v>24</v>
      </c>
      <c r="J480" t="s">
        <v>418</v>
      </c>
      <c r="K480" s="3">
        <v>280</v>
      </c>
      <c r="L480" s="2">
        <v>0</v>
      </c>
      <c r="M480" s="2">
        <f>+K480-L480</f>
        <v>280</v>
      </c>
      <c r="N480" s="2">
        <v>14</v>
      </c>
      <c r="O480" s="2">
        <v>0</v>
      </c>
      <c r="P480" s="2">
        <v>294</v>
      </c>
      <c r="Q480" t="s">
        <v>40</v>
      </c>
      <c r="S480" t="s">
        <v>27</v>
      </c>
      <c r="T480" s="8">
        <v>46014</v>
      </c>
      <c r="U480" s="7">
        <v>0.77392361111111108</v>
      </c>
    </row>
    <row r="481" spans="1:21" x14ac:dyDescent="0.2">
      <c r="A481">
        <v>806</v>
      </c>
      <c r="B481" t="s">
        <v>416</v>
      </c>
      <c r="C481" t="s">
        <v>24</v>
      </c>
      <c r="J481" t="s">
        <v>417</v>
      </c>
      <c r="K481" s="3">
        <v>930</v>
      </c>
      <c r="L481" s="2">
        <v>93</v>
      </c>
      <c r="M481" s="2">
        <f>+K481-L481</f>
        <v>837</v>
      </c>
      <c r="N481" s="2">
        <v>41.86</v>
      </c>
      <c r="O481" s="2">
        <v>0.14000000000000001</v>
      </c>
      <c r="P481" s="2">
        <v>879</v>
      </c>
      <c r="Q481" t="s">
        <v>40</v>
      </c>
      <c r="S481" t="s">
        <v>27</v>
      </c>
      <c r="T481" s="8">
        <v>46014</v>
      </c>
      <c r="U481" s="7">
        <v>0.79782407407407407</v>
      </c>
    </row>
    <row r="482" spans="1:21" x14ac:dyDescent="0.2">
      <c r="A482">
        <v>807</v>
      </c>
      <c r="B482" t="s">
        <v>52</v>
      </c>
      <c r="C482" t="s">
        <v>24</v>
      </c>
      <c r="J482" t="s">
        <v>415</v>
      </c>
      <c r="K482" s="3">
        <v>2260</v>
      </c>
      <c r="L482" s="2">
        <v>226</v>
      </c>
      <c r="M482" s="2">
        <f>+K482-L482</f>
        <v>2034</v>
      </c>
      <c r="N482" s="2">
        <v>101.7</v>
      </c>
      <c r="O482" s="2">
        <v>0.3</v>
      </c>
      <c r="P482" s="2">
        <v>2136</v>
      </c>
      <c r="Q482" t="s">
        <v>30</v>
      </c>
      <c r="S482" t="s">
        <v>27</v>
      </c>
      <c r="T482" s="8">
        <v>46014</v>
      </c>
      <c r="U482" s="7">
        <v>0.81807870370370372</v>
      </c>
    </row>
    <row r="483" spans="1:21" x14ac:dyDescent="0.2">
      <c r="A483">
        <v>808</v>
      </c>
      <c r="B483" t="s">
        <v>413</v>
      </c>
      <c r="C483" t="s">
        <v>24</v>
      </c>
      <c r="J483" t="s">
        <v>414</v>
      </c>
      <c r="K483" s="3">
        <v>895</v>
      </c>
      <c r="L483" s="2">
        <v>89.5</v>
      </c>
      <c r="M483" s="2">
        <f>+K483-L483</f>
        <v>805.5</v>
      </c>
      <c r="N483" s="2">
        <v>40.28</v>
      </c>
      <c r="O483" s="2">
        <v>0.22</v>
      </c>
      <c r="P483" s="2">
        <v>846</v>
      </c>
      <c r="Q483" t="s">
        <v>40</v>
      </c>
      <c r="S483" t="s">
        <v>27</v>
      </c>
      <c r="T483" s="8">
        <v>46014</v>
      </c>
      <c r="U483" s="7">
        <v>0.85469907407407408</v>
      </c>
    </row>
    <row r="484" spans="1:21" x14ac:dyDescent="0.2">
      <c r="A484">
        <v>809</v>
      </c>
      <c r="B484" t="s">
        <v>23</v>
      </c>
      <c r="C484" t="s">
        <v>24</v>
      </c>
      <c r="J484" t="s">
        <v>412</v>
      </c>
      <c r="K484" s="3">
        <v>635</v>
      </c>
      <c r="L484" s="2">
        <v>63.5</v>
      </c>
      <c r="M484" s="2">
        <f>+K484-L484</f>
        <v>571.5</v>
      </c>
      <c r="N484" s="2">
        <v>28.58</v>
      </c>
      <c r="O484" s="2">
        <v>-0.08</v>
      </c>
      <c r="P484" s="2">
        <v>600</v>
      </c>
      <c r="Q484" t="s">
        <v>30</v>
      </c>
      <c r="S484" t="s">
        <v>27</v>
      </c>
      <c r="T484" s="8">
        <v>46014</v>
      </c>
      <c r="U484" s="7">
        <v>0.85888888888888892</v>
      </c>
    </row>
    <row r="485" spans="1:21" x14ac:dyDescent="0.2">
      <c r="A485">
        <v>810</v>
      </c>
      <c r="B485" t="s">
        <v>50</v>
      </c>
      <c r="C485" t="s">
        <v>24</v>
      </c>
      <c r="J485" t="s">
        <v>410</v>
      </c>
      <c r="K485" s="3">
        <v>1769</v>
      </c>
      <c r="L485" s="2">
        <v>0</v>
      </c>
      <c r="M485" s="2">
        <f>+K485-L485</f>
        <v>1769</v>
      </c>
      <c r="N485" s="2">
        <v>81</v>
      </c>
      <c r="O485" s="2">
        <v>0</v>
      </c>
      <c r="P485" s="2">
        <v>0</v>
      </c>
      <c r="Q485" t="s">
        <v>135</v>
      </c>
      <c r="R485" t="s">
        <v>411</v>
      </c>
      <c r="S485" t="s">
        <v>27</v>
      </c>
      <c r="T485" s="8">
        <v>46014</v>
      </c>
      <c r="U485" s="7">
        <v>0.88444444444444448</v>
      </c>
    </row>
    <row r="486" spans="1:21" x14ac:dyDescent="0.2">
      <c r="A486">
        <v>811</v>
      </c>
      <c r="B486" t="s">
        <v>394</v>
      </c>
      <c r="C486" t="s">
        <v>24</v>
      </c>
      <c r="J486" t="s">
        <v>244</v>
      </c>
      <c r="K486" s="3">
        <v>122</v>
      </c>
      <c r="L486" s="2">
        <v>0</v>
      </c>
      <c r="M486" s="2">
        <f>+K486-L486</f>
        <v>122</v>
      </c>
      <c r="N486" s="2">
        <v>21.96</v>
      </c>
      <c r="O486" s="2">
        <v>0.04</v>
      </c>
      <c r="P486" s="2">
        <v>144</v>
      </c>
      <c r="Q486" t="s">
        <v>40</v>
      </c>
      <c r="S486" t="s">
        <v>27</v>
      </c>
      <c r="T486" s="8">
        <v>46014</v>
      </c>
      <c r="U486" s="7">
        <v>0.91319444444444442</v>
      </c>
    </row>
    <row r="487" spans="1:21" x14ac:dyDescent="0.2">
      <c r="A487">
        <v>812</v>
      </c>
      <c r="B487" t="s">
        <v>54</v>
      </c>
      <c r="C487" t="s">
        <v>24</v>
      </c>
      <c r="J487" t="s">
        <v>409</v>
      </c>
      <c r="K487" s="3">
        <v>1605</v>
      </c>
      <c r="L487" s="2">
        <v>321</v>
      </c>
      <c r="M487" s="2">
        <f>+K487-L487</f>
        <v>1284</v>
      </c>
      <c r="N487" s="2">
        <v>64.2</v>
      </c>
      <c r="O487" s="2">
        <v>-0.2</v>
      </c>
      <c r="P487" s="2">
        <v>1348</v>
      </c>
      <c r="Q487" t="s">
        <v>33</v>
      </c>
      <c r="S487" t="s">
        <v>27</v>
      </c>
      <c r="T487" s="8">
        <v>46014</v>
      </c>
      <c r="U487" s="7">
        <v>0.91483796296296294</v>
      </c>
    </row>
    <row r="488" spans="1:21" x14ac:dyDescent="0.2">
      <c r="A488">
        <v>813</v>
      </c>
      <c r="B488" t="s">
        <v>89</v>
      </c>
      <c r="C488" t="s">
        <v>24</v>
      </c>
      <c r="J488" t="s">
        <v>408</v>
      </c>
      <c r="K488" s="3">
        <v>417</v>
      </c>
      <c r="L488" s="2">
        <v>0</v>
      </c>
      <c r="M488" s="2">
        <f>+K488-L488</f>
        <v>417</v>
      </c>
      <c r="N488" s="2">
        <v>36.72</v>
      </c>
      <c r="O488" s="2">
        <v>0.28000000000000003</v>
      </c>
      <c r="P488" s="2">
        <v>454</v>
      </c>
      <c r="Q488" t="s">
        <v>40</v>
      </c>
      <c r="S488" t="s">
        <v>27</v>
      </c>
      <c r="T488" s="8">
        <v>46014</v>
      </c>
      <c r="U488" s="7">
        <v>0.94010416666666663</v>
      </c>
    </row>
    <row r="489" spans="1:21" x14ac:dyDescent="0.2">
      <c r="A489">
        <v>814</v>
      </c>
      <c r="B489" t="s">
        <v>176</v>
      </c>
      <c r="C489" t="s">
        <v>24</v>
      </c>
      <c r="J489" t="s">
        <v>184</v>
      </c>
      <c r="K489" s="3">
        <v>190</v>
      </c>
      <c r="L489" s="2">
        <v>0</v>
      </c>
      <c r="M489" s="2">
        <f>+K489-L489</f>
        <v>190</v>
      </c>
      <c r="N489" s="2">
        <v>9.5</v>
      </c>
      <c r="O489" s="2">
        <v>0.5</v>
      </c>
      <c r="P489" s="2">
        <v>200</v>
      </c>
      <c r="Q489" t="s">
        <v>40</v>
      </c>
      <c r="S489" t="s">
        <v>27</v>
      </c>
      <c r="T489" s="8">
        <v>46014</v>
      </c>
      <c r="U489" s="7">
        <v>0.94035879629629626</v>
      </c>
    </row>
    <row r="490" spans="1:21" x14ac:dyDescent="0.2">
      <c r="A490">
        <v>815</v>
      </c>
      <c r="B490" t="s">
        <v>407</v>
      </c>
      <c r="C490" t="s">
        <v>24</v>
      </c>
      <c r="J490" t="s">
        <v>116</v>
      </c>
      <c r="K490" s="3">
        <v>425</v>
      </c>
      <c r="L490" s="2">
        <v>0</v>
      </c>
      <c r="M490" s="2">
        <f>+K490-L490</f>
        <v>425</v>
      </c>
      <c r="N490" s="2">
        <v>21.26</v>
      </c>
      <c r="O490" s="2">
        <v>-0.26</v>
      </c>
      <c r="P490" s="2">
        <v>446</v>
      </c>
      <c r="Q490" t="s">
        <v>40</v>
      </c>
      <c r="S490" t="s">
        <v>27</v>
      </c>
      <c r="T490" s="8">
        <v>46014</v>
      </c>
      <c r="U490" s="7">
        <v>0.94063657407407408</v>
      </c>
    </row>
    <row r="491" spans="1:21" x14ac:dyDescent="0.2">
      <c r="A491">
        <v>816</v>
      </c>
      <c r="B491" t="s">
        <v>405</v>
      </c>
      <c r="C491" t="s">
        <v>24</v>
      </c>
      <c r="J491" t="s">
        <v>406</v>
      </c>
      <c r="K491" s="3">
        <v>1030</v>
      </c>
      <c r="L491" s="2">
        <v>0</v>
      </c>
      <c r="M491" s="2">
        <f>+K491-L491</f>
        <v>1030</v>
      </c>
      <c r="N491" s="2">
        <v>51.5</v>
      </c>
      <c r="O491" s="2">
        <v>0.5</v>
      </c>
      <c r="P491" s="2">
        <v>1082</v>
      </c>
      <c r="Q491" t="s">
        <v>26</v>
      </c>
      <c r="S491" t="s">
        <v>27</v>
      </c>
      <c r="T491" s="8">
        <v>46014</v>
      </c>
      <c r="U491" s="7">
        <v>0.94111111111111112</v>
      </c>
    </row>
    <row r="492" spans="1:21" x14ac:dyDescent="0.2">
      <c r="A492">
        <v>817</v>
      </c>
      <c r="B492" t="s">
        <v>54</v>
      </c>
      <c r="C492" t="s">
        <v>24</v>
      </c>
      <c r="J492" t="s">
        <v>404</v>
      </c>
      <c r="K492" s="3">
        <v>670</v>
      </c>
      <c r="L492" s="2">
        <v>0</v>
      </c>
      <c r="M492" s="2">
        <f>+K492-L492</f>
        <v>670</v>
      </c>
      <c r="N492" s="2">
        <v>33.5</v>
      </c>
      <c r="O492" s="2">
        <v>0.5</v>
      </c>
      <c r="P492" s="2">
        <v>704</v>
      </c>
      <c r="Q492" t="s">
        <v>26</v>
      </c>
      <c r="S492" t="s">
        <v>27</v>
      </c>
      <c r="T492" s="8">
        <v>46014</v>
      </c>
      <c r="U492" s="7">
        <v>0.94225694444444441</v>
      </c>
    </row>
    <row r="493" spans="1:21" x14ac:dyDescent="0.2">
      <c r="A493">
        <v>818</v>
      </c>
      <c r="B493" t="s">
        <v>402</v>
      </c>
      <c r="C493" t="s">
        <v>24</v>
      </c>
      <c r="J493" t="s">
        <v>403</v>
      </c>
      <c r="K493" s="3">
        <v>933</v>
      </c>
      <c r="L493" s="2">
        <v>93.3</v>
      </c>
      <c r="M493" s="2">
        <f>+K493-L493</f>
        <v>839.7</v>
      </c>
      <c r="N493" s="2">
        <v>35.24</v>
      </c>
      <c r="O493" s="2">
        <v>0.06</v>
      </c>
      <c r="P493" s="2">
        <v>875</v>
      </c>
      <c r="Q493" t="s">
        <v>40</v>
      </c>
      <c r="S493" t="s">
        <v>27</v>
      </c>
      <c r="T493" s="8">
        <v>46014</v>
      </c>
      <c r="U493" s="7">
        <v>0.95276620370370368</v>
      </c>
    </row>
    <row r="494" spans="1:21" x14ac:dyDescent="0.2">
      <c r="A494">
        <v>819</v>
      </c>
      <c r="B494" t="s">
        <v>400</v>
      </c>
      <c r="C494" t="s">
        <v>24</v>
      </c>
      <c r="J494" t="s">
        <v>401</v>
      </c>
      <c r="K494" s="3">
        <v>1890</v>
      </c>
      <c r="L494" s="2">
        <v>0</v>
      </c>
      <c r="M494" s="2">
        <f>+K494-L494</f>
        <v>1890</v>
      </c>
      <c r="N494" s="2">
        <v>76.5</v>
      </c>
      <c r="O494" s="2">
        <v>0.5</v>
      </c>
      <c r="P494" s="2">
        <v>1967</v>
      </c>
      <c r="Q494" t="s">
        <v>30</v>
      </c>
      <c r="S494" t="s">
        <v>27</v>
      </c>
      <c r="T494" s="8">
        <v>46014</v>
      </c>
      <c r="U494" s="7">
        <v>0.95994212962962966</v>
      </c>
    </row>
    <row r="495" spans="1:21" x14ac:dyDescent="0.2">
      <c r="A495">
        <v>820</v>
      </c>
      <c r="B495" t="s">
        <v>91</v>
      </c>
      <c r="C495" t="s">
        <v>24</v>
      </c>
      <c r="J495" t="s">
        <v>399</v>
      </c>
      <c r="K495" s="3">
        <v>0</v>
      </c>
      <c r="L495" s="2">
        <v>0</v>
      </c>
      <c r="M495" s="2">
        <f>+K495-L495</f>
        <v>0</v>
      </c>
      <c r="N495" s="2">
        <v>0</v>
      </c>
      <c r="O495" s="2">
        <v>0</v>
      </c>
      <c r="P495" s="2">
        <v>0</v>
      </c>
      <c r="Q495" t="s">
        <v>33</v>
      </c>
      <c r="S495" t="s">
        <v>27</v>
      </c>
      <c r="T495" s="8">
        <v>46014</v>
      </c>
      <c r="U495" s="7">
        <v>0.96284722222222219</v>
      </c>
    </row>
    <row r="496" spans="1:21" x14ac:dyDescent="0.2">
      <c r="A496">
        <v>821</v>
      </c>
      <c r="B496" t="s">
        <v>34</v>
      </c>
      <c r="C496" t="s">
        <v>24</v>
      </c>
      <c r="J496" t="s">
        <v>398</v>
      </c>
      <c r="K496" s="3">
        <v>0</v>
      </c>
      <c r="L496" s="2">
        <v>0</v>
      </c>
      <c r="M496" s="2">
        <f>+K496-L496</f>
        <v>0</v>
      </c>
      <c r="N496" s="2">
        <v>0</v>
      </c>
      <c r="O496" s="2">
        <v>0</v>
      </c>
      <c r="P496" s="2">
        <v>0</v>
      </c>
      <c r="Q496" t="s">
        <v>33</v>
      </c>
      <c r="S496" t="s">
        <v>27</v>
      </c>
      <c r="T496" s="8">
        <v>46014</v>
      </c>
      <c r="U496" s="7">
        <v>0.96351851851851855</v>
      </c>
    </row>
    <row r="497" spans="1:21" x14ac:dyDescent="0.2">
      <c r="A497">
        <v>822</v>
      </c>
      <c r="B497" t="s">
        <v>38</v>
      </c>
      <c r="C497" t="s">
        <v>24</v>
      </c>
      <c r="J497" t="s">
        <v>397</v>
      </c>
      <c r="K497" s="3">
        <v>325</v>
      </c>
      <c r="L497" s="2">
        <v>32.5</v>
      </c>
      <c r="M497" s="2">
        <f>+K497-L497</f>
        <v>292.5</v>
      </c>
      <c r="N497" s="2">
        <v>14.62</v>
      </c>
      <c r="O497" s="2">
        <v>-0.12</v>
      </c>
      <c r="P497" s="2">
        <v>307</v>
      </c>
      <c r="Q497" t="s">
        <v>40</v>
      </c>
      <c r="S497" t="s">
        <v>27</v>
      </c>
      <c r="T497" s="8">
        <v>46014</v>
      </c>
      <c r="U497" s="7">
        <v>0.96381944444444445</v>
      </c>
    </row>
    <row r="498" spans="1:21" x14ac:dyDescent="0.2">
      <c r="A498">
        <v>823</v>
      </c>
      <c r="B498" t="s">
        <v>43</v>
      </c>
      <c r="C498" t="s">
        <v>24</v>
      </c>
      <c r="J498" t="s">
        <v>396</v>
      </c>
      <c r="K498" s="3">
        <v>715</v>
      </c>
      <c r="L498" s="2">
        <v>71.5</v>
      </c>
      <c r="M498" s="2">
        <f>+K498-L498</f>
        <v>643.5</v>
      </c>
      <c r="N498" s="2">
        <v>32.18</v>
      </c>
      <c r="O498" s="2">
        <v>0.32</v>
      </c>
      <c r="P498" s="2">
        <v>676</v>
      </c>
      <c r="Q498" t="s">
        <v>40</v>
      </c>
      <c r="S498" t="s">
        <v>27</v>
      </c>
      <c r="T498" s="8">
        <v>46015</v>
      </c>
      <c r="U498" s="7">
        <v>0.51736111111111116</v>
      </c>
    </row>
    <row r="499" spans="1:21" x14ac:dyDescent="0.2">
      <c r="A499">
        <v>824</v>
      </c>
      <c r="B499" t="s">
        <v>394</v>
      </c>
      <c r="C499" t="s">
        <v>24</v>
      </c>
      <c r="J499" t="s">
        <v>395</v>
      </c>
      <c r="K499" s="3">
        <v>1644</v>
      </c>
      <c r="L499" s="2">
        <v>0</v>
      </c>
      <c r="M499" s="2">
        <f>+K499-L499</f>
        <v>1644</v>
      </c>
      <c r="N499" s="2">
        <v>80.760000000000005</v>
      </c>
      <c r="O499" s="2">
        <v>0.24</v>
      </c>
      <c r="P499" s="2">
        <v>1725</v>
      </c>
      <c r="Q499" t="s">
        <v>40</v>
      </c>
      <c r="S499" t="s">
        <v>27</v>
      </c>
      <c r="T499" s="8">
        <v>46015</v>
      </c>
      <c r="U499" s="7">
        <v>0.60076388888888888</v>
      </c>
    </row>
    <row r="500" spans="1:21" x14ac:dyDescent="0.2">
      <c r="A500">
        <v>825</v>
      </c>
      <c r="B500" t="s">
        <v>23</v>
      </c>
      <c r="C500" t="s">
        <v>24</v>
      </c>
      <c r="J500" t="s">
        <v>393</v>
      </c>
      <c r="K500" s="3">
        <v>1210</v>
      </c>
      <c r="L500" s="2">
        <v>121</v>
      </c>
      <c r="M500" s="2">
        <f>+K500-L500</f>
        <v>1089</v>
      </c>
      <c r="N500" s="2">
        <v>54.46</v>
      </c>
      <c r="O500" s="2">
        <v>-0.46</v>
      </c>
      <c r="P500" s="2">
        <v>1143</v>
      </c>
      <c r="Q500" t="s">
        <v>33</v>
      </c>
      <c r="S500" t="s">
        <v>27</v>
      </c>
      <c r="T500" s="8">
        <v>46015</v>
      </c>
      <c r="U500" s="7">
        <v>0.68709490740740742</v>
      </c>
    </row>
    <row r="501" spans="1:21" x14ac:dyDescent="0.2">
      <c r="A501">
        <v>826</v>
      </c>
      <c r="B501" t="s">
        <v>70</v>
      </c>
      <c r="C501" t="s">
        <v>24</v>
      </c>
      <c r="J501" t="s">
        <v>392</v>
      </c>
      <c r="K501" s="3">
        <v>935</v>
      </c>
      <c r="L501" s="2">
        <v>0</v>
      </c>
      <c r="M501" s="2">
        <f>+K501-L501</f>
        <v>935</v>
      </c>
      <c r="N501" s="2">
        <v>46.76</v>
      </c>
      <c r="O501" s="2">
        <v>0.24</v>
      </c>
      <c r="P501" s="2">
        <v>982</v>
      </c>
      <c r="Q501" t="s">
        <v>30</v>
      </c>
      <c r="S501" t="s">
        <v>27</v>
      </c>
      <c r="T501" s="8">
        <v>46015</v>
      </c>
      <c r="U501" s="7">
        <v>0.81577546296296299</v>
      </c>
    </row>
    <row r="502" spans="1:21" x14ac:dyDescent="0.2">
      <c r="A502">
        <v>827</v>
      </c>
      <c r="B502" t="s">
        <v>52</v>
      </c>
      <c r="C502" t="s">
        <v>24</v>
      </c>
      <c r="D502" t="s">
        <v>390</v>
      </c>
      <c r="E502">
        <v>9990699415</v>
      </c>
      <c r="J502" t="s">
        <v>391</v>
      </c>
      <c r="K502" s="3">
        <v>960</v>
      </c>
      <c r="L502" s="2">
        <v>144</v>
      </c>
      <c r="M502" s="2">
        <f>+K502-L502</f>
        <v>816</v>
      </c>
      <c r="N502" s="2">
        <v>40.799999999999997</v>
      </c>
      <c r="O502" s="2">
        <v>0.2</v>
      </c>
      <c r="P502" s="2">
        <v>857</v>
      </c>
      <c r="Q502" t="s">
        <v>30</v>
      </c>
      <c r="S502" t="s">
        <v>27</v>
      </c>
      <c r="T502" s="8">
        <v>46015</v>
      </c>
      <c r="U502" s="7">
        <v>0.82754629629629628</v>
      </c>
    </row>
    <row r="503" spans="1:21" x14ac:dyDescent="0.2">
      <c r="A503">
        <v>828</v>
      </c>
      <c r="B503" t="s">
        <v>388</v>
      </c>
      <c r="C503" t="s">
        <v>24</v>
      </c>
      <c r="J503" t="s">
        <v>389</v>
      </c>
      <c r="K503" s="3">
        <v>1070</v>
      </c>
      <c r="L503" s="2">
        <v>107</v>
      </c>
      <c r="M503" s="2">
        <f>+K503-L503</f>
        <v>963</v>
      </c>
      <c r="N503" s="2">
        <v>46.36</v>
      </c>
      <c r="O503" s="2">
        <v>-0.36</v>
      </c>
      <c r="P503" s="2">
        <v>1009</v>
      </c>
      <c r="Q503" t="s">
        <v>30</v>
      </c>
      <c r="S503" t="s">
        <v>27</v>
      </c>
      <c r="T503" s="8">
        <v>46015</v>
      </c>
      <c r="U503" s="7">
        <v>0.85039351851851852</v>
      </c>
    </row>
    <row r="504" spans="1:21" x14ac:dyDescent="0.2">
      <c r="A504">
        <v>829</v>
      </c>
      <c r="B504" t="s">
        <v>54</v>
      </c>
      <c r="C504" t="s">
        <v>24</v>
      </c>
      <c r="J504" t="s">
        <v>387</v>
      </c>
      <c r="K504" s="3">
        <v>889</v>
      </c>
      <c r="L504" s="2">
        <v>88.9</v>
      </c>
      <c r="M504" s="2">
        <f>+K504-L504</f>
        <v>800.1</v>
      </c>
      <c r="N504" s="2">
        <v>40</v>
      </c>
      <c r="O504" s="2">
        <v>-0.1</v>
      </c>
      <c r="P504" s="2">
        <v>840</v>
      </c>
      <c r="Q504" t="s">
        <v>40</v>
      </c>
      <c r="S504" t="s">
        <v>27</v>
      </c>
      <c r="T504" s="8">
        <v>46015</v>
      </c>
      <c r="U504" s="7">
        <v>0.85483796296296299</v>
      </c>
    </row>
    <row r="505" spans="1:21" x14ac:dyDescent="0.2">
      <c r="A505">
        <v>830</v>
      </c>
      <c r="B505" t="s">
        <v>23</v>
      </c>
      <c r="C505" t="s">
        <v>24</v>
      </c>
      <c r="J505" t="s">
        <v>386</v>
      </c>
      <c r="K505" s="3">
        <v>734</v>
      </c>
      <c r="L505" s="2">
        <v>73.400000000000006</v>
      </c>
      <c r="M505" s="2">
        <f>+K505-L505</f>
        <v>660.6</v>
      </c>
      <c r="N505" s="2">
        <v>33.04</v>
      </c>
      <c r="O505" s="2">
        <v>0.36</v>
      </c>
      <c r="P505" s="2">
        <v>694</v>
      </c>
      <c r="Q505" t="s">
        <v>40</v>
      </c>
      <c r="S505" t="s">
        <v>27</v>
      </c>
      <c r="T505" s="8">
        <v>46015</v>
      </c>
      <c r="U505" s="7">
        <v>0.86809027777777781</v>
      </c>
    </row>
    <row r="506" spans="1:21" x14ac:dyDescent="0.2">
      <c r="A506">
        <v>831</v>
      </c>
      <c r="B506" t="s">
        <v>47</v>
      </c>
      <c r="C506" t="s">
        <v>24</v>
      </c>
      <c r="J506" t="s">
        <v>385</v>
      </c>
      <c r="K506" s="3">
        <v>1655</v>
      </c>
      <c r="L506" s="2">
        <v>165.5</v>
      </c>
      <c r="M506" s="2">
        <f>+K506-L506</f>
        <v>1489.5</v>
      </c>
      <c r="N506" s="2">
        <v>74.48</v>
      </c>
      <c r="O506" s="2">
        <v>0.02</v>
      </c>
      <c r="P506" s="2">
        <v>1564</v>
      </c>
      <c r="Q506" t="s">
        <v>30</v>
      </c>
      <c r="S506" t="s">
        <v>27</v>
      </c>
      <c r="T506" s="8">
        <v>46015</v>
      </c>
      <c r="U506" s="7">
        <v>0.8981365740740741</v>
      </c>
    </row>
    <row r="507" spans="1:21" x14ac:dyDescent="0.2">
      <c r="A507">
        <v>832</v>
      </c>
      <c r="B507" t="s">
        <v>383</v>
      </c>
      <c r="C507" t="s">
        <v>24</v>
      </c>
      <c r="J507" t="s">
        <v>384</v>
      </c>
      <c r="K507" s="3">
        <v>920</v>
      </c>
      <c r="L507" s="2">
        <v>0</v>
      </c>
      <c r="M507" s="2">
        <f>+K507-L507</f>
        <v>920</v>
      </c>
      <c r="N507" s="2">
        <v>46</v>
      </c>
      <c r="O507" s="2">
        <v>0</v>
      </c>
      <c r="P507" s="2">
        <v>966</v>
      </c>
      <c r="Q507" t="s">
        <v>40</v>
      </c>
      <c r="S507" t="s">
        <v>27</v>
      </c>
      <c r="T507" s="8">
        <v>46015</v>
      </c>
      <c r="U507" s="7">
        <v>0.90434027777777781</v>
      </c>
    </row>
    <row r="508" spans="1:21" x14ac:dyDescent="0.2">
      <c r="A508">
        <v>833</v>
      </c>
      <c r="B508" t="s">
        <v>23</v>
      </c>
      <c r="C508" t="s">
        <v>24</v>
      </c>
      <c r="J508" t="s">
        <v>382</v>
      </c>
      <c r="K508" s="3">
        <v>1155</v>
      </c>
      <c r="L508" s="2">
        <v>115.5</v>
      </c>
      <c r="M508" s="2">
        <f>+K508-L508</f>
        <v>1039.5</v>
      </c>
      <c r="N508" s="2">
        <v>51.98</v>
      </c>
      <c r="O508" s="2">
        <v>-0.48</v>
      </c>
      <c r="P508" s="2">
        <v>1091</v>
      </c>
      <c r="Q508" t="s">
        <v>40</v>
      </c>
      <c r="S508" t="s">
        <v>27</v>
      </c>
      <c r="T508" s="8">
        <v>46015</v>
      </c>
      <c r="U508" s="7">
        <v>0.92865740740740743</v>
      </c>
    </row>
    <row r="509" spans="1:21" x14ac:dyDescent="0.2">
      <c r="A509">
        <v>834</v>
      </c>
      <c r="B509" t="s">
        <v>45</v>
      </c>
      <c r="C509" t="s">
        <v>24</v>
      </c>
      <c r="J509" t="s">
        <v>1217</v>
      </c>
      <c r="K509" s="3">
        <v>3295</v>
      </c>
      <c r="L509" s="2">
        <v>329.5</v>
      </c>
      <c r="M509" s="2">
        <f>+K509-L509</f>
        <v>2965.5</v>
      </c>
      <c r="N509" s="2">
        <v>148.28</v>
      </c>
      <c r="O509" s="2">
        <v>0.22</v>
      </c>
      <c r="P509" s="2">
        <v>3114</v>
      </c>
      <c r="Q509" t="s">
        <v>30</v>
      </c>
      <c r="S509" t="s">
        <v>27</v>
      </c>
      <c r="T509" s="8">
        <v>46015</v>
      </c>
      <c r="U509" s="7">
        <v>0.93130787037037033</v>
      </c>
    </row>
    <row r="510" spans="1:21" x14ac:dyDescent="0.2">
      <c r="A510">
        <v>835</v>
      </c>
      <c r="B510" t="s">
        <v>52</v>
      </c>
      <c r="C510" t="s">
        <v>24</v>
      </c>
      <c r="J510" t="s">
        <v>381</v>
      </c>
      <c r="K510" s="3">
        <v>1880</v>
      </c>
      <c r="L510" s="2">
        <v>188</v>
      </c>
      <c r="M510" s="2">
        <f>+K510-L510</f>
        <v>1692</v>
      </c>
      <c r="N510" s="2">
        <v>84.6</v>
      </c>
      <c r="O510" s="2">
        <v>0.4</v>
      </c>
      <c r="P510" s="2">
        <v>1777</v>
      </c>
      <c r="Q510" t="s">
        <v>33</v>
      </c>
      <c r="S510" t="s">
        <v>27</v>
      </c>
      <c r="T510" s="8">
        <v>46015</v>
      </c>
      <c r="U510" s="7">
        <v>0.93449074074074079</v>
      </c>
    </row>
    <row r="511" spans="1:21" x14ac:dyDescent="0.2">
      <c r="A511">
        <v>836</v>
      </c>
      <c r="B511" t="s">
        <v>70</v>
      </c>
      <c r="C511" t="s">
        <v>24</v>
      </c>
      <c r="J511" t="s">
        <v>244</v>
      </c>
      <c r="K511" s="3">
        <v>244</v>
      </c>
      <c r="L511" s="2">
        <v>0</v>
      </c>
      <c r="M511" s="2">
        <f>+K511-L511</f>
        <v>244</v>
      </c>
      <c r="N511" s="2">
        <v>43.92</v>
      </c>
      <c r="O511" s="2">
        <v>0.08</v>
      </c>
      <c r="P511" s="2">
        <v>288</v>
      </c>
      <c r="Q511" t="s">
        <v>40</v>
      </c>
      <c r="S511" t="s">
        <v>27</v>
      </c>
      <c r="T511" s="8">
        <v>46015</v>
      </c>
      <c r="U511" s="7">
        <v>0.93537037037037041</v>
      </c>
    </row>
    <row r="512" spans="1:21" x14ac:dyDescent="0.2">
      <c r="A512">
        <v>837</v>
      </c>
      <c r="B512" t="s">
        <v>50</v>
      </c>
      <c r="C512" t="s">
        <v>24</v>
      </c>
      <c r="J512" t="s">
        <v>1216</v>
      </c>
      <c r="K512" s="3">
        <v>2649</v>
      </c>
      <c r="L512" s="2">
        <v>264.89999999999998</v>
      </c>
      <c r="M512" s="2">
        <f>+K512-L512</f>
        <v>2384.1</v>
      </c>
      <c r="N512" s="2">
        <v>111.16</v>
      </c>
      <c r="O512" s="2">
        <v>-0.26</v>
      </c>
      <c r="P512" s="2">
        <v>2495</v>
      </c>
      <c r="Q512" t="s">
        <v>26</v>
      </c>
      <c r="S512" t="s">
        <v>27</v>
      </c>
      <c r="T512" s="8">
        <v>46015</v>
      </c>
      <c r="U512" s="7">
        <v>0.94743055555555555</v>
      </c>
    </row>
    <row r="513" spans="1:21" x14ac:dyDescent="0.2">
      <c r="A513">
        <v>838</v>
      </c>
      <c r="B513" t="s">
        <v>379</v>
      </c>
      <c r="C513" t="s">
        <v>24</v>
      </c>
      <c r="J513" t="s">
        <v>380</v>
      </c>
      <c r="K513" s="3">
        <v>320</v>
      </c>
      <c r="L513" s="2">
        <v>0</v>
      </c>
      <c r="M513" s="2">
        <f>+K513-L513</f>
        <v>320</v>
      </c>
      <c r="N513" s="2">
        <v>16</v>
      </c>
      <c r="O513" s="2">
        <v>0</v>
      </c>
      <c r="P513" s="2">
        <v>336</v>
      </c>
      <c r="Q513" t="s">
        <v>40</v>
      </c>
      <c r="S513" t="s">
        <v>27</v>
      </c>
      <c r="T513" s="8">
        <v>46015</v>
      </c>
      <c r="U513" s="7">
        <v>0.95679398148148154</v>
      </c>
    </row>
    <row r="514" spans="1:21" x14ac:dyDescent="0.2">
      <c r="A514">
        <v>839</v>
      </c>
      <c r="B514" t="s">
        <v>377</v>
      </c>
      <c r="C514" t="s">
        <v>24</v>
      </c>
      <c r="J514" t="s">
        <v>378</v>
      </c>
      <c r="K514" s="3">
        <v>280</v>
      </c>
      <c r="L514" s="2">
        <v>0</v>
      </c>
      <c r="M514" s="2">
        <f>+K514-L514</f>
        <v>280</v>
      </c>
      <c r="N514" s="2">
        <v>14</v>
      </c>
      <c r="O514" s="2">
        <v>0</v>
      </c>
      <c r="P514" s="2">
        <v>294</v>
      </c>
      <c r="Q514" t="s">
        <v>30</v>
      </c>
      <c r="S514" t="s">
        <v>27</v>
      </c>
      <c r="T514" s="8">
        <v>46015</v>
      </c>
      <c r="U514" s="7">
        <v>0.95693287037037034</v>
      </c>
    </row>
    <row r="515" spans="1:21" x14ac:dyDescent="0.2">
      <c r="A515">
        <v>840</v>
      </c>
      <c r="B515" t="s">
        <v>70</v>
      </c>
      <c r="C515" t="s">
        <v>24</v>
      </c>
      <c r="J515" t="s">
        <v>244</v>
      </c>
      <c r="K515" s="3">
        <v>122</v>
      </c>
      <c r="L515" s="2">
        <v>0</v>
      </c>
      <c r="M515" s="2">
        <f>+K515-L515</f>
        <v>122</v>
      </c>
      <c r="N515" s="2">
        <v>21.96</v>
      </c>
      <c r="O515" s="2">
        <v>0.04</v>
      </c>
      <c r="P515" s="2">
        <v>144</v>
      </c>
      <c r="Q515" t="s">
        <v>40</v>
      </c>
      <c r="S515" t="s">
        <v>27</v>
      </c>
      <c r="T515" s="8">
        <v>46015</v>
      </c>
      <c r="U515" s="7">
        <v>0.9609375</v>
      </c>
    </row>
    <row r="516" spans="1:21" x14ac:dyDescent="0.2">
      <c r="A516">
        <v>841</v>
      </c>
      <c r="B516" t="s">
        <v>143</v>
      </c>
      <c r="C516" t="s">
        <v>24</v>
      </c>
      <c r="J516" t="s">
        <v>244</v>
      </c>
      <c r="K516" s="3">
        <v>122</v>
      </c>
      <c r="L516" s="2">
        <v>0</v>
      </c>
      <c r="M516" s="2">
        <f>+K516-L516</f>
        <v>122</v>
      </c>
      <c r="N516" s="2">
        <v>21.96</v>
      </c>
      <c r="O516" s="2">
        <v>0.04</v>
      </c>
      <c r="P516" s="2">
        <v>144</v>
      </c>
      <c r="Q516" t="s">
        <v>40</v>
      </c>
      <c r="S516" t="s">
        <v>27</v>
      </c>
      <c r="T516" s="8">
        <v>46015</v>
      </c>
      <c r="U516" s="7">
        <v>0.9611574074074074</v>
      </c>
    </row>
    <row r="517" spans="1:21" x14ac:dyDescent="0.2">
      <c r="A517">
        <v>842</v>
      </c>
      <c r="B517" t="s">
        <v>297</v>
      </c>
      <c r="C517" t="s">
        <v>24</v>
      </c>
      <c r="J517" t="s">
        <v>376</v>
      </c>
      <c r="K517" s="3">
        <v>440</v>
      </c>
      <c r="L517" s="2">
        <v>0</v>
      </c>
      <c r="M517" s="2">
        <f>+K517-L517</f>
        <v>440</v>
      </c>
      <c r="N517" s="2">
        <v>22</v>
      </c>
      <c r="O517" s="2">
        <v>0</v>
      </c>
      <c r="P517" s="2">
        <v>462</v>
      </c>
      <c r="Q517" t="s">
        <v>40</v>
      </c>
      <c r="S517" t="s">
        <v>27</v>
      </c>
      <c r="T517" s="8">
        <v>46015</v>
      </c>
      <c r="U517" s="7">
        <v>0.96347222222222217</v>
      </c>
    </row>
    <row r="518" spans="1:21" x14ac:dyDescent="0.2">
      <c r="A518">
        <v>843</v>
      </c>
      <c r="B518" t="s">
        <v>374</v>
      </c>
      <c r="C518" t="s">
        <v>24</v>
      </c>
      <c r="J518" t="s">
        <v>375</v>
      </c>
      <c r="K518" s="3">
        <v>405</v>
      </c>
      <c r="L518" s="2">
        <v>0</v>
      </c>
      <c r="M518" s="2">
        <f>+K518-L518</f>
        <v>405</v>
      </c>
      <c r="N518" s="2">
        <v>20.260000000000002</v>
      </c>
      <c r="O518" s="2">
        <v>-0.26</v>
      </c>
      <c r="P518" s="2">
        <v>425</v>
      </c>
      <c r="Q518" t="s">
        <v>30</v>
      </c>
      <c r="S518" t="s">
        <v>27</v>
      </c>
      <c r="T518" s="8">
        <v>46015</v>
      </c>
      <c r="U518" s="7">
        <v>0.9635069444444444</v>
      </c>
    </row>
    <row r="519" spans="1:21" x14ac:dyDescent="0.2">
      <c r="A519">
        <v>844</v>
      </c>
      <c r="B519" t="s">
        <v>54</v>
      </c>
      <c r="C519" t="s">
        <v>24</v>
      </c>
      <c r="J519" t="s">
        <v>373</v>
      </c>
      <c r="K519" s="3">
        <v>3059</v>
      </c>
      <c r="L519" s="2">
        <v>305.89999999999998</v>
      </c>
      <c r="M519" s="2">
        <f>+K519-L519</f>
        <v>2753.1</v>
      </c>
      <c r="N519" s="2">
        <v>137.66</v>
      </c>
      <c r="O519" s="2">
        <v>0.24</v>
      </c>
      <c r="P519" s="2">
        <v>2891</v>
      </c>
      <c r="Q519" t="s">
        <v>30</v>
      </c>
      <c r="S519" t="s">
        <v>27</v>
      </c>
      <c r="T519" s="8">
        <v>46015</v>
      </c>
      <c r="U519" s="7">
        <v>0.96398148148148144</v>
      </c>
    </row>
    <row r="520" spans="1:21" x14ac:dyDescent="0.2">
      <c r="A520">
        <v>845</v>
      </c>
      <c r="B520" t="s">
        <v>102</v>
      </c>
      <c r="C520" t="s">
        <v>24</v>
      </c>
      <c r="J520" t="s">
        <v>1215</v>
      </c>
      <c r="K520" s="3">
        <v>4520</v>
      </c>
      <c r="L520" s="2">
        <v>0</v>
      </c>
      <c r="M520" s="2">
        <f>+K520-L520</f>
        <v>4520</v>
      </c>
      <c r="N520" s="2">
        <v>220</v>
      </c>
      <c r="O520" s="2">
        <v>0</v>
      </c>
      <c r="P520" s="2">
        <v>4740</v>
      </c>
      <c r="Q520" t="s">
        <v>26</v>
      </c>
      <c r="S520" t="s">
        <v>27</v>
      </c>
      <c r="T520" s="8">
        <v>46015</v>
      </c>
      <c r="U520" s="7">
        <v>0.96802083333333333</v>
      </c>
    </row>
    <row r="521" spans="1:21" x14ac:dyDescent="0.2">
      <c r="A521">
        <v>846</v>
      </c>
      <c r="B521" t="s">
        <v>50</v>
      </c>
      <c r="C521" t="s">
        <v>24</v>
      </c>
      <c r="J521" t="s">
        <v>372</v>
      </c>
      <c r="K521" s="3">
        <v>1140</v>
      </c>
      <c r="L521" s="2">
        <v>0</v>
      </c>
      <c r="M521" s="2">
        <f>+K521-L521</f>
        <v>1140</v>
      </c>
      <c r="N521" s="2">
        <v>57</v>
      </c>
      <c r="O521" s="2">
        <v>0</v>
      </c>
      <c r="P521" s="2">
        <v>1197</v>
      </c>
      <c r="Q521" t="s">
        <v>26</v>
      </c>
      <c r="S521" t="s">
        <v>27</v>
      </c>
      <c r="T521" s="8">
        <v>46015</v>
      </c>
      <c r="U521" s="7">
        <v>0.96836805555555561</v>
      </c>
    </row>
    <row r="522" spans="1:21" x14ac:dyDescent="0.2">
      <c r="A522">
        <v>847</v>
      </c>
      <c r="B522" t="s">
        <v>82</v>
      </c>
      <c r="C522" t="s">
        <v>24</v>
      </c>
      <c r="J522" t="s">
        <v>371</v>
      </c>
      <c r="K522" s="3">
        <v>1982</v>
      </c>
      <c r="L522" s="2">
        <v>0</v>
      </c>
      <c r="M522" s="2">
        <f>+K522-L522</f>
        <v>1982</v>
      </c>
      <c r="N522" s="2">
        <v>81.099999999999994</v>
      </c>
      <c r="O522" s="2">
        <v>-0.1</v>
      </c>
      <c r="P522" s="2">
        <v>2063</v>
      </c>
      <c r="Q522" t="s">
        <v>30</v>
      </c>
      <c r="S522" t="s">
        <v>27</v>
      </c>
      <c r="T522" s="8">
        <v>46015</v>
      </c>
      <c r="U522" s="7">
        <v>0.97607638888888892</v>
      </c>
    </row>
    <row r="523" spans="1:21" x14ac:dyDescent="0.2">
      <c r="A523">
        <v>848</v>
      </c>
      <c r="B523" t="s">
        <v>36</v>
      </c>
      <c r="C523" t="s">
        <v>24</v>
      </c>
      <c r="J523" t="s">
        <v>370</v>
      </c>
      <c r="K523" s="3">
        <v>0</v>
      </c>
      <c r="L523" s="2">
        <v>0</v>
      </c>
      <c r="M523" s="2">
        <f>+K523-L523</f>
        <v>0</v>
      </c>
      <c r="N523" s="2">
        <v>0</v>
      </c>
      <c r="O523" s="2">
        <v>0</v>
      </c>
      <c r="P523" s="2">
        <v>0</v>
      </c>
      <c r="Q523" t="s">
        <v>33</v>
      </c>
      <c r="S523" t="s">
        <v>27</v>
      </c>
      <c r="T523" s="8">
        <v>46015</v>
      </c>
      <c r="U523" s="7">
        <v>0.98013888888888889</v>
      </c>
    </row>
    <row r="524" spans="1:21" x14ac:dyDescent="0.2">
      <c r="A524">
        <v>849</v>
      </c>
      <c r="B524" t="s">
        <v>34</v>
      </c>
      <c r="C524" t="s">
        <v>24</v>
      </c>
      <c r="J524" t="s">
        <v>369</v>
      </c>
      <c r="K524" s="3">
        <v>0</v>
      </c>
      <c r="L524" s="2">
        <v>0</v>
      </c>
      <c r="M524" s="2">
        <f>+K524-L524</f>
        <v>0</v>
      </c>
      <c r="N524" s="2">
        <v>0</v>
      </c>
      <c r="O524" s="2">
        <v>0</v>
      </c>
      <c r="P524" s="2">
        <v>0</v>
      </c>
      <c r="Q524" t="s">
        <v>33</v>
      </c>
      <c r="S524" t="s">
        <v>27</v>
      </c>
      <c r="T524" s="8">
        <v>46015</v>
      </c>
      <c r="U524" s="7">
        <v>0.98078703703703707</v>
      </c>
    </row>
    <row r="525" spans="1:21" x14ac:dyDescent="0.2">
      <c r="A525">
        <v>850</v>
      </c>
      <c r="B525" t="s">
        <v>43</v>
      </c>
      <c r="C525" t="s">
        <v>24</v>
      </c>
      <c r="J525" t="s">
        <v>1214</v>
      </c>
      <c r="K525" s="3">
        <v>5694</v>
      </c>
      <c r="L525" s="2">
        <v>854.1</v>
      </c>
      <c r="M525" s="2">
        <f>+K525-L525</f>
        <v>4839.8999999999996</v>
      </c>
      <c r="N525" s="2">
        <v>242</v>
      </c>
      <c r="O525" s="2">
        <v>0.1</v>
      </c>
      <c r="P525" s="2">
        <v>0</v>
      </c>
      <c r="Q525" t="s">
        <v>135</v>
      </c>
      <c r="R525" t="s">
        <v>368</v>
      </c>
      <c r="S525" t="s">
        <v>27</v>
      </c>
      <c r="T525" s="8">
        <v>46016</v>
      </c>
      <c r="U525" s="7">
        <v>0.58585648148148151</v>
      </c>
    </row>
    <row r="526" spans="1:21" x14ac:dyDescent="0.2">
      <c r="A526">
        <v>851</v>
      </c>
      <c r="B526" t="s">
        <v>58</v>
      </c>
      <c r="C526" t="s">
        <v>24</v>
      </c>
      <c r="J526" t="s">
        <v>367</v>
      </c>
      <c r="K526" s="3">
        <v>2190</v>
      </c>
      <c r="L526" s="2">
        <v>219</v>
      </c>
      <c r="M526" s="2">
        <f>+K526-L526</f>
        <v>1971</v>
      </c>
      <c r="N526" s="2">
        <v>98.56</v>
      </c>
      <c r="O526" s="2">
        <v>0.44</v>
      </c>
      <c r="P526" s="2">
        <v>2070</v>
      </c>
      <c r="Q526" t="s">
        <v>30</v>
      </c>
      <c r="S526" t="s">
        <v>27</v>
      </c>
      <c r="T526" s="8">
        <v>46016</v>
      </c>
      <c r="U526" s="7">
        <v>0.59075231481481483</v>
      </c>
    </row>
    <row r="527" spans="1:21" x14ac:dyDescent="0.2">
      <c r="A527">
        <v>852</v>
      </c>
      <c r="B527" t="s">
        <v>23</v>
      </c>
      <c r="C527" t="s">
        <v>24</v>
      </c>
      <c r="J527" t="s">
        <v>366</v>
      </c>
      <c r="K527" s="3">
        <v>1970</v>
      </c>
      <c r="L527" s="2">
        <v>197</v>
      </c>
      <c r="M527" s="2">
        <f>+K527-L527</f>
        <v>1773</v>
      </c>
      <c r="N527" s="2">
        <v>88.66</v>
      </c>
      <c r="O527" s="2">
        <v>0.34</v>
      </c>
      <c r="P527" s="2">
        <v>1862</v>
      </c>
      <c r="Q527" t="s">
        <v>33</v>
      </c>
      <c r="S527" t="s">
        <v>27</v>
      </c>
      <c r="T527" s="8">
        <v>46016</v>
      </c>
      <c r="U527" s="7">
        <v>0.59658564814814818</v>
      </c>
    </row>
    <row r="528" spans="1:21" x14ac:dyDescent="0.2">
      <c r="A528">
        <v>853</v>
      </c>
      <c r="B528" t="s">
        <v>363</v>
      </c>
      <c r="C528" t="s">
        <v>24</v>
      </c>
      <c r="D528" t="s">
        <v>364</v>
      </c>
      <c r="J528" t="s">
        <v>365</v>
      </c>
      <c r="K528" s="3">
        <v>660</v>
      </c>
      <c r="L528" s="2">
        <v>0</v>
      </c>
      <c r="M528" s="2">
        <f>+K528-L528</f>
        <v>660</v>
      </c>
      <c r="N528" s="2">
        <v>33</v>
      </c>
      <c r="O528" s="2">
        <v>0</v>
      </c>
      <c r="P528" s="2">
        <v>693</v>
      </c>
      <c r="Q528" t="s">
        <v>40</v>
      </c>
      <c r="S528" t="s">
        <v>27</v>
      </c>
      <c r="T528" s="8">
        <v>46016</v>
      </c>
      <c r="U528" s="7">
        <v>0.60396990740740741</v>
      </c>
    </row>
    <row r="529" spans="1:21" x14ac:dyDescent="0.2">
      <c r="A529">
        <v>854</v>
      </c>
      <c r="B529" t="s">
        <v>45</v>
      </c>
      <c r="C529" t="s">
        <v>24</v>
      </c>
      <c r="J529" t="s">
        <v>362</v>
      </c>
      <c r="K529" s="3">
        <v>1910</v>
      </c>
      <c r="L529" s="2">
        <v>191</v>
      </c>
      <c r="M529" s="2">
        <f>+K529-L529</f>
        <v>1719</v>
      </c>
      <c r="N529" s="2">
        <v>85.96</v>
      </c>
      <c r="O529" s="2">
        <v>0.04</v>
      </c>
      <c r="P529" s="2">
        <v>1805</v>
      </c>
      <c r="Q529" t="s">
        <v>40</v>
      </c>
      <c r="S529" t="s">
        <v>27</v>
      </c>
      <c r="T529" s="8">
        <v>46016</v>
      </c>
      <c r="U529" s="7">
        <v>0.61037037037037034</v>
      </c>
    </row>
    <row r="530" spans="1:21" x14ac:dyDescent="0.2">
      <c r="A530">
        <v>855</v>
      </c>
      <c r="B530" t="s">
        <v>54</v>
      </c>
      <c r="C530" t="s">
        <v>24</v>
      </c>
      <c r="J530" t="s">
        <v>361</v>
      </c>
      <c r="K530" s="3">
        <v>1400</v>
      </c>
      <c r="L530" s="2">
        <v>0</v>
      </c>
      <c r="M530" s="2">
        <f>+K530-L530</f>
        <v>1400</v>
      </c>
      <c r="N530" s="2">
        <v>70</v>
      </c>
      <c r="O530" s="2">
        <v>0</v>
      </c>
      <c r="P530" s="2">
        <v>1470</v>
      </c>
      <c r="Q530" t="s">
        <v>30</v>
      </c>
      <c r="S530" t="s">
        <v>27</v>
      </c>
      <c r="T530" s="8">
        <v>46016</v>
      </c>
      <c r="U530" s="7">
        <v>0.62337962962962967</v>
      </c>
    </row>
    <row r="531" spans="1:21" x14ac:dyDescent="0.2">
      <c r="A531">
        <v>856</v>
      </c>
      <c r="B531" t="s">
        <v>358</v>
      </c>
      <c r="C531" t="s">
        <v>24</v>
      </c>
      <c r="D531" t="s">
        <v>359</v>
      </c>
      <c r="J531" t="s">
        <v>360</v>
      </c>
      <c r="K531" s="3">
        <v>1330</v>
      </c>
      <c r="L531" s="2">
        <v>133</v>
      </c>
      <c r="M531" s="2">
        <f>+K531-L531</f>
        <v>1197</v>
      </c>
      <c r="N531" s="2">
        <v>59.86</v>
      </c>
      <c r="O531" s="2">
        <v>0.14000000000000001</v>
      </c>
      <c r="P531" s="2">
        <v>1257</v>
      </c>
      <c r="Q531" t="s">
        <v>40</v>
      </c>
      <c r="S531" t="s">
        <v>27</v>
      </c>
      <c r="T531" s="8">
        <v>46016</v>
      </c>
      <c r="U531" s="7">
        <v>0.63915509259259262</v>
      </c>
    </row>
    <row r="532" spans="1:21" x14ac:dyDescent="0.2">
      <c r="A532">
        <v>857</v>
      </c>
      <c r="B532" t="s">
        <v>45</v>
      </c>
      <c r="C532" t="s">
        <v>24</v>
      </c>
      <c r="J532" t="s">
        <v>357</v>
      </c>
      <c r="K532" s="3">
        <v>800</v>
      </c>
      <c r="L532" s="2">
        <v>80</v>
      </c>
      <c r="M532" s="2">
        <f>+K532-L532</f>
        <v>720</v>
      </c>
      <c r="N532" s="2">
        <v>36</v>
      </c>
      <c r="O532" s="2">
        <v>0</v>
      </c>
      <c r="P532" s="2">
        <v>756</v>
      </c>
      <c r="Q532" t="s">
        <v>33</v>
      </c>
      <c r="S532" t="s">
        <v>27</v>
      </c>
      <c r="T532" s="8">
        <v>46016</v>
      </c>
      <c r="U532" s="7">
        <v>0.64710648148148153</v>
      </c>
    </row>
    <row r="533" spans="1:21" x14ac:dyDescent="0.2">
      <c r="A533">
        <v>858</v>
      </c>
      <c r="B533" t="s">
        <v>43</v>
      </c>
      <c r="C533" t="s">
        <v>24</v>
      </c>
      <c r="J533" t="s">
        <v>1213</v>
      </c>
      <c r="K533" s="3">
        <v>4705</v>
      </c>
      <c r="L533" s="2">
        <v>470.5</v>
      </c>
      <c r="M533" s="2">
        <f>+K533-L533</f>
        <v>4234.5</v>
      </c>
      <c r="N533" s="2">
        <v>211.72</v>
      </c>
      <c r="O533" s="2">
        <v>-0.22</v>
      </c>
      <c r="P533" s="2">
        <v>4446</v>
      </c>
      <c r="Q533" t="s">
        <v>30</v>
      </c>
      <c r="S533" t="s">
        <v>27</v>
      </c>
      <c r="T533" s="8">
        <v>46016</v>
      </c>
      <c r="U533" s="7">
        <v>0.66857638888888893</v>
      </c>
    </row>
    <row r="534" spans="1:21" x14ac:dyDescent="0.2">
      <c r="A534">
        <v>859</v>
      </c>
      <c r="B534" t="s">
        <v>58</v>
      </c>
      <c r="C534" t="s">
        <v>24</v>
      </c>
      <c r="J534" t="s">
        <v>356</v>
      </c>
      <c r="K534" s="3">
        <v>1235</v>
      </c>
      <c r="L534" s="2">
        <v>0</v>
      </c>
      <c r="M534" s="2">
        <f>+K534-L534</f>
        <v>1235</v>
      </c>
      <c r="N534" s="2">
        <v>61.76</v>
      </c>
      <c r="O534" s="2">
        <v>0.24</v>
      </c>
      <c r="P534" s="2">
        <v>1297</v>
      </c>
      <c r="Q534" t="s">
        <v>40</v>
      </c>
      <c r="S534" t="s">
        <v>27</v>
      </c>
      <c r="T534" s="8">
        <v>46016</v>
      </c>
      <c r="U534" s="7">
        <v>0.67163194444444441</v>
      </c>
    </row>
    <row r="535" spans="1:21" x14ac:dyDescent="0.2">
      <c r="A535">
        <v>860</v>
      </c>
      <c r="B535" t="s">
        <v>23</v>
      </c>
      <c r="C535" t="s">
        <v>24</v>
      </c>
      <c r="J535" t="s">
        <v>355</v>
      </c>
      <c r="K535" s="3">
        <v>750</v>
      </c>
      <c r="L535" s="2">
        <v>0</v>
      </c>
      <c r="M535" s="2">
        <f>+K535-L535</f>
        <v>750</v>
      </c>
      <c r="N535" s="2">
        <v>37.5</v>
      </c>
      <c r="O535" s="2">
        <v>0.5</v>
      </c>
      <c r="P535" s="2">
        <v>788</v>
      </c>
      <c r="Q535" t="s">
        <v>30</v>
      </c>
      <c r="S535" t="s">
        <v>27</v>
      </c>
      <c r="T535" s="8">
        <v>46016</v>
      </c>
      <c r="U535" s="7">
        <v>0.67535879629629625</v>
      </c>
    </row>
    <row r="536" spans="1:21" x14ac:dyDescent="0.2">
      <c r="A536">
        <v>861</v>
      </c>
      <c r="B536" t="s">
        <v>52</v>
      </c>
      <c r="C536" t="s">
        <v>24</v>
      </c>
      <c r="J536" t="s">
        <v>354</v>
      </c>
      <c r="K536" s="3">
        <v>1265</v>
      </c>
      <c r="L536" s="2">
        <v>0</v>
      </c>
      <c r="M536" s="2">
        <f>+K536-L536</f>
        <v>1265</v>
      </c>
      <c r="N536" s="2">
        <v>63.26</v>
      </c>
      <c r="O536" s="2">
        <v>-0.26</v>
      </c>
      <c r="P536" s="2">
        <v>1328</v>
      </c>
      <c r="Q536" t="s">
        <v>40</v>
      </c>
      <c r="S536" t="s">
        <v>27</v>
      </c>
      <c r="T536" s="8">
        <v>46016</v>
      </c>
      <c r="U536" s="7">
        <v>0.67696759259259254</v>
      </c>
    </row>
    <row r="537" spans="1:21" x14ac:dyDescent="0.2">
      <c r="A537">
        <v>862</v>
      </c>
      <c r="B537" t="s">
        <v>70</v>
      </c>
      <c r="C537" t="s">
        <v>24</v>
      </c>
      <c r="J537" t="s">
        <v>353</v>
      </c>
      <c r="K537" s="3">
        <v>425</v>
      </c>
      <c r="L537" s="2">
        <v>0</v>
      </c>
      <c r="M537" s="2">
        <f>+K537-L537</f>
        <v>425</v>
      </c>
      <c r="N537" s="2">
        <v>21.26</v>
      </c>
      <c r="O537" s="2">
        <v>-0.26</v>
      </c>
      <c r="P537" s="2">
        <v>446</v>
      </c>
      <c r="Q537" t="s">
        <v>33</v>
      </c>
      <c r="S537" t="s">
        <v>27</v>
      </c>
      <c r="T537" s="8">
        <v>46016</v>
      </c>
      <c r="U537" s="7">
        <v>0.68131944444444448</v>
      </c>
    </row>
    <row r="538" spans="1:21" x14ac:dyDescent="0.2">
      <c r="A538">
        <v>863</v>
      </c>
      <c r="B538" t="s">
        <v>350</v>
      </c>
      <c r="C538" t="s">
        <v>24</v>
      </c>
      <c r="D538" t="s">
        <v>351</v>
      </c>
      <c r="J538" t="s">
        <v>352</v>
      </c>
      <c r="K538" s="3">
        <v>1185</v>
      </c>
      <c r="L538" s="2">
        <v>0</v>
      </c>
      <c r="M538" s="2">
        <f>+K538-L538</f>
        <v>1185</v>
      </c>
      <c r="N538" s="2">
        <v>56.26</v>
      </c>
      <c r="O538" s="2">
        <v>-0.26</v>
      </c>
      <c r="P538" s="2">
        <v>1241</v>
      </c>
      <c r="Q538" t="s">
        <v>33</v>
      </c>
      <c r="S538" t="s">
        <v>27</v>
      </c>
      <c r="T538" s="8">
        <v>46016</v>
      </c>
      <c r="U538" s="7">
        <v>0.68525462962962957</v>
      </c>
    </row>
    <row r="539" spans="1:21" x14ac:dyDescent="0.2">
      <c r="A539">
        <v>864</v>
      </c>
      <c r="B539" t="s">
        <v>41</v>
      </c>
      <c r="C539" t="s">
        <v>24</v>
      </c>
      <c r="J539" t="s">
        <v>349</v>
      </c>
      <c r="K539" s="3">
        <v>1280</v>
      </c>
      <c r="L539" s="2">
        <v>0</v>
      </c>
      <c r="M539" s="2">
        <f>+K539-L539</f>
        <v>1280</v>
      </c>
      <c r="N539" s="2">
        <v>64</v>
      </c>
      <c r="O539" s="2">
        <v>0</v>
      </c>
      <c r="P539" s="2">
        <v>1344</v>
      </c>
      <c r="Q539" t="s">
        <v>30</v>
      </c>
      <c r="S539" t="s">
        <v>27</v>
      </c>
      <c r="T539" s="8">
        <v>46016</v>
      </c>
      <c r="U539" s="7">
        <v>0.68581018518518522</v>
      </c>
    </row>
    <row r="540" spans="1:21" x14ac:dyDescent="0.2">
      <c r="A540">
        <v>865</v>
      </c>
      <c r="B540" t="s">
        <v>347</v>
      </c>
      <c r="C540" t="s">
        <v>24</v>
      </c>
      <c r="J540" t="s">
        <v>348</v>
      </c>
      <c r="K540" s="3">
        <v>500</v>
      </c>
      <c r="L540" s="2">
        <v>0</v>
      </c>
      <c r="M540" s="2">
        <f>+K540-L540</f>
        <v>500</v>
      </c>
      <c r="N540" s="2">
        <v>25</v>
      </c>
      <c r="O540" s="2">
        <v>0</v>
      </c>
      <c r="P540" s="2">
        <v>525</v>
      </c>
      <c r="Q540" t="s">
        <v>30</v>
      </c>
      <c r="S540" t="s">
        <v>27</v>
      </c>
      <c r="T540" s="8">
        <v>46016</v>
      </c>
      <c r="U540" s="7">
        <v>0.69216435185185188</v>
      </c>
    </row>
    <row r="541" spans="1:21" x14ac:dyDescent="0.2">
      <c r="A541">
        <v>866</v>
      </c>
      <c r="B541" t="s">
        <v>23</v>
      </c>
      <c r="C541" t="s">
        <v>24</v>
      </c>
      <c r="J541" t="s">
        <v>346</v>
      </c>
      <c r="K541" s="3">
        <v>745</v>
      </c>
      <c r="L541" s="2">
        <v>0</v>
      </c>
      <c r="M541" s="2">
        <f>+K541-L541</f>
        <v>745</v>
      </c>
      <c r="N541" s="2">
        <v>37.26</v>
      </c>
      <c r="O541" s="2">
        <v>-0.26</v>
      </c>
      <c r="P541" s="2">
        <v>782</v>
      </c>
      <c r="Q541" t="s">
        <v>40</v>
      </c>
      <c r="S541" t="s">
        <v>27</v>
      </c>
      <c r="T541" s="8">
        <v>46016</v>
      </c>
      <c r="U541" s="7">
        <v>0.71064814814814814</v>
      </c>
    </row>
    <row r="542" spans="1:21" x14ac:dyDescent="0.2">
      <c r="A542">
        <v>867</v>
      </c>
      <c r="B542" t="s">
        <v>52</v>
      </c>
      <c r="C542" t="s">
        <v>24</v>
      </c>
      <c r="J542" t="s">
        <v>345</v>
      </c>
      <c r="K542" s="3">
        <v>950</v>
      </c>
      <c r="L542" s="2">
        <v>95</v>
      </c>
      <c r="M542" s="2">
        <f>+K542-L542</f>
        <v>855</v>
      </c>
      <c r="N542" s="2">
        <v>42.76</v>
      </c>
      <c r="O542" s="2">
        <v>0.24</v>
      </c>
      <c r="P542" s="2">
        <v>898</v>
      </c>
      <c r="Q542" t="s">
        <v>30</v>
      </c>
      <c r="S542" t="s">
        <v>27</v>
      </c>
      <c r="T542" s="8">
        <v>46016</v>
      </c>
      <c r="U542" s="7">
        <v>0.73781249999999998</v>
      </c>
    </row>
    <row r="543" spans="1:21" x14ac:dyDescent="0.2">
      <c r="A543">
        <v>868</v>
      </c>
      <c r="B543" t="s">
        <v>343</v>
      </c>
      <c r="C543" t="s">
        <v>24</v>
      </c>
      <c r="J543" t="s">
        <v>344</v>
      </c>
      <c r="K543" s="3">
        <v>1020</v>
      </c>
      <c r="L543" s="2">
        <v>0</v>
      </c>
      <c r="M543" s="2">
        <f>+K543-L543</f>
        <v>1020</v>
      </c>
      <c r="N543" s="2">
        <v>51</v>
      </c>
      <c r="O543" s="2">
        <v>0</v>
      </c>
      <c r="P543" s="2">
        <v>1071</v>
      </c>
      <c r="Q543" t="s">
        <v>40</v>
      </c>
      <c r="S543" t="s">
        <v>27</v>
      </c>
      <c r="T543" s="8">
        <v>46016</v>
      </c>
      <c r="U543" s="7">
        <v>0.74079861111111112</v>
      </c>
    </row>
    <row r="544" spans="1:21" x14ac:dyDescent="0.2">
      <c r="A544">
        <v>869</v>
      </c>
      <c r="B544" t="s">
        <v>43</v>
      </c>
      <c r="C544" t="s">
        <v>24</v>
      </c>
      <c r="J544" t="s">
        <v>342</v>
      </c>
      <c r="K544" s="3">
        <v>1785</v>
      </c>
      <c r="L544" s="2">
        <v>178.5</v>
      </c>
      <c r="M544" s="2">
        <f>+K544-L544</f>
        <v>1606.5</v>
      </c>
      <c r="N544" s="2">
        <v>80.319999999999993</v>
      </c>
      <c r="O544" s="2">
        <v>0.18</v>
      </c>
      <c r="P544" s="2">
        <v>1687</v>
      </c>
      <c r="Q544" t="s">
        <v>40</v>
      </c>
      <c r="S544" t="s">
        <v>27</v>
      </c>
      <c r="T544" s="8">
        <v>46016</v>
      </c>
      <c r="U544" s="7">
        <v>0.74300925925925931</v>
      </c>
    </row>
    <row r="545" spans="1:21" x14ac:dyDescent="0.2">
      <c r="A545">
        <v>870</v>
      </c>
      <c r="B545" t="s">
        <v>45</v>
      </c>
      <c r="C545" t="s">
        <v>24</v>
      </c>
      <c r="J545" t="s">
        <v>341</v>
      </c>
      <c r="K545" s="3">
        <v>1245</v>
      </c>
      <c r="L545" s="2">
        <v>124.5</v>
      </c>
      <c r="M545" s="2">
        <f>+K545-L545</f>
        <v>1120.5</v>
      </c>
      <c r="N545" s="2">
        <v>56.02</v>
      </c>
      <c r="O545" s="2">
        <v>0.48</v>
      </c>
      <c r="P545" s="2">
        <v>1177</v>
      </c>
      <c r="Q545" t="s">
        <v>30</v>
      </c>
      <c r="S545" t="s">
        <v>27</v>
      </c>
      <c r="T545" s="8">
        <v>46016</v>
      </c>
      <c r="U545" s="7">
        <v>0.7447569444444444</v>
      </c>
    </row>
    <row r="546" spans="1:21" x14ac:dyDescent="0.2">
      <c r="A546">
        <v>871</v>
      </c>
      <c r="B546" t="s">
        <v>23</v>
      </c>
      <c r="C546" t="s">
        <v>24</v>
      </c>
      <c r="J546" t="s">
        <v>340</v>
      </c>
      <c r="K546" s="3">
        <v>640</v>
      </c>
      <c r="L546" s="2">
        <v>0</v>
      </c>
      <c r="M546" s="2">
        <f>+K546-L546</f>
        <v>640</v>
      </c>
      <c r="N546" s="2">
        <v>32</v>
      </c>
      <c r="O546" s="2">
        <v>0</v>
      </c>
      <c r="P546" s="2">
        <v>672</v>
      </c>
      <c r="Q546" t="s">
        <v>26</v>
      </c>
      <c r="S546" t="s">
        <v>27</v>
      </c>
      <c r="T546" s="8">
        <v>46016</v>
      </c>
      <c r="U546" s="7">
        <v>0.74873842592592588</v>
      </c>
    </row>
    <row r="547" spans="1:21" x14ac:dyDescent="0.2">
      <c r="A547">
        <v>872</v>
      </c>
      <c r="B547" t="s">
        <v>338</v>
      </c>
      <c r="C547" t="s">
        <v>24</v>
      </c>
      <c r="J547" t="s">
        <v>339</v>
      </c>
      <c r="K547" s="3">
        <v>805</v>
      </c>
      <c r="L547" s="2">
        <v>0</v>
      </c>
      <c r="M547" s="2">
        <f>+K547-L547</f>
        <v>805</v>
      </c>
      <c r="N547" s="2">
        <v>40.26</v>
      </c>
      <c r="O547" s="2">
        <v>-0.26</v>
      </c>
      <c r="P547" s="2">
        <v>845</v>
      </c>
      <c r="Q547" t="s">
        <v>40</v>
      </c>
      <c r="S547" t="s">
        <v>27</v>
      </c>
      <c r="T547" s="8">
        <v>46016</v>
      </c>
      <c r="U547" s="7">
        <v>0.77575231481481477</v>
      </c>
    </row>
    <row r="548" spans="1:21" x14ac:dyDescent="0.2">
      <c r="A548">
        <v>873</v>
      </c>
      <c r="B548" t="s">
        <v>102</v>
      </c>
      <c r="C548" t="s">
        <v>24</v>
      </c>
      <c r="J548" t="s">
        <v>337</v>
      </c>
      <c r="K548" s="3">
        <v>600</v>
      </c>
      <c r="L548" s="2">
        <v>60</v>
      </c>
      <c r="M548" s="2">
        <f>+K548-L548</f>
        <v>540</v>
      </c>
      <c r="N548" s="2">
        <v>27</v>
      </c>
      <c r="O548" s="2">
        <v>0</v>
      </c>
      <c r="P548" s="2">
        <v>567</v>
      </c>
      <c r="Q548" t="s">
        <v>30</v>
      </c>
      <c r="S548" t="s">
        <v>27</v>
      </c>
      <c r="T548" s="8">
        <v>46016</v>
      </c>
      <c r="U548" s="7">
        <v>0.79561342592592588</v>
      </c>
    </row>
    <row r="549" spans="1:21" x14ac:dyDescent="0.2">
      <c r="A549">
        <v>874</v>
      </c>
      <c r="B549" t="s">
        <v>23</v>
      </c>
      <c r="C549" t="s">
        <v>24</v>
      </c>
      <c r="J549" t="s">
        <v>336</v>
      </c>
      <c r="K549" s="3">
        <v>660</v>
      </c>
      <c r="L549" s="2">
        <v>66</v>
      </c>
      <c r="M549" s="2">
        <f>+K549-L549</f>
        <v>594</v>
      </c>
      <c r="N549" s="2">
        <v>29.7</v>
      </c>
      <c r="O549" s="2">
        <v>0.3</v>
      </c>
      <c r="P549" s="2">
        <v>624</v>
      </c>
      <c r="Q549" t="s">
        <v>40</v>
      </c>
      <c r="S549" t="s">
        <v>27</v>
      </c>
      <c r="T549" s="8">
        <v>46016</v>
      </c>
      <c r="U549" s="7">
        <v>0.80101851851851846</v>
      </c>
    </row>
    <row r="550" spans="1:21" x14ac:dyDescent="0.2">
      <c r="A550">
        <v>875</v>
      </c>
      <c r="B550" t="s">
        <v>45</v>
      </c>
      <c r="C550" t="s">
        <v>24</v>
      </c>
      <c r="J550" t="s">
        <v>335</v>
      </c>
      <c r="K550" s="3">
        <v>720</v>
      </c>
      <c r="L550" s="2">
        <v>72</v>
      </c>
      <c r="M550" s="2">
        <f>+K550-L550</f>
        <v>648</v>
      </c>
      <c r="N550" s="2">
        <v>32.4</v>
      </c>
      <c r="O550" s="2">
        <v>-0.4</v>
      </c>
      <c r="P550" s="2">
        <v>680</v>
      </c>
      <c r="Q550" t="s">
        <v>40</v>
      </c>
      <c r="S550" t="s">
        <v>27</v>
      </c>
      <c r="T550" s="8">
        <v>46016</v>
      </c>
      <c r="U550" s="7">
        <v>0.80141203703703701</v>
      </c>
    </row>
    <row r="551" spans="1:21" x14ac:dyDescent="0.2">
      <c r="A551">
        <v>876</v>
      </c>
      <c r="B551" t="s">
        <v>58</v>
      </c>
      <c r="C551" t="s">
        <v>24</v>
      </c>
      <c r="J551" t="s">
        <v>334</v>
      </c>
      <c r="K551" s="3">
        <v>1940</v>
      </c>
      <c r="L551" s="2">
        <v>0</v>
      </c>
      <c r="M551" s="2">
        <f>+K551-L551</f>
        <v>1940</v>
      </c>
      <c r="N551" s="2">
        <v>97</v>
      </c>
      <c r="O551" s="2">
        <v>0</v>
      </c>
      <c r="P551" s="2">
        <v>2037</v>
      </c>
      <c r="Q551" t="s">
        <v>40</v>
      </c>
      <c r="S551" t="s">
        <v>27</v>
      </c>
      <c r="T551" s="8">
        <v>46016</v>
      </c>
      <c r="U551" s="7">
        <v>0.80839120370370365</v>
      </c>
    </row>
    <row r="552" spans="1:21" x14ac:dyDescent="0.2">
      <c r="A552">
        <v>877</v>
      </c>
      <c r="B552" t="s">
        <v>52</v>
      </c>
      <c r="C552" t="s">
        <v>24</v>
      </c>
      <c r="J552" t="s">
        <v>333</v>
      </c>
      <c r="K552" s="3">
        <v>615</v>
      </c>
      <c r="L552" s="2">
        <v>0</v>
      </c>
      <c r="M552" s="2">
        <f>+K552-L552</f>
        <v>615</v>
      </c>
      <c r="N552" s="2">
        <v>30.76</v>
      </c>
      <c r="O552" s="2">
        <v>0.24</v>
      </c>
      <c r="P552" s="2">
        <v>646</v>
      </c>
      <c r="Q552" t="s">
        <v>40</v>
      </c>
      <c r="S552" t="s">
        <v>27</v>
      </c>
      <c r="T552" s="8">
        <v>46016</v>
      </c>
      <c r="U552" s="7">
        <v>0.82400462962962961</v>
      </c>
    </row>
    <row r="553" spans="1:21" x14ac:dyDescent="0.2">
      <c r="A553">
        <v>878</v>
      </c>
      <c r="B553" t="s">
        <v>47</v>
      </c>
      <c r="C553" t="s">
        <v>24</v>
      </c>
      <c r="J553" t="s">
        <v>332</v>
      </c>
      <c r="K553" s="3">
        <v>2375</v>
      </c>
      <c r="L553" s="2">
        <v>0</v>
      </c>
      <c r="M553" s="2">
        <f>+K553-L553</f>
        <v>2375</v>
      </c>
      <c r="N553" s="2">
        <v>118.76</v>
      </c>
      <c r="O553" s="2">
        <v>0.24</v>
      </c>
      <c r="P553" s="2">
        <v>2494</v>
      </c>
      <c r="Q553" t="s">
        <v>30</v>
      </c>
      <c r="S553" t="s">
        <v>27</v>
      </c>
      <c r="T553" s="8">
        <v>46016</v>
      </c>
      <c r="U553" s="7">
        <v>0.82414351851851853</v>
      </c>
    </row>
    <row r="554" spans="1:21" x14ac:dyDescent="0.2">
      <c r="A554">
        <v>879</v>
      </c>
      <c r="B554" t="s">
        <v>331</v>
      </c>
      <c r="C554" t="s">
        <v>24</v>
      </c>
      <c r="J554" t="s">
        <v>214</v>
      </c>
      <c r="K554" s="3">
        <v>295</v>
      </c>
      <c r="L554" s="2">
        <v>0</v>
      </c>
      <c r="M554" s="2">
        <f>+K554-L554</f>
        <v>295</v>
      </c>
      <c r="N554" s="2">
        <v>14.76</v>
      </c>
      <c r="O554" s="2">
        <v>0.24</v>
      </c>
      <c r="P554" s="2">
        <v>310</v>
      </c>
      <c r="Q554" t="s">
        <v>26</v>
      </c>
      <c r="S554" t="s">
        <v>27</v>
      </c>
      <c r="T554" s="8">
        <v>46016</v>
      </c>
      <c r="U554" s="7">
        <v>0.82641203703703703</v>
      </c>
    </row>
    <row r="555" spans="1:21" x14ac:dyDescent="0.2">
      <c r="A555">
        <v>880</v>
      </c>
      <c r="B555" t="s">
        <v>54</v>
      </c>
      <c r="C555" t="s">
        <v>24</v>
      </c>
      <c r="J555" t="s">
        <v>330</v>
      </c>
      <c r="K555" s="3">
        <v>2355</v>
      </c>
      <c r="L555" s="2">
        <v>0</v>
      </c>
      <c r="M555" s="2">
        <f>+K555-L555</f>
        <v>2355</v>
      </c>
      <c r="N555" s="2">
        <v>117.76</v>
      </c>
      <c r="O555" s="2">
        <v>0.24</v>
      </c>
      <c r="P555" s="2">
        <v>2473</v>
      </c>
      <c r="Q555" t="s">
        <v>26</v>
      </c>
      <c r="S555" t="s">
        <v>27</v>
      </c>
      <c r="T555" s="8">
        <v>46016</v>
      </c>
      <c r="U555" s="7">
        <v>0.82792824074074078</v>
      </c>
    </row>
    <row r="556" spans="1:21" x14ac:dyDescent="0.2">
      <c r="A556">
        <v>881</v>
      </c>
      <c r="B556" t="s">
        <v>43</v>
      </c>
      <c r="C556" t="s">
        <v>24</v>
      </c>
      <c r="J556" t="s">
        <v>329</v>
      </c>
      <c r="K556" s="3">
        <v>1635</v>
      </c>
      <c r="L556" s="2">
        <v>163.5</v>
      </c>
      <c r="M556" s="2">
        <f>+K556-L556</f>
        <v>1471.5</v>
      </c>
      <c r="N556" s="2">
        <v>73.58</v>
      </c>
      <c r="O556" s="2">
        <v>-0.08</v>
      </c>
      <c r="P556" s="2">
        <v>1545</v>
      </c>
      <c r="Q556" t="s">
        <v>33</v>
      </c>
      <c r="S556" t="s">
        <v>27</v>
      </c>
      <c r="T556" s="8">
        <v>46016</v>
      </c>
      <c r="U556" s="7">
        <v>0.83596064814814819</v>
      </c>
    </row>
    <row r="557" spans="1:21" x14ac:dyDescent="0.2">
      <c r="A557">
        <v>882</v>
      </c>
      <c r="B557" t="s">
        <v>328</v>
      </c>
      <c r="C557" t="s">
        <v>24</v>
      </c>
      <c r="J557" t="s">
        <v>90</v>
      </c>
      <c r="K557" s="3">
        <v>325</v>
      </c>
      <c r="L557" s="2">
        <v>32.5</v>
      </c>
      <c r="M557" s="2">
        <f>+K557-L557</f>
        <v>292.5</v>
      </c>
      <c r="N557" s="2">
        <v>14.62</v>
      </c>
      <c r="O557" s="2">
        <v>-0.12</v>
      </c>
      <c r="P557" s="2">
        <v>307</v>
      </c>
      <c r="Q557" t="s">
        <v>40</v>
      </c>
      <c r="S557" t="s">
        <v>27</v>
      </c>
      <c r="T557" s="8">
        <v>46016</v>
      </c>
      <c r="U557" s="7">
        <v>0.84986111111111107</v>
      </c>
    </row>
    <row r="558" spans="1:21" x14ac:dyDescent="0.2">
      <c r="A558">
        <v>883</v>
      </c>
      <c r="B558" t="s">
        <v>326</v>
      </c>
      <c r="C558" t="s">
        <v>24</v>
      </c>
      <c r="J558" t="s">
        <v>327</v>
      </c>
      <c r="K558" s="3">
        <v>480</v>
      </c>
      <c r="L558" s="2">
        <v>0</v>
      </c>
      <c r="M558" s="2">
        <f>+K558-L558</f>
        <v>480</v>
      </c>
      <c r="N558" s="2">
        <v>24</v>
      </c>
      <c r="O558" s="2">
        <v>0</v>
      </c>
      <c r="P558" s="2">
        <v>504</v>
      </c>
      <c r="Q558" t="s">
        <v>33</v>
      </c>
      <c r="S558" t="s">
        <v>27</v>
      </c>
      <c r="T558" s="8">
        <v>46016</v>
      </c>
      <c r="U558" s="7">
        <v>0.85293981481481485</v>
      </c>
    </row>
    <row r="559" spans="1:21" x14ac:dyDescent="0.2">
      <c r="A559">
        <v>884</v>
      </c>
      <c r="B559" t="s">
        <v>324</v>
      </c>
      <c r="C559" t="s">
        <v>24</v>
      </c>
      <c r="J559" t="s">
        <v>325</v>
      </c>
      <c r="K559" s="3">
        <v>1050</v>
      </c>
      <c r="L559" s="2">
        <v>105</v>
      </c>
      <c r="M559" s="2">
        <f>+K559-L559</f>
        <v>945</v>
      </c>
      <c r="N559" s="2">
        <v>47.26</v>
      </c>
      <c r="O559" s="2">
        <v>-0.26</v>
      </c>
      <c r="P559" s="2">
        <v>992</v>
      </c>
      <c r="Q559" t="s">
        <v>40</v>
      </c>
      <c r="S559" t="s">
        <v>27</v>
      </c>
      <c r="T559" s="8">
        <v>46016</v>
      </c>
      <c r="U559" s="7">
        <v>0.85436342592592596</v>
      </c>
    </row>
    <row r="560" spans="1:21" x14ac:dyDescent="0.2">
      <c r="A560">
        <v>885</v>
      </c>
      <c r="B560" t="s">
        <v>321</v>
      </c>
      <c r="C560" t="s">
        <v>24</v>
      </c>
      <c r="D560" t="s">
        <v>322</v>
      </c>
      <c r="J560" t="s">
        <v>323</v>
      </c>
      <c r="K560" s="3">
        <v>1035</v>
      </c>
      <c r="L560" s="2">
        <v>103.5</v>
      </c>
      <c r="M560" s="2">
        <f>+K560-L560</f>
        <v>931.5</v>
      </c>
      <c r="N560" s="2">
        <v>46.58</v>
      </c>
      <c r="O560" s="2">
        <v>-0.08</v>
      </c>
      <c r="P560" s="2">
        <v>978</v>
      </c>
      <c r="Q560" t="s">
        <v>40</v>
      </c>
      <c r="S560" t="s">
        <v>27</v>
      </c>
      <c r="T560" s="8">
        <v>46016</v>
      </c>
      <c r="U560" s="7">
        <v>0.86370370370370375</v>
      </c>
    </row>
    <row r="561" spans="1:21" x14ac:dyDescent="0.2">
      <c r="A561">
        <v>886</v>
      </c>
      <c r="B561" t="s">
        <v>319</v>
      </c>
      <c r="C561" t="s">
        <v>24</v>
      </c>
      <c r="J561" t="s">
        <v>320</v>
      </c>
      <c r="K561" s="3">
        <v>1485</v>
      </c>
      <c r="L561" s="2">
        <v>148.5</v>
      </c>
      <c r="M561" s="2">
        <f>+K561-L561</f>
        <v>1336.5</v>
      </c>
      <c r="N561" s="2">
        <v>66.819999999999993</v>
      </c>
      <c r="O561" s="2">
        <v>-0.32</v>
      </c>
      <c r="P561" s="2">
        <v>1403</v>
      </c>
      <c r="Q561" t="s">
        <v>40</v>
      </c>
      <c r="S561" t="s">
        <v>27</v>
      </c>
      <c r="T561" s="8">
        <v>46016</v>
      </c>
      <c r="U561" s="7">
        <v>0.86484953703703704</v>
      </c>
    </row>
    <row r="562" spans="1:21" x14ac:dyDescent="0.2">
      <c r="A562">
        <v>887</v>
      </c>
      <c r="B562" t="s">
        <v>317</v>
      </c>
      <c r="C562" t="s">
        <v>24</v>
      </c>
      <c r="J562" t="s">
        <v>318</v>
      </c>
      <c r="K562" s="3">
        <v>1100</v>
      </c>
      <c r="L562" s="2">
        <v>110</v>
      </c>
      <c r="M562" s="2">
        <f>+K562-L562</f>
        <v>990</v>
      </c>
      <c r="N562" s="2">
        <v>49.5</v>
      </c>
      <c r="O562" s="2">
        <v>0.5</v>
      </c>
      <c r="P562" s="2">
        <v>1040</v>
      </c>
      <c r="Q562" t="s">
        <v>33</v>
      </c>
      <c r="S562" t="s">
        <v>27</v>
      </c>
      <c r="T562" s="8">
        <v>46016</v>
      </c>
      <c r="U562" s="7">
        <v>0.86853009259259262</v>
      </c>
    </row>
    <row r="563" spans="1:21" x14ac:dyDescent="0.2">
      <c r="A563">
        <v>888</v>
      </c>
      <c r="B563" t="s">
        <v>23</v>
      </c>
      <c r="C563" t="s">
        <v>24</v>
      </c>
      <c r="J563" t="s">
        <v>316</v>
      </c>
      <c r="K563" s="3">
        <v>1230</v>
      </c>
      <c r="L563" s="2">
        <v>0</v>
      </c>
      <c r="M563" s="2">
        <f>+K563-L563</f>
        <v>1230</v>
      </c>
      <c r="N563" s="2">
        <v>61.5</v>
      </c>
      <c r="O563" s="2">
        <v>0.5</v>
      </c>
      <c r="P563" s="2">
        <v>1292</v>
      </c>
      <c r="Q563" t="s">
        <v>26</v>
      </c>
      <c r="S563" t="s">
        <v>27</v>
      </c>
      <c r="T563" s="8">
        <v>46016</v>
      </c>
      <c r="U563" s="7">
        <v>0.87495370370370373</v>
      </c>
    </row>
    <row r="564" spans="1:21" x14ac:dyDescent="0.2">
      <c r="A564">
        <v>889</v>
      </c>
      <c r="B564" t="s">
        <v>313</v>
      </c>
      <c r="C564" t="s">
        <v>24</v>
      </c>
      <c r="D564" t="s">
        <v>314</v>
      </c>
      <c r="J564" t="s">
        <v>315</v>
      </c>
      <c r="K564" s="3">
        <v>940</v>
      </c>
      <c r="L564" s="2">
        <v>0</v>
      </c>
      <c r="M564" s="2">
        <f>+K564-L564</f>
        <v>940</v>
      </c>
      <c r="N564" s="2">
        <v>47</v>
      </c>
      <c r="O564" s="2">
        <v>0</v>
      </c>
      <c r="P564" s="2">
        <v>987</v>
      </c>
      <c r="Q564" t="s">
        <v>30</v>
      </c>
      <c r="S564" t="s">
        <v>27</v>
      </c>
      <c r="T564" s="8">
        <v>46016</v>
      </c>
      <c r="U564" s="7">
        <v>0.88112268518518522</v>
      </c>
    </row>
    <row r="565" spans="1:21" x14ac:dyDescent="0.2">
      <c r="A565">
        <v>890</v>
      </c>
      <c r="B565" t="s">
        <v>311</v>
      </c>
      <c r="C565" t="s">
        <v>24</v>
      </c>
      <c r="J565" t="s">
        <v>312</v>
      </c>
      <c r="K565" s="3">
        <v>1420</v>
      </c>
      <c r="L565" s="2">
        <v>142</v>
      </c>
      <c r="M565" s="2">
        <f>+K565-L565</f>
        <v>1278</v>
      </c>
      <c r="N565" s="2">
        <v>63.9</v>
      </c>
      <c r="O565" s="2">
        <v>0.1</v>
      </c>
      <c r="P565" s="2">
        <v>1342</v>
      </c>
      <c r="Q565" t="s">
        <v>30</v>
      </c>
      <c r="S565" t="s">
        <v>27</v>
      </c>
      <c r="T565" s="8">
        <v>46016</v>
      </c>
      <c r="U565" s="7">
        <v>0.88962962962962966</v>
      </c>
    </row>
    <row r="566" spans="1:21" x14ac:dyDescent="0.2">
      <c r="A566">
        <v>891</v>
      </c>
      <c r="B566" t="s">
        <v>309</v>
      </c>
      <c r="C566" t="s">
        <v>24</v>
      </c>
      <c r="J566" t="s">
        <v>310</v>
      </c>
      <c r="K566" s="3">
        <v>360</v>
      </c>
      <c r="L566" s="2">
        <v>0</v>
      </c>
      <c r="M566" s="2">
        <f>+K566-L566</f>
        <v>360</v>
      </c>
      <c r="N566" s="2">
        <v>18</v>
      </c>
      <c r="O566" s="2">
        <v>0</v>
      </c>
      <c r="P566" s="2">
        <v>378</v>
      </c>
      <c r="Q566" t="s">
        <v>40</v>
      </c>
      <c r="S566" t="s">
        <v>27</v>
      </c>
      <c r="T566" s="8">
        <v>46016</v>
      </c>
      <c r="U566" s="7">
        <v>0.90201388888888889</v>
      </c>
    </row>
    <row r="567" spans="1:21" x14ac:dyDescent="0.2">
      <c r="A567">
        <v>892</v>
      </c>
      <c r="B567" t="s">
        <v>43</v>
      </c>
      <c r="C567" t="s">
        <v>24</v>
      </c>
      <c r="J567" t="s">
        <v>308</v>
      </c>
      <c r="K567" s="3">
        <v>1360</v>
      </c>
      <c r="L567" s="2">
        <v>136</v>
      </c>
      <c r="M567" s="2">
        <f>+K567-L567</f>
        <v>1224</v>
      </c>
      <c r="N567" s="2">
        <v>61.2</v>
      </c>
      <c r="O567" s="2">
        <v>-0.2</v>
      </c>
      <c r="P567" s="2">
        <v>1285</v>
      </c>
      <c r="Q567" t="s">
        <v>30</v>
      </c>
      <c r="S567" t="s">
        <v>27</v>
      </c>
      <c r="T567" s="8">
        <v>46016</v>
      </c>
      <c r="U567" s="7">
        <v>0.90314814814814814</v>
      </c>
    </row>
    <row r="568" spans="1:21" x14ac:dyDescent="0.2">
      <c r="A568">
        <v>893</v>
      </c>
      <c r="B568" t="s">
        <v>307</v>
      </c>
      <c r="C568" t="s">
        <v>24</v>
      </c>
      <c r="J568" t="s">
        <v>1212</v>
      </c>
      <c r="K568" s="3">
        <v>2814</v>
      </c>
      <c r="L568" s="2">
        <v>0</v>
      </c>
      <c r="M568" s="2">
        <f>+K568-L568</f>
        <v>2814</v>
      </c>
      <c r="N568" s="2">
        <v>140.69999999999999</v>
      </c>
      <c r="O568" s="2">
        <v>0.3</v>
      </c>
      <c r="P568" s="2">
        <v>2955</v>
      </c>
      <c r="Q568" t="s">
        <v>33</v>
      </c>
      <c r="S568" t="s">
        <v>27</v>
      </c>
      <c r="T568" s="8">
        <v>46016</v>
      </c>
      <c r="U568" s="7">
        <v>0.90925925925925921</v>
      </c>
    </row>
    <row r="569" spans="1:21" x14ac:dyDescent="0.2">
      <c r="A569">
        <v>894</v>
      </c>
      <c r="B569" t="s">
        <v>305</v>
      </c>
      <c r="C569" t="s">
        <v>24</v>
      </c>
      <c r="J569" t="s">
        <v>306</v>
      </c>
      <c r="K569" s="3">
        <v>425</v>
      </c>
      <c r="L569" s="2">
        <v>0</v>
      </c>
      <c r="M569" s="2">
        <f>+K569-L569</f>
        <v>425</v>
      </c>
      <c r="N569" s="2">
        <v>21.26</v>
      </c>
      <c r="O569" s="2">
        <v>-0.26</v>
      </c>
      <c r="P569" s="2">
        <v>446</v>
      </c>
      <c r="Q569" t="s">
        <v>30</v>
      </c>
      <c r="S569" t="s">
        <v>27</v>
      </c>
      <c r="T569" s="8">
        <v>46016</v>
      </c>
      <c r="U569" s="7">
        <v>0.91526620370370371</v>
      </c>
    </row>
    <row r="570" spans="1:21" x14ac:dyDescent="0.2">
      <c r="A570">
        <v>895</v>
      </c>
      <c r="B570" t="s">
        <v>45</v>
      </c>
      <c r="C570" t="s">
        <v>24</v>
      </c>
      <c r="J570" t="s">
        <v>304</v>
      </c>
      <c r="K570" s="3">
        <v>425</v>
      </c>
      <c r="L570" s="2">
        <v>0</v>
      </c>
      <c r="M570" s="2">
        <f>+K570-L570</f>
        <v>425</v>
      </c>
      <c r="N570" s="2">
        <v>21.26</v>
      </c>
      <c r="O570" s="2">
        <v>-0.26</v>
      </c>
      <c r="P570" s="2">
        <v>446</v>
      </c>
      <c r="Q570" t="s">
        <v>40</v>
      </c>
      <c r="S570" t="s">
        <v>27</v>
      </c>
      <c r="T570" s="8">
        <v>46016</v>
      </c>
      <c r="U570" s="7">
        <v>0.91741898148148149</v>
      </c>
    </row>
    <row r="571" spans="1:21" x14ac:dyDescent="0.2">
      <c r="A571">
        <v>896</v>
      </c>
      <c r="B571" t="s">
        <v>303</v>
      </c>
      <c r="C571" t="s">
        <v>24</v>
      </c>
      <c r="J571" t="s">
        <v>94</v>
      </c>
      <c r="K571" s="3">
        <v>165</v>
      </c>
      <c r="L571" s="2">
        <v>0</v>
      </c>
      <c r="M571" s="2">
        <f>+K571-L571</f>
        <v>165</v>
      </c>
      <c r="N571" s="2">
        <v>8.26</v>
      </c>
      <c r="O571" s="2">
        <v>-0.26</v>
      </c>
      <c r="P571" s="2">
        <v>173</v>
      </c>
      <c r="Q571" t="s">
        <v>40</v>
      </c>
      <c r="S571" t="s">
        <v>27</v>
      </c>
      <c r="T571" s="8">
        <v>46016</v>
      </c>
      <c r="U571" s="7">
        <v>0.92099537037037038</v>
      </c>
    </row>
    <row r="572" spans="1:21" x14ac:dyDescent="0.2">
      <c r="A572">
        <v>897</v>
      </c>
      <c r="B572" t="s">
        <v>301</v>
      </c>
      <c r="C572" t="s">
        <v>24</v>
      </c>
      <c r="J572" t="s">
        <v>302</v>
      </c>
      <c r="K572" s="3">
        <v>355</v>
      </c>
      <c r="L572" s="2">
        <v>0</v>
      </c>
      <c r="M572" s="2">
        <f>+K572-L572</f>
        <v>355</v>
      </c>
      <c r="N572" s="2">
        <v>17.760000000000002</v>
      </c>
      <c r="O572" s="2">
        <v>0.24</v>
      </c>
      <c r="P572" s="2">
        <v>373</v>
      </c>
      <c r="Q572" t="s">
        <v>30</v>
      </c>
      <c r="S572" t="s">
        <v>27</v>
      </c>
      <c r="T572" s="8">
        <v>46016</v>
      </c>
      <c r="U572" s="7">
        <v>0.92787037037037035</v>
      </c>
    </row>
    <row r="573" spans="1:21" x14ac:dyDescent="0.2">
      <c r="A573">
        <v>898</v>
      </c>
      <c r="B573" t="s">
        <v>164</v>
      </c>
      <c r="C573" t="s">
        <v>24</v>
      </c>
      <c r="J573" t="s">
        <v>300</v>
      </c>
      <c r="K573" s="3">
        <v>700</v>
      </c>
      <c r="L573" s="2">
        <v>70</v>
      </c>
      <c r="M573" s="2">
        <f>+K573-L573</f>
        <v>630</v>
      </c>
      <c r="N573" s="2">
        <v>31.5</v>
      </c>
      <c r="O573" s="2">
        <v>0.5</v>
      </c>
      <c r="P573" s="2">
        <v>662</v>
      </c>
      <c r="Q573" t="s">
        <v>40</v>
      </c>
      <c r="S573" t="s">
        <v>27</v>
      </c>
      <c r="T573" s="8">
        <v>46016</v>
      </c>
      <c r="U573" s="7">
        <v>0.93453703703703705</v>
      </c>
    </row>
    <row r="574" spans="1:21" x14ac:dyDescent="0.2">
      <c r="A574">
        <v>899</v>
      </c>
      <c r="B574" t="s">
        <v>299</v>
      </c>
      <c r="C574" t="s">
        <v>24</v>
      </c>
      <c r="J574" t="s">
        <v>76</v>
      </c>
      <c r="K574" s="3">
        <v>250</v>
      </c>
      <c r="L574" s="2">
        <v>0</v>
      </c>
      <c r="M574" s="2">
        <f>+K574-L574</f>
        <v>250</v>
      </c>
      <c r="N574" s="2">
        <v>12.5</v>
      </c>
      <c r="O574" s="2">
        <v>0.5</v>
      </c>
      <c r="P574" s="2">
        <v>263</v>
      </c>
      <c r="Q574" t="s">
        <v>40</v>
      </c>
      <c r="S574" t="s">
        <v>27</v>
      </c>
      <c r="T574" s="8">
        <v>46016</v>
      </c>
      <c r="U574" s="7">
        <v>0.93768518518518518</v>
      </c>
    </row>
    <row r="575" spans="1:21" x14ac:dyDescent="0.2">
      <c r="A575">
        <v>900</v>
      </c>
      <c r="B575" t="s">
        <v>297</v>
      </c>
      <c r="C575" t="s">
        <v>24</v>
      </c>
      <c r="J575" t="s">
        <v>298</v>
      </c>
      <c r="K575" s="3">
        <v>630</v>
      </c>
      <c r="L575" s="2">
        <v>0</v>
      </c>
      <c r="M575" s="2">
        <f>+K575-L575</f>
        <v>630</v>
      </c>
      <c r="N575" s="2">
        <v>31.5</v>
      </c>
      <c r="O575" s="2">
        <v>0.5</v>
      </c>
      <c r="P575" s="2">
        <v>662</v>
      </c>
      <c r="Q575" t="s">
        <v>40</v>
      </c>
      <c r="S575" t="s">
        <v>27</v>
      </c>
      <c r="T575" s="8">
        <v>46016</v>
      </c>
      <c r="U575" s="7">
        <v>0.93903935185185183</v>
      </c>
    </row>
    <row r="576" spans="1:21" x14ac:dyDescent="0.2">
      <c r="A576">
        <v>901</v>
      </c>
      <c r="B576" t="s">
        <v>296</v>
      </c>
      <c r="C576" t="s">
        <v>24</v>
      </c>
      <c r="J576" t="s">
        <v>274</v>
      </c>
      <c r="K576" s="3">
        <v>695</v>
      </c>
      <c r="L576" s="2">
        <v>0</v>
      </c>
      <c r="M576" s="2">
        <f>+K576-L576</f>
        <v>695</v>
      </c>
      <c r="N576" s="2">
        <v>34.76</v>
      </c>
      <c r="O576" s="2">
        <v>0.24</v>
      </c>
      <c r="P576" s="2">
        <v>730</v>
      </c>
      <c r="Q576" t="s">
        <v>26</v>
      </c>
      <c r="S576" t="s">
        <v>27</v>
      </c>
      <c r="T576" s="8">
        <v>46016</v>
      </c>
      <c r="U576" s="7">
        <v>0.94039351851851849</v>
      </c>
    </row>
    <row r="577" spans="1:21" x14ac:dyDescent="0.2">
      <c r="A577">
        <v>902</v>
      </c>
      <c r="B577" t="s">
        <v>294</v>
      </c>
      <c r="C577" t="s">
        <v>24</v>
      </c>
      <c r="J577" t="s">
        <v>295</v>
      </c>
      <c r="K577" s="3">
        <v>320</v>
      </c>
      <c r="L577" s="2">
        <v>0</v>
      </c>
      <c r="M577" s="2">
        <f>+K577-L577</f>
        <v>320</v>
      </c>
      <c r="N577" s="2">
        <v>16</v>
      </c>
      <c r="O577" s="2">
        <v>0</v>
      </c>
      <c r="P577" s="2">
        <v>336</v>
      </c>
      <c r="Q577" t="s">
        <v>40</v>
      </c>
      <c r="S577" t="s">
        <v>27</v>
      </c>
      <c r="T577" s="8">
        <v>46016</v>
      </c>
      <c r="U577" s="7">
        <v>0.94233796296296302</v>
      </c>
    </row>
    <row r="578" spans="1:21" x14ac:dyDescent="0.2">
      <c r="A578">
        <v>903</v>
      </c>
      <c r="B578" t="s">
        <v>292</v>
      </c>
      <c r="C578" t="s">
        <v>24</v>
      </c>
      <c r="J578" t="s">
        <v>293</v>
      </c>
      <c r="K578" s="3">
        <v>1290</v>
      </c>
      <c r="L578" s="2">
        <v>0</v>
      </c>
      <c r="M578" s="2">
        <f>+K578-L578</f>
        <v>1290</v>
      </c>
      <c r="N578" s="2">
        <v>64.5</v>
      </c>
      <c r="O578" s="2">
        <v>0.5</v>
      </c>
      <c r="P578" s="2">
        <v>1355</v>
      </c>
      <c r="Q578" t="s">
        <v>40</v>
      </c>
      <c r="S578" t="s">
        <v>27</v>
      </c>
      <c r="T578" s="8">
        <v>46016</v>
      </c>
      <c r="U578" s="7">
        <v>0.9437268518518519</v>
      </c>
    </row>
    <row r="579" spans="1:21" x14ac:dyDescent="0.2">
      <c r="A579">
        <v>904</v>
      </c>
      <c r="B579" t="s">
        <v>291</v>
      </c>
      <c r="C579" t="s">
        <v>24</v>
      </c>
      <c r="J579" t="s">
        <v>76</v>
      </c>
      <c r="K579" s="3">
        <v>250</v>
      </c>
      <c r="L579" s="2">
        <v>0</v>
      </c>
      <c r="M579" s="2">
        <f>+K579-L579</f>
        <v>250</v>
      </c>
      <c r="N579" s="2">
        <v>12.5</v>
      </c>
      <c r="O579" s="2">
        <v>0.5</v>
      </c>
      <c r="P579" s="2">
        <v>263</v>
      </c>
      <c r="Q579" t="s">
        <v>40</v>
      </c>
      <c r="S579" t="s">
        <v>27</v>
      </c>
      <c r="T579" s="8">
        <v>46016</v>
      </c>
      <c r="U579" s="7">
        <v>0.94548611111111114</v>
      </c>
    </row>
    <row r="580" spans="1:21" x14ac:dyDescent="0.2">
      <c r="A580">
        <v>905</v>
      </c>
      <c r="B580" t="s">
        <v>23</v>
      </c>
      <c r="C580" t="s">
        <v>24</v>
      </c>
      <c r="J580" t="s">
        <v>290</v>
      </c>
      <c r="K580" s="3">
        <v>925</v>
      </c>
      <c r="L580" s="2">
        <v>0</v>
      </c>
      <c r="M580" s="2">
        <f>+K580-L580</f>
        <v>925</v>
      </c>
      <c r="N580" s="2">
        <v>43.26</v>
      </c>
      <c r="O580" s="2">
        <v>-0.26</v>
      </c>
      <c r="P580" s="2">
        <v>968</v>
      </c>
      <c r="Q580" t="s">
        <v>26</v>
      </c>
      <c r="S580" t="s">
        <v>27</v>
      </c>
      <c r="T580" s="8">
        <v>46016</v>
      </c>
      <c r="U580" s="7">
        <v>0.9538888888888889</v>
      </c>
    </row>
    <row r="581" spans="1:21" x14ac:dyDescent="0.2">
      <c r="A581">
        <v>906</v>
      </c>
      <c r="B581" t="s">
        <v>52</v>
      </c>
      <c r="C581" t="s">
        <v>24</v>
      </c>
      <c r="J581" t="s">
        <v>289</v>
      </c>
      <c r="K581" s="3">
        <v>2330</v>
      </c>
      <c r="L581" s="2">
        <v>349.5</v>
      </c>
      <c r="M581" s="2">
        <f>+K581-L581</f>
        <v>1980.5</v>
      </c>
      <c r="N581" s="2">
        <v>99.02</v>
      </c>
      <c r="O581" s="2">
        <v>0.48</v>
      </c>
      <c r="P581" s="2">
        <v>2080</v>
      </c>
      <c r="Q581" t="s">
        <v>40</v>
      </c>
      <c r="S581" t="s">
        <v>27</v>
      </c>
      <c r="T581" s="8">
        <v>46016</v>
      </c>
      <c r="U581" s="7">
        <v>0.95982638888888894</v>
      </c>
    </row>
    <row r="582" spans="1:21" x14ac:dyDescent="0.2">
      <c r="A582">
        <v>907</v>
      </c>
      <c r="B582" t="s">
        <v>54</v>
      </c>
      <c r="C582" t="s">
        <v>24</v>
      </c>
      <c r="J582" t="s">
        <v>200</v>
      </c>
      <c r="K582" s="3">
        <v>345</v>
      </c>
      <c r="L582" s="2">
        <v>0</v>
      </c>
      <c r="M582" s="2">
        <f>+K582-L582</f>
        <v>345</v>
      </c>
      <c r="N582" s="2">
        <v>17.260000000000002</v>
      </c>
      <c r="O582" s="2">
        <v>-0.26</v>
      </c>
      <c r="P582" s="2">
        <v>362</v>
      </c>
      <c r="Q582" t="s">
        <v>40</v>
      </c>
      <c r="S582" t="s">
        <v>27</v>
      </c>
      <c r="T582" s="8">
        <v>46016</v>
      </c>
      <c r="U582" s="7">
        <v>0.96381944444444445</v>
      </c>
    </row>
    <row r="583" spans="1:21" x14ac:dyDescent="0.2">
      <c r="A583">
        <v>908</v>
      </c>
      <c r="B583" t="s">
        <v>287</v>
      </c>
      <c r="C583" t="s">
        <v>24</v>
      </c>
      <c r="J583" t="s">
        <v>288</v>
      </c>
      <c r="K583" s="3">
        <v>190</v>
      </c>
      <c r="L583" s="2">
        <v>0</v>
      </c>
      <c r="M583" s="2">
        <f>+K583-L583</f>
        <v>190</v>
      </c>
      <c r="N583" s="2">
        <v>9.5</v>
      </c>
      <c r="O583" s="2">
        <v>0.5</v>
      </c>
      <c r="P583" s="2">
        <v>200</v>
      </c>
      <c r="Q583" t="s">
        <v>40</v>
      </c>
      <c r="S583" t="s">
        <v>27</v>
      </c>
      <c r="T583" s="8">
        <v>46016</v>
      </c>
      <c r="U583" s="7">
        <v>0.96517361111111111</v>
      </c>
    </row>
    <row r="584" spans="1:21" x14ac:dyDescent="0.2">
      <c r="A584">
        <v>909</v>
      </c>
      <c r="B584" t="s">
        <v>285</v>
      </c>
      <c r="C584" t="s">
        <v>24</v>
      </c>
      <c r="J584" t="s">
        <v>286</v>
      </c>
      <c r="K584" s="3">
        <v>315</v>
      </c>
      <c r="L584" s="2">
        <v>0</v>
      </c>
      <c r="M584" s="2">
        <f>+K584-L584</f>
        <v>315</v>
      </c>
      <c r="N584" s="2">
        <v>15.76</v>
      </c>
      <c r="O584" s="2">
        <v>0.24</v>
      </c>
      <c r="P584" s="2">
        <v>331</v>
      </c>
      <c r="Q584" t="s">
        <v>30</v>
      </c>
      <c r="S584" t="s">
        <v>27</v>
      </c>
      <c r="T584" s="8">
        <v>46016</v>
      </c>
      <c r="U584" s="7">
        <v>0.96520833333333333</v>
      </c>
    </row>
    <row r="585" spans="1:21" x14ac:dyDescent="0.2">
      <c r="A585">
        <v>910</v>
      </c>
      <c r="B585" t="s">
        <v>45</v>
      </c>
      <c r="C585" t="s">
        <v>24</v>
      </c>
      <c r="J585" t="s">
        <v>284</v>
      </c>
      <c r="K585" s="3">
        <v>1910</v>
      </c>
      <c r="L585" s="2">
        <v>191</v>
      </c>
      <c r="M585" s="2">
        <f>+K585-L585</f>
        <v>1719</v>
      </c>
      <c r="N585" s="2">
        <v>85.96</v>
      </c>
      <c r="O585" s="2">
        <v>0.04</v>
      </c>
      <c r="P585" s="2">
        <v>1805</v>
      </c>
      <c r="Q585" t="s">
        <v>33</v>
      </c>
      <c r="S585" t="s">
        <v>27</v>
      </c>
      <c r="T585" s="8">
        <v>46016</v>
      </c>
      <c r="U585" s="7">
        <v>0.96788194444444442</v>
      </c>
    </row>
    <row r="586" spans="1:21" x14ac:dyDescent="0.2">
      <c r="A586">
        <v>911</v>
      </c>
      <c r="B586" t="s">
        <v>281</v>
      </c>
      <c r="C586" t="s">
        <v>24</v>
      </c>
      <c r="D586" t="s">
        <v>282</v>
      </c>
      <c r="E586">
        <v>9536971573</v>
      </c>
      <c r="J586" t="s">
        <v>283</v>
      </c>
      <c r="K586" s="3">
        <v>2750</v>
      </c>
      <c r="L586" s="2">
        <v>0</v>
      </c>
      <c r="M586" s="2">
        <f>+K586-L586</f>
        <v>2750</v>
      </c>
      <c r="N586" s="2">
        <v>137.5</v>
      </c>
      <c r="O586" s="2">
        <v>0.5</v>
      </c>
      <c r="P586" s="2">
        <v>2888</v>
      </c>
      <c r="Q586" t="s">
        <v>30</v>
      </c>
      <c r="S586" t="s">
        <v>27</v>
      </c>
      <c r="T586" s="8">
        <v>46016</v>
      </c>
      <c r="U586" s="7">
        <v>0.96929398148148149</v>
      </c>
    </row>
    <row r="587" spans="1:21" x14ac:dyDescent="0.2">
      <c r="A587">
        <v>912</v>
      </c>
      <c r="B587" t="s">
        <v>278</v>
      </c>
      <c r="C587" t="s">
        <v>24</v>
      </c>
      <c r="D587" t="s">
        <v>279</v>
      </c>
      <c r="J587" t="s">
        <v>280</v>
      </c>
      <c r="K587" s="3">
        <v>0</v>
      </c>
      <c r="L587" s="2">
        <v>0</v>
      </c>
      <c r="M587" s="2">
        <f>+K587-L587</f>
        <v>0</v>
      </c>
      <c r="N587" s="2">
        <v>0</v>
      </c>
      <c r="O587" s="2">
        <v>0</v>
      </c>
      <c r="P587" s="2">
        <v>0</v>
      </c>
      <c r="Q587" t="s">
        <v>33</v>
      </c>
      <c r="S587" t="s">
        <v>27</v>
      </c>
      <c r="T587" s="8">
        <v>46016</v>
      </c>
      <c r="U587" s="7">
        <v>0.97031250000000002</v>
      </c>
    </row>
    <row r="588" spans="1:21" x14ac:dyDescent="0.2">
      <c r="A588">
        <v>913</v>
      </c>
      <c r="B588" t="s">
        <v>34</v>
      </c>
      <c r="C588" t="s">
        <v>24</v>
      </c>
      <c r="J588" t="s">
        <v>76</v>
      </c>
      <c r="K588" s="3">
        <v>0</v>
      </c>
      <c r="L588" s="2">
        <v>0</v>
      </c>
      <c r="M588" s="2">
        <f>+K588-L588</f>
        <v>0</v>
      </c>
      <c r="N588" s="2">
        <v>0</v>
      </c>
      <c r="O588" s="2">
        <v>0</v>
      </c>
      <c r="P588" s="2">
        <v>0</v>
      </c>
      <c r="Q588" t="s">
        <v>33</v>
      </c>
      <c r="S588" t="s">
        <v>27</v>
      </c>
      <c r="T588" s="8">
        <v>46016</v>
      </c>
      <c r="U588" s="7">
        <v>0.97042824074074074</v>
      </c>
    </row>
    <row r="589" spans="1:21" x14ac:dyDescent="0.2">
      <c r="A589">
        <v>914</v>
      </c>
      <c r="B589" t="s">
        <v>275</v>
      </c>
      <c r="C589" t="s">
        <v>24</v>
      </c>
      <c r="D589" t="s">
        <v>276</v>
      </c>
      <c r="J589" t="s">
        <v>277</v>
      </c>
      <c r="K589" s="3">
        <v>0</v>
      </c>
      <c r="L589" s="2">
        <v>0</v>
      </c>
      <c r="M589" s="2">
        <f>+K589-L589</f>
        <v>0</v>
      </c>
      <c r="N589" s="2">
        <v>0</v>
      </c>
      <c r="O589" s="2">
        <v>0</v>
      </c>
      <c r="P589" s="2">
        <v>0</v>
      </c>
      <c r="Q589" t="s">
        <v>33</v>
      </c>
      <c r="S589" t="s">
        <v>27</v>
      </c>
      <c r="T589" s="8">
        <v>46016</v>
      </c>
      <c r="U589" s="7">
        <v>0.9714814814814815</v>
      </c>
    </row>
    <row r="590" spans="1:21" x14ac:dyDescent="0.2">
      <c r="A590">
        <v>915</v>
      </c>
      <c r="B590" t="s">
        <v>273</v>
      </c>
      <c r="C590" t="s">
        <v>24</v>
      </c>
      <c r="J590" t="s">
        <v>274</v>
      </c>
      <c r="K590" s="3">
        <v>0</v>
      </c>
      <c r="L590" s="2">
        <v>0</v>
      </c>
      <c r="M590" s="2">
        <f>+K590-L590</f>
        <v>0</v>
      </c>
      <c r="N590" s="2">
        <v>0</v>
      </c>
      <c r="O590" s="2">
        <v>0</v>
      </c>
      <c r="P590" s="2">
        <v>0</v>
      </c>
      <c r="Q590" t="s">
        <v>33</v>
      </c>
      <c r="S590" t="s">
        <v>27</v>
      </c>
      <c r="T590" s="8">
        <v>46016</v>
      </c>
      <c r="U590" s="7">
        <v>0.97163194444444445</v>
      </c>
    </row>
    <row r="591" spans="1:21" x14ac:dyDescent="0.2">
      <c r="A591">
        <v>916</v>
      </c>
      <c r="B591" t="s">
        <v>43</v>
      </c>
      <c r="C591" t="s">
        <v>24</v>
      </c>
      <c r="J591" t="s">
        <v>167</v>
      </c>
      <c r="K591" s="3">
        <v>169</v>
      </c>
      <c r="L591" s="2">
        <v>0</v>
      </c>
      <c r="M591" s="2">
        <f>+K591-L591</f>
        <v>169</v>
      </c>
      <c r="N591" s="2">
        <v>30.42</v>
      </c>
      <c r="O591" s="2">
        <v>-0.42</v>
      </c>
      <c r="P591" s="2">
        <v>199</v>
      </c>
      <c r="Q591" t="s">
        <v>40</v>
      </c>
      <c r="S591" t="s">
        <v>27</v>
      </c>
      <c r="T591" s="8">
        <v>46016</v>
      </c>
      <c r="U591" s="7">
        <v>0.97516203703703708</v>
      </c>
    </row>
    <row r="592" spans="1:21" x14ac:dyDescent="0.2">
      <c r="A592">
        <v>917</v>
      </c>
      <c r="B592" t="s">
        <v>23</v>
      </c>
      <c r="C592" t="s">
        <v>24</v>
      </c>
      <c r="J592" t="s">
        <v>272</v>
      </c>
      <c r="K592" s="3">
        <v>860</v>
      </c>
      <c r="L592" s="2">
        <v>0</v>
      </c>
      <c r="M592" s="2">
        <f>+K592-L592</f>
        <v>860</v>
      </c>
      <c r="N592" s="2">
        <v>43</v>
      </c>
      <c r="O592" s="2">
        <v>0</v>
      </c>
      <c r="P592" s="2">
        <v>903</v>
      </c>
      <c r="Q592" t="s">
        <v>40</v>
      </c>
      <c r="S592" t="s">
        <v>27</v>
      </c>
      <c r="T592" s="8">
        <v>46017</v>
      </c>
      <c r="U592" s="7">
        <v>0.61083333333333334</v>
      </c>
    </row>
    <row r="593" spans="1:21" x14ac:dyDescent="0.2">
      <c r="A593">
        <v>918</v>
      </c>
      <c r="B593" t="s">
        <v>43</v>
      </c>
      <c r="C593" t="s">
        <v>24</v>
      </c>
      <c r="J593" t="s">
        <v>271</v>
      </c>
      <c r="K593" s="3">
        <v>1565</v>
      </c>
      <c r="L593" s="2">
        <v>0</v>
      </c>
      <c r="M593" s="2">
        <f>+K593-L593</f>
        <v>1565</v>
      </c>
      <c r="N593" s="2">
        <v>78.260000000000005</v>
      </c>
      <c r="O593" s="2">
        <v>-0.26</v>
      </c>
      <c r="P593" s="2">
        <v>1643</v>
      </c>
      <c r="Q593" t="s">
        <v>30</v>
      </c>
      <c r="S593" t="s">
        <v>27</v>
      </c>
      <c r="T593" s="8">
        <v>46017</v>
      </c>
      <c r="U593" s="7">
        <v>0.62268518518518523</v>
      </c>
    </row>
    <row r="594" spans="1:21" x14ac:dyDescent="0.2">
      <c r="A594">
        <v>919</v>
      </c>
      <c r="B594" t="s">
        <v>102</v>
      </c>
      <c r="C594" t="s">
        <v>24</v>
      </c>
      <c r="J594" t="s">
        <v>270</v>
      </c>
      <c r="K594" s="3">
        <v>570</v>
      </c>
      <c r="L594" s="2">
        <v>0</v>
      </c>
      <c r="M594" s="2">
        <f>+K594-L594</f>
        <v>570</v>
      </c>
      <c r="N594" s="2">
        <v>28.5</v>
      </c>
      <c r="O594" s="2">
        <v>0.5</v>
      </c>
      <c r="P594" s="2">
        <v>599</v>
      </c>
      <c r="Q594" t="s">
        <v>40</v>
      </c>
      <c r="S594" t="s">
        <v>27</v>
      </c>
      <c r="T594" s="8">
        <v>46017</v>
      </c>
      <c r="U594" s="7">
        <v>0.65707175925925931</v>
      </c>
    </row>
    <row r="595" spans="1:21" x14ac:dyDescent="0.2">
      <c r="A595">
        <v>920</v>
      </c>
      <c r="B595" t="s">
        <v>50</v>
      </c>
      <c r="C595" t="s">
        <v>24</v>
      </c>
      <c r="J595" t="s">
        <v>269</v>
      </c>
      <c r="K595" s="3">
        <v>1375</v>
      </c>
      <c r="L595" s="2">
        <v>0</v>
      </c>
      <c r="M595" s="2">
        <f>+K595-L595</f>
        <v>1375</v>
      </c>
      <c r="N595" s="2">
        <v>68.760000000000005</v>
      </c>
      <c r="O595" s="2">
        <v>0.24</v>
      </c>
      <c r="P595" s="2">
        <v>1444</v>
      </c>
      <c r="Q595" t="s">
        <v>40</v>
      </c>
      <c r="S595" t="s">
        <v>27</v>
      </c>
      <c r="T595" s="8">
        <v>46017</v>
      </c>
      <c r="U595" s="7">
        <v>0.6587615740740741</v>
      </c>
    </row>
    <row r="596" spans="1:21" x14ac:dyDescent="0.2">
      <c r="A596">
        <v>921</v>
      </c>
      <c r="B596" t="s">
        <v>58</v>
      </c>
      <c r="C596" t="s">
        <v>24</v>
      </c>
      <c r="J596" t="s">
        <v>268</v>
      </c>
      <c r="K596" s="3">
        <v>1665</v>
      </c>
      <c r="L596" s="2">
        <v>0</v>
      </c>
      <c r="M596" s="2">
        <f>+K596-L596</f>
        <v>1665</v>
      </c>
      <c r="N596" s="2">
        <v>83.26</v>
      </c>
      <c r="O596" s="2">
        <v>-0.26</v>
      </c>
      <c r="P596" s="2">
        <v>1748</v>
      </c>
      <c r="Q596" t="s">
        <v>40</v>
      </c>
      <c r="S596" t="s">
        <v>27</v>
      </c>
      <c r="T596" s="8">
        <v>46017</v>
      </c>
      <c r="U596" s="7">
        <v>0.66446759259259258</v>
      </c>
    </row>
    <row r="597" spans="1:21" x14ac:dyDescent="0.2">
      <c r="A597">
        <v>922</v>
      </c>
      <c r="B597" t="s">
        <v>52</v>
      </c>
      <c r="C597" t="s">
        <v>24</v>
      </c>
      <c r="J597" t="s">
        <v>267</v>
      </c>
      <c r="K597" s="3">
        <v>1385</v>
      </c>
      <c r="L597" s="2">
        <v>0</v>
      </c>
      <c r="M597" s="2">
        <f>+K597-L597</f>
        <v>1385</v>
      </c>
      <c r="N597" s="2">
        <v>69.260000000000005</v>
      </c>
      <c r="O597" s="2">
        <v>-0.26</v>
      </c>
      <c r="P597" s="2">
        <v>1454</v>
      </c>
      <c r="Q597" t="s">
        <v>40</v>
      </c>
      <c r="S597" t="s">
        <v>27</v>
      </c>
      <c r="T597" s="8">
        <v>46017</v>
      </c>
      <c r="U597" s="7">
        <v>0.66946759259259259</v>
      </c>
    </row>
    <row r="598" spans="1:21" x14ac:dyDescent="0.2">
      <c r="A598">
        <v>923</v>
      </c>
      <c r="B598" t="s">
        <v>23</v>
      </c>
      <c r="C598" t="s">
        <v>24</v>
      </c>
      <c r="J598" t="s">
        <v>266</v>
      </c>
      <c r="K598" s="3">
        <v>1259</v>
      </c>
      <c r="L598" s="2">
        <v>0</v>
      </c>
      <c r="M598" s="2">
        <f>+K598-L598</f>
        <v>1259</v>
      </c>
      <c r="N598" s="2">
        <v>59.96</v>
      </c>
      <c r="O598" s="2">
        <v>0.04</v>
      </c>
      <c r="P598" s="2">
        <v>1319</v>
      </c>
      <c r="Q598" t="s">
        <v>40</v>
      </c>
      <c r="S598" t="s">
        <v>27</v>
      </c>
      <c r="T598" s="8">
        <v>46017</v>
      </c>
      <c r="U598" s="7">
        <v>0.68604166666666666</v>
      </c>
    </row>
    <row r="599" spans="1:21" x14ac:dyDescent="0.2">
      <c r="A599">
        <v>924</v>
      </c>
      <c r="B599" t="s">
        <v>47</v>
      </c>
      <c r="C599" t="s">
        <v>24</v>
      </c>
      <c r="J599" t="s">
        <v>265</v>
      </c>
      <c r="K599" s="3">
        <v>720</v>
      </c>
      <c r="L599" s="2">
        <v>0</v>
      </c>
      <c r="M599" s="2">
        <f>+K599-L599</f>
        <v>720</v>
      </c>
      <c r="N599" s="2">
        <v>36</v>
      </c>
      <c r="O599" s="2">
        <v>0</v>
      </c>
      <c r="P599" s="2">
        <v>756</v>
      </c>
      <c r="Q599" t="s">
        <v>40</v>
      </c>
      <c r="S599" t="s">
        <v>27</v>
      </c>
      <c r="T599" s="8">
        <v>46017</v>
      </c>
      <c r="U599" s="7">
        <v>0.70627314814814812</v>
      </c>
    </row>
    <row r="600" spans="1:21" x14ac:dyDescent="0.2">
      <c r="A600">
        <v>925</v>
      </c>
      <c r="B600" t="s">
        <v>43</v>
      </c>
      <c r="C600" t="s">
        <v>24</v>
      </c>
      <c r="J600" t="s">
        <v>264</v>
      </c>
      <c r="K600" s="3">
        <v>1475</v>
      </c>
      <c r="L600" s="2">
        <v>221.25</v>
      </c>
      <c r="M600" s="2">
        <f>+K600-L600</f>
        <v>1253.75</v>
      </c>
      <c r="N600" s="2">
        <v>62.68</v>
      </c>
      <c r="O600" s="2">
        <v>-0.43</v>
      </c>
      <c r="P600" s="2">
        <v>1316</v>
      </c>
      <c r="Q600" t="s">
        <v>40</v>
      </c>
      <c r="S600" t="s">
        <v>27</v>
      </c>
      <c r="T600" s="8">
        <v>46017</v>
      </c>
      <c r="U600" s="7">
        <v>0.72063657407407411</v>
      </c>
    </row>
    <row r="601" spans="1:21" x14ac:dyDescent="0.2">
      <c r="A601">
        <v>926</v>
      </c>
      <c r="B601" t="s">
        <v>58</v>
      </c>
      <c r="C601" t="s">
        <v>24</v>
      </c>
      <c r="J601" t="s">
        <v>71</v>
      </c>
      <c r="K601" s="3">
        <v>60</v>
      </c>
      <c r="L601" s="2">
        <v>0</v>
      </c>
      <c r="M601" s="2">
        <f>+K601-L601</f>
        <v>60</v>
      </c>
      <c r="N601" s="2">
        <v>0</v>
      </c>
      <c r="O601" s="2">
        <v>0</v>
      </c>
      <c r="P601" s="2">
        <v>60</v>
      </c>
      <c r="Q601" t="s">
        <v>33</v>
      </c>
      <c r="S601" t="s">
        <v>27</v>
      </c>
      <c r="T601" s="8">
        <v>46017</v>
      </c>
      <c r="U601" s="7">
        <v>0.72755787037037034</v>
      </c>
    </row>
    <row r="602" spans="1:21" x14ac:dyDescent="0.2">
      <c r="A602">
        <v>927</v>
      </c>
      <c r="B602" t="s">
        <v>47</v>
      </c>
      <c r="C602" t="s">
        <v>24</v>
      </c>
      <c r="J602" t="s">
        <v>263</v>
      </c>
      <c r="K602" s="3">
        <v>1090</v>
      </c>
      <c r="L602" s="2">
        <v>0</v>
      </c>
      <c r="M602" s="2">
        <f>+K602-L602</f>
        <v>1090</v>
      </c>
      <c r="N602" s="2">
        <v>54.5</v>
      </c>
      <c r="O602" s="2">
        <v>0.5</v>
      </c>
      <c r="P602" s="2">
        <v>1145</v>
      </c>
      <c r="Q602" t="s">
        <v>40</v>
      </c>
      <c r="S602" t="s">
        <v>27</v>
      </c>
      <c r="T602" s="8">
        <v>46017</v>
      </c>
      <c r="U602" s="7">
        <v>0.75604166666666661</v>
      </c>
    </row>
    <row r="603" spans="1:21" x14ac:dyDescent="0.2">
      <c r="A603">
        <v>928</v>
      </c>
      <c r="B603" t="s">
        <v>54</v>
      </c>
      <c r="C603" t="s">
        <v>24</v>
      </c>
      <c r="J603" t="s">
        <v>262</v>
      </c>
      <c r="K603" s="3">
        <v>1170</v>
      </c>
      <c r="L603" s="2">
        <v>0</v>
      </c>
      <c r="M603" s="2">
        <f>+K603-L603</f>
        <v>1170</v>
      </c>
      <c r="N603" s="2">
        <v>58.5</v>
      </c>
      <c r="O603" s="2">
        <v>0.5</v>
      </c>
      <c r="P603" s="2">
        <v>1229</v>
      </c>
      <c r="Q603" t="s">
        <v>33</v>
      </c>
      <c r="S603" t="s">
        <v>27</v>
      </c>
      <c r="T603" s="8">
        <v>46017</v>
      </c>
      <c r="U603" s="7">
        <v>0.770625</v>
      </c>
    </row>
    <row r="604" spans="1:21" x14ac:dyDescent="0.2">
      <c r="A604">
        <v>929</v>
      </c>
      <c r="B604" t="s">
        <v>45</v>
      </c>
      <c r="C604" t="s">
        <v>24</v>
      </c>
      <c r="J604" t="s">
        <v>261</v>
      </c>
      <c r="K604" s="3">
        <v>770</v>
      </c>
      <c r="L604" s="2">
        <v>0</v>
      </c>
      <c r="M604" s="2">
        <f>+K604-L604</f>
        <v>770</v>
      </c>
      <c r="N604" s="2">
        <v>38.5</v>
      </c>
      <c r="O604" s="2">
        <v>0.5</v>
      </c>
      <c r="P604" s="2">
        <v>809</v>
      </c>
      <c r="Q604" t="s">
        <v>33</v>
      </c>
      <c r="S604" t="s">
        <v>27</v>
      </c>
      <c r="T604" s="8">
        <v>46017</v>
      </c>
      <c r="U604" s="7">
        <v>0.77107638888888885</v>
      </c>
    </row>
    <row r="605" spans="1:21" x14ac:dyDescent="0.2">
      <c r="A605">
        <v>930</v>
      </c>
      <c r="B605" t="s">
        <v>23</v>
      </c>
      <c r="C605" t="s">
        <v>24</v>
      </c>
      <c r="J605" t="s">
        <v>260</v>
      </c>
      <c r="K605" s="3">
        <v>990</v>
      </c>
      <c r="L605" s="2">
        <v>0</v>
      </c>
      <c r="M605" s="2">
        <f>+K605-L605</f>
        <v>990</v>
      </c>
      <c r="N605" s="2">
        <v>49.5</v>
      </c>
      <c r="O605" s="2">
        <v>0.5</v>
      </c>
      <c r="P605" s="2">
        <v>1040</v>
      </c>
      <c r="Q605" t="s">
        <v>33</v>
      </c>
      <c r="S605" t="s">
        <v>27</v>
      </c>
      <c r="T605" s="8">
        <v>46017</v>
      </c>
      <c r="U605" s="7">
        <v>0.77400462962962968</v>
      </c>
    </row>
    <row r="606" spans="1:21" x14ac:dyDescent="0.2">
      <c r="A606">
        <v>931</v>
      </c>
      <c r="B606" t="s">
        <v>70</v>
      </c>
      <c r="C606" t="s">
        <v>24</v>
      </c>
      <c r="J606" t="s">
        <v>200</v>
      </c>
      <c r="K606" s="3">
        <v>345</v>
      </c>
      <c r="L606" s="2">
        <v>0</v>
      </c>
      <c r="M606" s="2">
        <f>+K606-L606</f>
        <v>345</v>
      </c>
      <c r="N606" s="2">
        <v>17.260000000000002</v>
      </c>
      <c r="O606" s="2">
        <v>-0.26</v>
      </c>
      <c r="P606" s="2">
        <v>362</v>
      </c>
      <c r="Q606" t="s">
        <v>30</v>
      </c>
      <c r="S606" t="s">
        <v>27</v>
      </c>
      <c r="T606" s="8">
        <v>46017</v>
      </c>
      <c r="U606" s="7">
        <v>0.77726851851851853</v>
      </c>
    </row>
    <row r="607" spans="1:21" x14ac:dyDescent="0.2">
      <c r="A607">
        <v>932</v>
      </c>
      <c r="B607" t="s">
        <v>52</v>
      </c>
      <c r="C607" t="s">
        <v>24</v>
      </c>
      <c r="J607" t="s">
        <v>259</v>
      </c>
      <c r="K607" s="3">
        <v>1735</v>
      </c>
      <c r="L607" s="2">
        <v>0</v>
      </c>
      <c r="M607" s="2">
        <f>+K607-L607</f>
        <v>1735</v>
      </c>
      <c r="N607" s="2">
        <v>83.76</v>
      </c>
      <c r="O607" s="2">
        <v>0.24</v>
      </c>
      <c r="P607" s="2">
        <v>1819</v>
      </c>
      <c r="Q607" t="s">
        <v>26</v>
      </c>
      <c r="S607" t="s">
        <v>27</v>
      </c>
      <c r="T607" s="8">
        <v>46017</v>
      </c>
      <c r="U607" s="7">
        <v>0.77832175925925928</v>
      </c>
    </row>
    <row r="608" spans="1:21" x14ac:dyDescent="0.2">
      <c r="A608">
        <v>933</v>
      </c>
      <c r="B608" t="s">
        <v>47</v>
      </c>
      <c r="C608" t="s">
        <v>24</v>
      </c>
      <c r="J608" t="s">
        <v>1211</v>
      </c>
      <c r="K608" s="3">
        <v>2100</v>
      </c>
      <c r="L608" s="2">
        <v>210</v>
      </c>
      <c r="M608" s="2">
        <f>+K608-L608</f>
        <v>1890</v>
      </c>
      <c r="N608" s="2">
        <v>94.5</v>
      </c>
      <c r="O608" s="2">
        <v>0.5</v>
      </c>
      <c r="P608" s="2">
        <v>1985</v>
      </c>
      <c r="Q608" t="s">
        <v>30</v>
      </c>
      <c r="S608" t="s">
        <v>27</v>
      </c>
      <c r="T608" s="8">
        <v>46017</v>
      </c>
      <c r="U608" s="7">
        <v>0.78937500000000005</v>
      </c>
    </row>
    <row r="609" spans="1:21" x14ac:dyDescent="0.2">
      <c r="A609">
        <v>934</v>
      </c>
      <c r="B609" t="s">
        <v>47</v>
      </c>
      <c r="C609" t="s">
        <v>24</v>
      </c>
      <c r="J609" t="s">
        <v>258</v>
      </c>
      <c r="K609" s="3">
        <v>1250</v>
      </c>
      <c r="L609" s="2">
        <v>0</v>
      </c>
      <c r="M609" s="2">
        <f>+K609-L609</f>
        <v>1250</v>
      </c>
      <c r="N609" s="2">
        <v>62.5</v>
      </c>
      <c r="O609" s="2">
        <v>0.5</v>
      </c>
      <c r="P609" s="2">
        <v>1313</v>
      </c>
      <c r="Q609" t="s">
        <v>40</v>
      </c>
      <c r="S609" t="s">
        <v>27</v>
      </c>
      <c r="T609" s="8">
        <v>46017</v>
      </c>
      <c r="U609" s="7">
        <v>0.89429398148148154</v>
      </c>
    </row>
    <row r="610" spans="1:21" x14ac:dyDescent="0.2">
      <c r="A610">
        <v>935</v>
      </c>
      <c r="B610" t="s">
        <v>256</v>
      </c>
      <c r="C610" t="s">
        <v>24</v>
      </c>
      <c r="J610" t="s">
        <v>257</v>
      </c>
      <c r="K610" s="3">
        <v>815</v>
      </c>
      <c r="L610" s="2">
        <v>0</v>
      </c>
      <c r="M610" s="2">
        <f>+K610-L610</f>
        <v>815</v>
      </c>
      <c r="N610" s="2">
        <v>40.76</v>
      </c>
      <c r="O610" s="2">
        <v>0.24</v>
      </c>
      <c r="P610" s="2">
        <v>856</v>
      </c>
      <c r="Q610" t="s">
        <v>40</v>
      </c>
      <c r="S610" t="s">
        <v>27</v>
      </c>
      <c r="T610" s="8">
        <v>46017</v>
      </c>
      <c r="U610" s="7">
        <v>0.91788194444444449</v>
      </c>
    </row>
    <row r="611" spans="1:21" x14ac:dyDescent="0.2">
      <c r="A611">
        <v>936</v>
      </c>
      <c r="B611" t="s">
        <v>176</v>
      </c>
      <c r="C611" t="s">
        <v>24</v>
      </c>
      <c r="J611" t="s">
        <v>177</v>
      </c>
      <c r="K611" s="3">
        <v>425</v>
      </c>
      <c r="L611" s="2">
        <v>0</v>
      </c>
      <c r="M611" s="2">
        <f>+K611-L611</f>
        <v>425</v>
      </c>
      <c r="N611" s="2">
        <v>21.26</v>
      </c>
      <c r="O611" s="2">
        <v>-0.26</v>
      </c>
      <c r="P611" s="2">
        <v>446</v>
      </c>
      <c r="Q611" t="s">
        <v>40</v>
      </c>
      <c r="S611" t="s">
        <v>27</v>
      </c>
      <c r="T611" s="8">
        <v>46017</v>
      </c>
      <c r="U611" s="7">
        <v>0.93138888888888893</v>
      </c>
    </row>
    <row r="612" spans="1:21" x14ac:dyDescent="0.2">
      <c r="A612">
        <v>937</v>
      </c>
      <c r="B612" t="s">
        <v>93</v>
      </c>
      <c r="C612" t="s">
        <v>24</v>
      </c>
      <c r="J612" t="s">
        <v>94</v>
      </c>
      <c r="K612" s="3">
        <v>165</v>
      </c>
      <c r="L612" s="2">
        <v>0</v>
      </c>
      <c r="M612" s="2">
        <f>+K612-L612</f>
        <v>165</v>
      </c>
      <c r="N612" s="2">
        <v>8.26</v>
      </c>
      <c r="O612" s="2">
        <v>-0.26</v>
      </c>
      <c r="P612" s="2">
        <v>173</v>
      </c>
      <c r="Q612" t="s">
        <v>40</v>
      </c>
      <c r="S612" t="s">
        <v>27</v>
      </c>
      <c r="T612" s="8">
        <v>46017</v>
      </c>
      <c r="U612" s="7">
        <v>0.93141203703703701</v>
      </c>
    </row>
    <row r="613" spans="1:21" x14ac:dyDescent="0.2">
      <c r="A613">
        <v>938</v>
      </c>
      <c r="B613" t="s">
        <v>254</v>
      </c>
      <c r="C613" t="s">
        <v>24</v>
      </c>
      <c r="J613" t="s">
        <v>255</v>
      </c>
      <c r="K613" s="3">
        <v>965</v>
      </c>
      <c r="L613" s="2">
        <v>96.5</v>
      </c>
      <c r="M613" s="2">
        <f>+K613-L613</f>
        <v>868.5</v>
      </c>
      <c r="N613" s="2">
        <v>43.42</v>
      </c>
      <c r="O613" s="2">
        <v>0.08</v>
      </c>
      <c r="P613" s="2">
        <v>912</v>
      </c>
      <c r="Q613" t="s">
        <v>40</v>
      </c>
      <c r="S613" t="s">
        <v>27</v>
      </c>
      <c r="T613" s="8">
        <v>46017</v>
      </c>
      <c r="U613" s="7">
        <v>0.93344907407407407</v>
      </c>
    </row>
    <row r="614" spans="1:21" x14ac:dyDescent="0.2">
      <c r="A614">
        <v>939</v>
      </c>
      <c r="B614" t="s">
        <v>251</v>
      </c>
      <c r="C614" t="s">
        <v>24</v>
      </c>
      <c r="D614" t="s">
        <v>252</v>
      </c>
      <c r="J614" t="s">
        <v>253</v>
      </c>
      <c r="K614" s="3">
        <v>1264</v>
      </c>
      <c r="L614" s="2">
        <v>0</v>
      </c>
      <c r="M614" s="2">
        <f>+K614-L614</f>
        <v>1264</v>
      </c>
      <c r="N614" s="2">
        <v>94.92</v>
      </c>
      <c r="O614" s="2">
        <v>0.08</v>
      </c>
      <c r="P614" s="2">
        <v>1359</v>
      </c>
      <c r="Q614" t="s">
        <v>40</v>
      </c>
      <c r="S614" t="s">
        <v>27</v>
      </c>
      <c r="T614" s="8">
        <v>46017</v>
      </c>
      <c r="U614" s="7">
        <v>0.93361111111111106</v>
      </c>
    </row>
    <row r="615" spans="1:21" x14ac:dyDescent="0.2">
      <c r="A615">
        <v>940</v>
      </c>
      <c r="B615" t="s">
        <v>249</v>
      </c>
      <c r="C615" t="s">
        <v>24</v>
      </c>
      <c r="J615" t="s">
        <v>250</v>
      </c>
      <c r="K615" s="3">
        <v>668</v>
      </c>
      <c r="L615" s="2">
        <v>0</v>
      </c>
      <c r="M615" s="2">
        <f>+K615-L615</f>
        <v>668</v>
      </c>
      <c r="N615" s="2">
        <v>28.5</v>
      </c>
      <c r="O615" s="2">
        <v>0.5</v>
      </c>
      <c r="P615" s="2">
        <v>697</v>
      </c>
      <c r="Q615" t="s">
        <v>40</v>
      </c>
      <c r="S615" t="s">
        <v>27</v>
      </c>
      <c r="T615" s="8">
        <v>46017</v>
      </c>
      <c r="U615" s="7">
        <v>0.93475694444444446</v>
      </c>
    </row>
    <row r="616" spans="1:21" x14ac:dyDescent="0.2">
      <c r="A616">
        <v>941</v>
      </c>
      <c r="B616" t="s">
        <v>47</v>
      </c>
      <c r="C616" t="s">
        <v>24</v>
      </c>
      <c r="J616" t="s">
        <v>248</v>
      </c>
      <c r="K616" s="3">
        <v>845</v>
      </c>
      <c r="L616" s="2">
        <v>0</v>
      </c>
      <c r="M616" s="2">
        <f>+K616-L616</f>
        <v>845</v>
      </c>
      <c r="N616" s="2">
        <v>42.26</v>
      </c>
      <c r="O616" s="2">
        <v>-0.26</v>
      </c>
      <c r="P616" s="2">
        <v>887</v>
      </c>
      <c r="Q616" t="s">
        <v>30</v>
      </c>
      <c r="S616" t="s">
        <v>27</v>
      </c>
      <c r="T616" s="8">
        <v>46017</v>
      </c>
      <c r="U616" s="7">
        <v>0.93723379629629633</v>
      </c>
    </row>
    <row r="617" spans="1:21" x14ac:dyDescent="0.2">
      <c r="A617">
        <v>942</v>
      </c>
      <c r="B617" t="s">
        <v>245</v>
      </c>
      <c r="C617" t="s">
        <v>24</v>
      </c>
      <c r="D617" t="s">
        <v>246</v>
      </c>
      <c r="J617" t="s">
        <v>247</v>
      </c>
      <c r="K617" s="3">
        <v>547</v>
      </c>
      <c r="L617" s="2">
        <v>0</v>
      </c>
      <c r="M617" s="2">
        <f>+K617-L617</f>
        <v>547</v>
      </c>
      <c r="N617" s="2">
        <v>43.22</v>
      </c>
      <c r="O617" s="2">
        <v>-0.22</v>
      </c>
      <c r="P617" s="2">
        <v>590</v>
      </c>
      <c r="Q617" t="s">
        <v>40</v>
      </c>
      <c r="S617" t="s">
        <v>27</v>
      </c>
      <c r="T617" s="8">
        <v>46017</v>
      </c>
      <c r="U617" s="7">
        <v>0.94241898148148151</v>
      </c>
    </row>
    <row r="618" spans="1:21" x14ac:dyDescent="0.2">
      <c r="A618">
        <v>943</v>
      </c>
      <c r="B618" t="s">
        <v>43</v>
      </c>
      <c r="C618" t="s">
        <v>24</v>
      </c>
      <c r="J618" t="s">
        <v>244</v>
      </c>
      <c r="K618" s="3">
        <v>122</v>
      </c>
      <c r="L618" s="2">
        <v>0</v>
      </c>
      <c r="M618" s="2">
        <f>+K618-L618</f>
        <v>122</v>
      </c>
      <c r="N618" s="2">
        <v>21.96</v>
      </c>
      <c r="O618" s="2">
        <v>0.04</v>
      </c>
      <c r="P618" s="2">
        <v>144</v>
      </c>
      <c r="Q618" t="s">
        <v>40</v>
      </c>
      <c r="S618" t="s">
        <v>27</v>
      </c>
      <c r="T618" s="8">
        <v>46017</v>
      </c>
      <c r="U618" s="7">
        <v>0.94453703703703706</v>
      </c>
    </row>
    <row r="619" spans="1:21" x14ac:dyDescent="0.2">
      <c r="A619">
        <v>944</v>
      </c>
      <c r="B619" t="s">
        <v>43</v>
      </c>
      <c r="C619" t="s">
        <v>24</v>
      </c>
      <c r="J619" t="s">
        <v>243</v>
      </c>
      <c r="K619" s="3">
        <v>280</v>
      </c>
      <c r="L619" s="2">
        <v>0</v>
      </c>
      <c r="M619" s="2">
        <f>+K619-L619</f>
        <v>280</v>
      </c>
      <c r="N619" s="2">
        <v>14</v>
      </c>
      <c r="O619" s="2">
        <v>0</v>
      </c>
      <c r="P619" s="2">
        <v>294</v>
      </c>
      <c r="Q619" t="s">
        <v>40</v>
      </c>
      <c r="S619" t="s">
        <v>27</v>
      </c>
      <c r="T619" s="8">
        <v>46017</v>
      </c>
      <c r="U619" s="7">
        <v>0.94718749999999996</v>
      </c>
    </row>
    <row r="620" spans="1:21" x14ac:dyDescent="0.2">
      <c r="A620">
        <v>945</v>
      </c>
      <c r="B620" t="s">
        <v>58</v>
      </c>
      <c r="C620" t="s">
        <v>24</v>
      </c>
      <c r="J620" t="s">
        <v>242</v>
      </c>
      <c r="K620" s="3">
        <v>380</v>
      </c>
      <c r="L620" s="2">
        <v>0</v>
      </c>
      <c r="M620" s="2">
        <f>+K620-L620</f>
        <v>380</v>
      </c>
      <c r="N620" s="2">
        <v>19</v>
      </c>
      <c r="O620" s="2">
        <v>0</v>
      </c>
      <c r="P620" s="2">
        <v>399</v>
      </c>
      <c r="Q620" t="s">
        <v>30</v>
      </c>
      <c r="S620" t="s">
        <v>27</v>
      </c>
      <c r="T620" s="8">
        <v>46017</v>
      </c>
      <c r="U620" s="7">
        <v>0.94765046296296296</v>
      </c>
    </row>
    <row r="621" spans="1:21" x14ac:dyDescent="0.2">
      <c r="A621">
        <v>946</v>
      </c>
      <c r="B621" t="s">
        <v>54</v>
      </c>
      <c r="C621" t="s">
        <v>24</v>
      </c>
      <c r="J621" t="s">
        <v>241</v>
      </c>
      <c r="K621" s="3">
        <v>2167</v>
      </c>
      <c r="L621" s="2">
        <v>0</v>
      </c>
      <c r="M621" s="2">
        <f>+K621-L621</f>
        <v>2167</v>
      </c>
      <c r="N621" s="2">
        <v>203.52</v>
      </c>
      <c r="O621" s="2">
        <v>0.48</v>
      </c>
      <c r="P621" s="2">
        <v>2371</v>
      </c>
      <c r="Q621" t="s">
        <v>30</v>
      </c>
      <c r="S621" t="s">
        <v>27</v>
      </c>
      <c r="T621" s="8">
        <v>46017</v>
      </c>
      <c r="U621" s="7">
        <v>0.94847222222222227</v>
      </c>
    </row>
    <row r="622" spans="1:21" x14ac:dyDescent="0.2">
      <c r="A622">
        <v>947</v>
      </c>
      <c r="B622" t="s">
        <v>239</v>
      </c>
      <c r="C622" t="s">
        <v>24</v>
      </c>
      <c r="J622" t="s">
        <v>240</v>
      </c>
      <c r="K622" s="3">
        <v>1135</v>
      </c>
      <c r="L622" s="2">
        <v>0</v>
      </c>
      <c r="M622" s="2">
        <f>+K622-L622</f>
        <v>1135</v>
      </c>
      <c r="N622" s="2">
        <v>56.76</v>
      </c>
      <c r="O622" s="2">
        <v>0.24</v>
      </c>
      <c r="P622" s="2">
        <v>1192</v>
      </c>
      <c r="Q622" t="s">
        <v>40</v>
      </c>
      <c r="S622" t="s">
        <v>27</v>
      </c>
      <c r="T622" s="8">
        <v>46017</v>
      </c>
      <c r="U622" s="7">
        <v>0.95062500000000005</v>
      </c>
    </row>
    <row r="623" spans="1:21" x14ac:dyDescent="0.2">
      <c r="A623">
        <v>948</v>
      </c>
      <c r="B623" t="s">
        <v>237</v>
      </c>
      <c r="C623" t="s">
        <v>24</v>
      </c>
      <c r="J623" t="s">
        <v>238</v>
      </c>
      <c r="K623" s="3">
        <v>955</v>
      </c>
      <c r="L623" s="2">
        <v>0</v>
      </c>
      <c r="M623" s="2">
        <f>+K623-L623</f>
        <v>955</v>
      </c>
      <c r="N623" s="2">
        <v>47.76</v>
      </c>
      <c r="O623" s="2">
        <v>0.24</v>
      </c>
      <c r="P623" s="2">
        <v>1003</v>
      </c>
      <c r="Q623" t="s">
        <v>33</v>
      </c>
      <c r="S623" t="s">
        <v>27</v>
      </c>
      <c r="T623" s="8">
        <v>46017</v>
      </c>
      <c r="U623" s="7">
        <v>0.95103009259259264</v>
      </c>
    </row>
    <row r="624" spans="1:21" x14ac:dyDescent="0.2">
      <c r="A624">
        <v>949</v>
      </c>
      <c r="B624" t="s">
        <v>50</v>
      </c>
      <c r="C624" t="s">
        <v>24</v>
      </c>
      <c r="J624" t="s">
        <v>1210</v>
      </c>
      <c r="K624" s="3">
        <v>4610</v>
      </c>
      <c r="L624" s="2">
        <v>0</v>
      </c>
      <c r="M624" s="2">
        <f>+K624-L624</f>
        <v>4610</v>
      </c>
      <c r="N624" s="2">
        <v>230.5</v>
      </c>
      <c r="O624" s="2">
        <v>0.5</v>
      </c>
      <c r="P624" s="2">
        <v>4841</v>
      </c>
      <c r="Q624" t="s">
        <v>26</v>
      </c>
      <c r="S624" t="s">
        <v>27</v>
      </c>
      <c r="T624" s="8">
        <v>46017</v>
      </c>
      <c r="U624" s="7">
        <v>0.95461805555555557</v>
      </c>
    </row>
    <row r="625" spans="1:21" x14ac:dyDescent="0.2">
      <c r="A625">
        <v>950</v>
      </c>
      <c r="B625" t="s">
        <v>82</v>
      </c>
      <c r="C625" t="s">
        <v>24</v>
      </c>
      <c r="J625" t="s">
        <v>236</v>
      </c>
      <c r="K625" s="3">
        <v>1855</v>
      </c>
      <c r="L625" s="2">
        <v>0</v>
      </c>
      <c r="M625" s="2">
        <f>+K625-L625</f>
        <v>1855</v>
      </c>
      <c r="N625" s="2">
        <v>92.76</v>
      </c>
      <c r="O625" s="2">
        <v>0.24</v>
      </c>
      <c r="P625" s="2">
        <v>1948</v>
      </c>
      <c r="Q625" t="s">
        <v>30</v>
      </c>
      <c r="S625" t="s">
        <v>27</v>
      </c>
      <c r="T625" s="8">
        <v>46017</v>
      </c>
      <c r="U625" s="7">
        <v>0.95663194444444444</v>
      </c>
    </row>
    <row r="626" spans="1:21" x14ac:dyDescent="0.2">
      <c r="A626">
        <v>951</v>
      </c>
      <c r="B626" t="s">
        <v>31</v>
      </c>
      <c r="C626" t="s">
        <v>24</v>
      </c>
      <c r="J626" t="s">
        <v>235</v>
      </c>
      <c r="K626" s="3">
        <v>0</v>
      </c>
      <c r="L626" s="2">
        <v>0</v>
      </c>
      <c r="M626" s="2">
        <f>+K626-L626</f>
        <v>0</v>
      </c>
      <c r="N626" s="2">
        <v>0</v>
      </c>
      <c r="O626" s="2">
        <v>0</v>
      </c>
      <c r="P626" s="2">
        <v>0</v>
      </c>
      <c r="Q626" t="s">
        <v>33</v>
      </c>
      <c r="S626" t="s">
        <v>27</v>
      </c>
      <c r="T626" s="8">
        <v>46017</v>
      </c>
      <c r="U626" s="7">
        <v>0.95777777777777773</v>
      </c>
    </row>
    <row r="627" spans="1:21" x14ac:dyDescent="0.2">
      <c r="A627">
        <v>952</v>
      </c>
      <c r="B627" t="s">
        <v>102</v>
      </c>
      <c r="C627" t="s">
        <v>24</v>
      </c>
      <c r="J627" t="s">
        <v>214</v>
      </c>
      <c r="K627" s="3">
        <v>295</v>
      </c>
      <c r="L627" s="2">
        <v>0</v>
      </c>
      <c r="M627" s="2">
        <f>+K627-L627</f>
        <v>295</v>
      </c>
      <c r="N627" s="2">
        <v>14.76</v>
      </c>
      <c r="O627" s="2">
        <v>0.24</v>
      </c>
      <c r="P627" s="2">
        <v>310</v>
      </c>
      <c r="Q627" t="s">
        <v>40</v>
      </c>
      <c r="S627" t="s">
        <v>27</v>
      </c>
      <c r="T627" s="8">
        <v>46017</v>
      </c>
      <c r="U627" s="7">
        <v>0.96337962962962964</v>
      </c>
    </row>
    <row r="628" spans="1:21" x14ac:dyDescent="0.2">
      <c r="A628">
        <v>953</v>
      </c>
      <c r="B628" t="s">
        <v>78</v>
      </c>
      <c r="C628" t="s">
        <v>24</v>
      </c>
      <c r="J628" t="s">
        <v>234</v>
      </c>
      <c r="K628" s="3">
        <v>1075</v>
      </c>
      <c r="L628" s="2">
        <v>0</v>
      </c>
      <c r="M628" s="2">
        <f>+K628-L628</f>
        <v>1075</v>
      </c>
      <c r="N628" s="2">
        <v>53.76</v>
      </c>
      <c r="O628" s="2">
        <v>0.24</v>
      </c>
      <c r="P628" s="2">
        <v>1129</v>
      </c>
      <c r="Q628" t="s">
        <v>30</v>
      </c>
      <c r="S628" t="s">
        <v>27</v>
      </c>
      <c r="T628" s="8">
        <v>46017</v>
      </c>
      <c r="U628" s="7">
        <v>0.96467592592592588</v>
      </c>
    </row>
    <row r="629" spans="1:21" x14ac:dyDescent="0.2">
      <c r="A629">
        <v>954</v>
      </c>
      <c r="B629" t="s">
        <v>145</v>
      </c>
      <c r="C629" t="s">
        <v>24</v>
      </c>
      <c r="J629" t="s">
        <v>233</v>
      </c>
      <c r="K629" s="3">
        <v>0</v>
      </c>
      <c r="L629" s="2">
        <v>0</v>
      </c>
      <c r="M629" s="2">
        <f>+K629-L629</f>
        <v>0</v>
      </c>
      <c r="N629" s="2">
        <v>0</v>
      </c>
      <c r="O629" s="2">
        <v>0</v>
      </c>
      <c r="P629" s="2">
        <v>0</v>
      </c>
      <c r="Q629" t="s">
        <v>33</v>
      </c>
      <c r="S629" t="s">
        <v>27</v>
      </c>
      <c r="T629" s="8">
        <v>46017</v>
      </c>
      <c r="U629" s="7">
        <v>0.96644675925925927</v>
      </c>
    </row>
    <row r="630" spans="1:21" x14ac:dyDescent="0.2">
      <c r="A630">
        <v>955</v>
      </c>
      <c r="B630" t="s">
        <v>52</v>
      </c>
      <c r="C630" t="s">
        <v>24</v>
      </c>
      <c r="J630" t="s">
        <v>232</v>
      </c>
      <c r="K630" s="3">
        <v>1730</v>
      </c>
      <c r="L630" s="2">
        <v>259.5</v>
      </c>
      <c r="M630" s="2">
        <f>+K630-L630</f>
        <v>1470.5</v>
      </c>
      <c r="N630" s="2">
        <v>73.52</v>
      </c>
      <c r="O630" s="2">
        <v>-0.02</v>
      </c>
      <c r="P630" s="2">
        <v>1544</v>
      </c>
      <c r="Q630" t="s">
        <v>30</v>
      </c>
      <c r="S630" t="s">
        <v>27</v>
      </c>
      <c r="T630" s="8">
        <v>46018</v>
      </c>
      <c r="U630" s="7">
        <v>0.56018518518518523</v>
      </c>
    </row>
    <row r="631" spans="1:21" x14ac:dyDescent="0.2">
      <c r="A631">
        <v>956</v>
      </c>
      <c r="B631" t="s">
        <v>41</v>
      </c>
      <c r="C631" t="s">
        <v>24</v>
      </c>
      <c r="J631" t="s">
        <v>231</v>
      </c>
      <c r="K631" s="3">
        <v>1370</v>
      </c>
      <c r="L631" s="2">
        <v>0</v>
      </c>
      <c r="M631" s="2">
        <f>+K631-L631</f>
        <v>1370</v>
      </c>
      <c r="N631" s="2">
        <v>66.5</v>
      </c>
      <c r="O631" s="2">
        <v>0.5</v>
      </c>
      <c r="P631" s="2">
        <v>1437</v>
      </c>
      <c r="Q631" t="s">
        <v>40</v>
      </c>
      <c r="S631" t="s">
        <v>27</v>
      </c>
      <c r="T631" s="8">
        <v>46018</v>
      </c>
      <c r="U631" s="7">
        <v>0.59362268518518524</v>
      </c>
    </row>
    <row r="632" spans="1:21" x14ac:dyDescent="0.2">
      <c r="A632">
        <v>957</v>
      </c>
      <c r="B632" t="s">
        <v>23</v>
      </c>
      <c r="C632" t="s">
        <v>24</v>
      </c>
      <c r="J632" t="s">
        <v>230</v>
      </c>
      <c r="K632" s="3">
        <v>655</v>
      </c>
      <c r="L632" s="2">
        <v>0</v>
      </c>
      <c r="M632" s="2">
        <f>+K632-L632</f>
        <v>655</v>
      </c>
      <c r="N632" s="2">
        <v>32.76</v>
      </c>
      <c r="O632" s="2">
        <v>0.24</v>
      </c>
      <c r="P632" s="2">
        <v>688</v>
      </c>
      <c r="Q632" t="s">
        <v>33</v>
      </c>
      <c r="S632" t="s">
        <v>27</v>
      </c>
      <c r="T632" s="8">
        <v>46018</v>
      </c>
      <c r="U632" s="7">
        <v>0.62716435185185182</v>
      </c>
    </row>
    <row r="633" spans="1:21" x14ac:dyDescent="0.2">
      <c r="A633">
        <v>958</v>
      </c>
      <c r="B633" t="s">
        <v>47</v>
      </c>
      <c r="C633" t="s">
        <v>24</v>
      </c>
      <c r="J633" t="s">
        <v>229</v>
      </c>
      <c r="K633" s="3">
        <v>280</v>
      </c>
      <c r="L633" s="2">
        <v>0</v>
      </c>
      <c r="M633" s="2">
        <f>+K633-L633</f>
        <v>280</v>
      </c>
      <c r="N633" s="2">
        <v>14</v>
      </c>
      <c r="O633" s="2">
        <v>0</v>
      </c>
      <c r="P633" s="2">
        <v>294</v>
      </c>
      <c r="Q633" t="s">
        <v>40</v>
      </c>
      <c r="S633" t="s">
        <v>27</v>
      </c>
      <c r="T633" s="8">
        <v>46018</v>
      </c>
      <c r="U633" s="7">
        <v>0.65446759259259257</v>
      </c>
    </row>
    <row r="634" spans="1:21" x14ac:dyDescent="0.2">
      <c r="A634">
        <v>959</v>
      </c>
      <c r="B634" t="s">
        <v>23</v>
      </c>
      <c r="C634" t="s">
        <v>24</v>
      </c>
      <c r="J634" t="s">
        <v>228</v>
      </c>
      <c r="K634" s="3">
        <v>530</v>
      </c>
      <c r="L634" s="2">
        <v>0</v>
      </c>
      <c r="M634" s="2">
        <f>+K634-L634</f>
        <v>530</v>
      </c>
      <c r="N634" s="2">
        <v>26.5</v>
      </c>
      <c r="O634" s="2">
        <v>0.5</v>
      </c>
      <c r="P634" s="2">
        <v>557</v>
      </c>
      <c r="Q634" t="s">
        <v>33</v>
      </c>
      <c r="S634" t="s">
        <v>27</v>
      </c>
      <c r="T634" s="8">
        <v>46018</v>
      </c>
      <c r="U634" s="7">
        <v>0.67634259259259255</v>
      </c>
    </row>
    <row r="635" spans="1:21" x14ac:dyDescent="0.2">
      <c r="A635">
        <v>960</v>
      </c>
      <c r="B635" t="s">
        <v>102</v>
      </c>
      <c r="C635" t="s">
        <v>24</v>
      </c>
      <c r="J635" t="s">
        <v>227</v>
      </c>
      <c r="K635" s="3">
        <v>944</v>
      </c>
      <c r="L635" s="2">
        <v>94.4</v>
      </c>
      <c r="M635" s="2">
        <f>+K635-L635</f>
        <v>849.6</v>
      </c>
      <c r="N635" s="2">
        <v>42.48</v>
      </c>
      <c r="O635" s="2">
        <v>-0.08</v>
      </c>
      <c r="P635" s="2">
        <v>892</v>
      </c>
      <c r="Q635" t="s">
        <v>40</v>
      </c>
      <c r="S635" t="s">
        <v>27</v>
      </c>
      <c r="T635" s="8">
        <v>46018</v>
      </c>
      <c r="U635" s="7">
        <v>0.69905092592592588</v>
      </c>
    </row>
    <row r="636" spans="1:21" x14ac:dyDescent="0.2">
      <c r="A636">
        <v>961</v>
      </c>
      <c r="B636" t="s">
        <v>45</v>
      </c>
      <c r="C636" t="s">
        <v>24</v>
      </c>
      <c r="J636" t="s">
        <v>226</v>
      </c>
      <c r="K636" s="3">
        <v>1137</v>
      </c>
      <c r="L636" s="2">
        <v>113.7</v>
      </c>
      <c r="M636" s="2">
        <f>+K636-L636</f>
        <v>1023.3</v>
      </c>
      <c r="N636" s="2">
        <v>46.8</v>
      </c>
      <c r="O636" s="2">
        <v>-0.1</v>
      </c>
      <c r="P636" s="2">
        <v>1070</v>
      </c>
      <c r="Q636" t="s">
        <v>30</v>
      </c>
      <c r="S636" t="s">
        <v>27</v>
      </c>
      <c r="T636" s="8">
        <v>46018</v>
      </c>
      <c r="U636" s="7">
        <v>0.71832175925925923</v>
      </c>
    </row>
    <row r="637" spans="1:21" x14ac:dyDescent="0.2">
      <c r="A637">
        <v>962</v>
      </c>
      <c r="B637" t="s">
        <v>23</v>
      </c>
      <c r="C637" t="s">
        <v>24</v>
      </c>
      <c r="J637" t="s">
        <v>225</v>
      </c>
      <c r="K637" s="3">
        <v>1415</v>
      </c>
      <c r="L637" s="2">
        <v>141.5</v>
      </c>
      <c r="M637" s="2">
        <f>+K637-L637</f>
        <v>1273.5</v>
      </c>
      <c r="N637" s="2">
        <v>63.68</v>
      </c>
      <c r="O637" s="2">
        <v>-0.18</v>
      </c>
      <c r="P637" s="2">
        <v>1337</v>
      </c>
      <c r="Q637" t="s">
        <v>30</v>
      </c>
      <c r="S637" t="s">
        <v>27</v>
      </c>
      <c r="T637" s="8">
        <v>46018</v>
      </c>
      <c r="U637" s="7">
        <v>0.7249768518518519</v>
      </c>
    </row>
    <row r="638" spans="1:21" x14ac:dyDescent="0.2">
      <c r="A638">
        <v>963</v>
      </c>
      <c r="B638" t="s">
        <v>58</v>
      </c>
      <c r="C638" t="s">
        <v>24</v>
      </c>
      <c r="J638" t="s">
        <v>224</v>
      </c>
      <c r="K638" s="3">
        <v>675</v>
      </c>
      <c r="L638" s="2">
        <v>67.5</v>
      </c>
      <c r="M638" s="2">
        <f>+K638-L638</f>
        <v>607.5</v>
      </c>
      <c r="N638" s="2">
        <v>30.38</v>
      </c>
      <c r="O638" s="2">
        <v>0.12</v>
      </c>
      <c r="P638" s="2">
        <v>638</v>
      </c>
      <c r="Q638" t="s">
        <v>30</v>
      </c>
      <c r="S638" t="s">
        <v>27</v>
      </c>
      <c r="T638" s="8">
        <v>46018</v>
      </c>
      <c r="U638" s="7">
        <v>0.73629629629629634</v>
      </c>
    </row>
    <row r="639" spans="1:21" x14ac:dyDescent="0.2">
      <c r="A639">
        <v>964</v>
      </c>
      <c r="B639" t="s">
        <v>52</v>
      </c>
      <c r="C639" t="s">
        <v>24</v>
      </c>
      <c r="J639" t="s">
        <v>223</v>
      </c>
      <c r="K639" s="3">
        <v>2170</v>
      </c>
      <c r="L639" s="2">
        <v>217</v>
      </c>
      <c r="M639" s="2">
        <f>+K639-L639</f>
        <v>1953</v>
      </c>
      <c r="N639" s="2">
        <v>97.66</v>
      </c>
      <c r="O639" s="2">
        <v>0.34</v>
      </c>
      <c r="P639" s="2">
        <v>2051</v>
      </c>
      <c r="Q639" t="s">
        <v>30</v>
      </c>
      <c r="S639" t="s">
        <v>27</v>
      </c>
      <c r="T639" s="8">
        <v>46018</v>
      </c>
      <c r="U639" s="7">
        <v>0.73969907407407409</v>
      </c>
    </row>
    <row r="640" spans="1:21" x14ac:dyDescent="0.2">
      <c r="A640">
        <v>965</v>
      </c>
      <c r="B640" t="s">
        <v>41</v>
      </c>
      <c r="C640" t="s">
        <v>24</v>
      </c>
      <c r="J640" t="s">
        <v>222</v>
      </c>
      <c r="K640" s="3">
        <v>1149</v>
      </c>
      <c r="L640" s="2">
        <v>0</v>
      </c>
      <c r="M640" s="2">
        <f>+K640-L640</f>
        <v>1149</v>
      </c>
      <c r="N640" s="2">
        <v>56</v>
      </c>
      <c r="O640" s="2">
        <v>0</v>
      </c>
      <c r="P640" s="2">
        <v>1205</v>
      </c>
      <c r="Q640" t="s">
        <v>40</v>
      </c>
      <c r="S640" t="s">
        <v>27</v>
      </c>
      <c r="T640" s="8">
        <v>46018</v>
      </c>
      <c r="U640" s="7">
        <v>0.74663194444444447</v>
      </c>
    </row>
    <row r="641" spans="1:21" x14ac:dyDescent="0.2">
      <c r="A641">
        <v>966</v>
      </c>
      <c r="B641" t="s">
        <v>54</v>
      </c>
      <c r="C641" t="s">
        <v>24</v>
      </c>
      <c r="J641" t="s">
        <v>221</v>
      </c>
      <c r="K641" s="3">
        <v>560</v>
      </c>
      <c r="L641" s="2">
        <v>0</v>
      </c>
      <c r="M641" s="2">
        <f>+K641-L641</f>
        <v>560</v>
      </c>
      <c r="N641" s="2">
        <v>28</v>
      </c>
      <c r="O641" s="2">
        <v>0</v>
      </c>
      <c r="P641" s="2">
        <v>588</v>
      </c>
      <c r="Q641" t="s">
        <v>40</v>
      </c>
      <c r="S641" t="s">
        <v>27</v>
      </c>
      <c r="T641" s="8">
        <v>46018</v>
      </c>
      <c r="U641" s="7">
        <v>0.7795023148148148</v>
      </c>
    </row>
    <row r="642" spans="1:21" x14ac:dyDescent="0.2">
      <c r="A642">
        <v>967</v>
      </c>
      <c r="B642" t="s">
        <v>52</v>
      </c>
      <c r="C642" t="s">
        <v>24</v>
      </c>
      <c r="J642" t="s">
        <v>220</v>
      </c>
      <c r="K642" s="3">
        <v>1100</v>
      </c>
      <c r="L642" s="2">
        <v>110</v>
      </c>
      <c r="M642" s="2">
        <f>+K642-L642</f>
        <v>990</v>
      </c>
      <c r="N642" s="2">
        <v>49.5</v>
      </c>
      <c r="O642" s="2">
        <v>0.5</v>
      </c>
      <c r="P642" s="2">
        <v>1040</v>
      </c>
      <c r="Q642" t="s">
        <v>40</v>
      </c>
      <c r="S642" t="s">
        <v>27</v>
      </c>
      <c r="T642" s="8">
        <v>46018</v>
      </c>
      <c r="U642" s="7">
        <v>0.78652777777777783</v>
      </c>
    </row>
    <row r="643" spans="1:21" x14ac:dyDescent="0.2">
      <c r="A643">
        <v>968</v>
      </c>
      <c r="B643" t="s">
        <v>75</v>
      </c>
      <c r="C643" t="s">
        <v>24</v>
      </c>
      <c r="J643" t="s">
        <v>219</v>
      </c>
      <c r="K643" s="3">
        <v>1217</v>
      </c>
      <c r="L643" s="2">
        <v>121.7</v>
      </c>
      <c r="M643" s="2">
        <f>+K643-L643</f>
        <v>1095.3</v>
      </c>
      <c r="N643" s="2">
        <v>48.16</v>
      </c>
      <c r="O643" s="2">
        <v>-0.46</v>
      </c>
      <c r="P643" s="2">
        <v>1143</v>
      </c>
      <c r="Q643" t="s">
        <v>30</v>
      </c>
      <c r="S643" t="s">
        <v>27</v>
      </c>
      <c r="T643" s="8">
        <v>46018</v>
      </c>
      <c r="U643" s="7">
        <v>0.79131944444444446</v>
      </c>
    </row>
    <row r="644" spans="1:21" x14ac:dyDescent="0.2">
      <c r="A644">
        <v>969</v>
      </c>
      <c r="B644" t="s">
        <v>54</v>
      </c>
      <c r="C644" t="s">
        <v>24</v>
      </c>
      <c r="J644" t="s">
        <v>218</v>
      </c>
      <c r="K644" s="3">
        <v>930</v>
      </c>
      <c r="L644" s="2">
        <v>0</v>
      </c>
      <c r="M644" s="2">
        <f>+K644-L644</f>
        <v>930</v>
      </c>
      <c r="N644" s="2">
        <v>46.5</v>
      </c>
      <c r="O644" s="2">
        <v>0.5</v>
      </c>
      <c r="P644" s="2">
        <v>977</v>
      </c>
      <c r="Q644" t="s">
        <v>30</v>
      </c>
      <c r="S644" t="s">
        <v>27</v>
      </c>
      <c r="T644" s="8">
        <v>46018</v>
      </c>
      <c r="U644" s="7">
        <v>0.8072569444444444</v>
      </c>
    </row>
    <row r="645" spans="1:21" x14ac:dyDescent="0.2">
      <c r="A645">
        <v>970</v>
      </c>
      <c r="B645" t="s">
        <v>45</v>
      </c>
      <c r="C645" t="s">
        <v>24</v>
      </c>
      <c r="J645" t="s">
        <v>217</v>
      </c>
      <c r="K645" s="3">
        <v>1385</v>
      </c>
      <c r="L645" s="2">
        <v>0</v>
      </c>
      <c r="M645" s="2">
        <f>+K645-L645</f>
        <v>1385</v>
      </c>
      <c r="N645" s="2">
        <v>69.260000000000005</v>
      </c>
      <c r="O645" s="2">
        <v>-0.26</v>
      </c>
      <c r="P645" s="2">
        <v>1454</v>
      </c>
      <c r="Q645" t="s">
        <v>33</v>
      </c>
      <c r="S645" t="s">
        <v>27</v>
      </c>
      <c r="T645" s="8">
        <v>46018</v>
      </c>
      <c r="U645" s="7">
        <v>0.8276041666666667</v>
      </c>
    </row>
    <row r="646" spans="1:21" x14ac:dyDescent="0.2">
      <c r="A646">
        <v>971</v>
      </c>
      <c r="B646" t="s">
        <v>43</v>
      </c>
      <c r="C646" t="s">
        <v>24</v>
      </c>
      <c r="J646" t="s">
        <v>216</v>
      </c>
      <c r="K646" s="3">
        <v>1425</v>
      </c>
      <c r="L646" s="2">
        <v>0</v>
      </c>
      <c r="M646" s="2">
        <f>+K646-L646</f>
        <v>1425</v>
      </c>
      <c r="N646" s="2">
        <v>68.260000000000005</v>
      </c>
      <c r="O646" s="2">
        <v>-0.26</v>
      </c>
      <c r="P646" s="2">
        <v>1493</v>
      </c>
      <c r="Q646" t="s">
        <v>30</v>
      </c>
      <c r="S646" t="s">
        <v>27</v>
      </c>
      <c r="T646" s="8">
        <v>46018</v>
      </c>
      <c r="U646" s="7">
        <v>0.82832175925925922</v>
      </c>
    </row>
    <row r="647" spans="1:21" x14ac:dyDescent="0.2">
      <c r="A647">
        <v>972</v>
      </c>
      <c r="B647" t="s">
        <v>47</v>
      </c>
      <c r="C647" t="s">
        <v>24</v>
      </c>
      <c r="J647" t="s">
        <v>215</v>
      </c>
      <c r="K647" s="3">
        <v>1860</v>
      </c>
      <c r="L647" s="2">
        <v>0</v>
      </c>
      <c r="M647" s="2">
        <f>+K647-L647</f>
        <v>1860</v>
      </c>
      <c r="N647" s="2">
        <v>93</v>
      </c>
      <c r="O647" s="2">
        <v>0</v>
      </c>
      <c r="P647" s="2">
        <v>1953</v>
      </c>
      <c r="Q647" t="s">
        <v>26</v>
      </c>
      <c r="S647" t="s">
        <v>27</v>
      </c>
      <c r="T647" s="8">
        <v>46018</v>
      </c>
      <c r="U647" s="7">
        <v>0.83753472222222225</v>
      </c>
    </row>
    <row r="648" spans="1:21" x14ac:dyDescent="0.2">
      <c r="A648">
        <v>973</v>
      </c>
      <c r="B648" t="s">
        <v>157</v>
      </c>
      <c r="C648" t="s">
        <v>24</v>
      </c>
      <c r="J648" t="s">
        <v>214</v>
      </c>
      <c r="K648" s="3">
        <v>590</v>
      </c>
      <c r="L648" s="2">
        <v>0</v>
      </c>
      <c r="M648" s="2">
        <f>+K648-L648</f>
        <v>590</v>
      </c>
      <c r="N648" s="2">
        <v>29.5</v>
      </c>
      <c r="O648" s="2">
        <v>0.5</v>
      </c>
      <c r="P648" s="2">
        <v>620</v>
      </c>
      <c r="Q648" t="s">
        <v>30</v>
      </c>
      <c r="S648" t="s">
        <v>27</v>
      </c>
      <c r="T648" s="8">
        <v>46018</v>
      </c>
      <c r="U648" s="7">
        <v>0.84954861111111113</v>
      </c>
    </row>
    <row r="649" spans="1:21" x14ac:dyDescent="0.2">
      <c r="A649">
        <v>974</v>
      </c>
      <c r="B649" t="s">
        <v>41</v>
      </c>
      <c r="C649" t="s">
        <v>24</v>
      </c>
      <c r="J649" t="s">
        <v>213</v>
      </c>
      <c r="K649" s="3">
        <v>1225</v>
      </c>
      <c r="L649" s="2">
        <v>0</v>
      </c>
      <c r="M649" s="2">
        <f>+K649-L649</f>
        <v>1225</v>
      </c>
      <c r="N649" s="2">
        <v>61.26</v>
      </c>
      <c r="O649" s="2">
        <v>-0.26</v>
      </c>
      <c r="P649" s="2">
        <v>1286</v>
      </c>
      <c r="Q649" t="s">
        <v>40</v>
      </c>
      <c r="S649" t="s">
        <v>27</v>
      </c>
      <c r="T649" s="8">
        <v>46018</v>
      </c>
      <c r="U649" s="7">
        <v>0.8571064814814815</v>
      </c>
    </row>
    <row r="650" spans="1:21" x14ac:dyDescent="0.2">
      <c r="A650">
        <v>975</v>
      </c>
      <c r="B650" t="s">
        <v>54</v>
      </c>
      <c r="C650" t="s">
        <v>24</v>
      </c>
      <c r="J650" t="s">
        <v>212</v>
      </c>
      <c r="K650" s="3">
        <v>1010</v>
      </c>
      <c r="L650" s="2">
        <v>0</v>
      </c>
      <c r="M650" s="2">
        <f>+K650-L650</f>
        <v>1010</v>
      </c>
      <c r="N650" s="2">
        <v>50.5</v>
      </c>
      <c r="O650" s="2">
        <v>0.5</v>
      </c>
      <c r="P650" s="2">
        <v>1061</v>
      </c>
      <c r="Q650" t="s">
        <v>26</v>
      </c>
      <c r="S650" t="s">
        <v>27</v>
      </c>
      <c r="T650" s="8">
        <v>46018</v>
      </c>
      <c r="U650" s="7">
        <v>0.86267361111111107</v>
      </c>
    </row>
    <row r="651" spans="1:21" x14ac:dyDescent="0.2">
      <c r="A651">
        <v>976</v>
      </c>
      <c r="B651" t="s">
        <v>43</v>
      </c>
      <c r="C651" t="s">
        <v>24</v>
      </c>
      <c r="J651" t="s">
        <v>211</v>
      </c>
      <c r="K651" s="3">
        <v>1564</v>
      </c>
      <c r="L651" s="2">
        <v>0</v>
      </c>
      <c r="M651" s="2">
        <f>+K651-L651</f>
        <v>1564</v>
      </c>
      <c r="N651" s="2">
        <v>75.2</v>
      </c>
      <c r="O651" s="2">
        <v>-0.2</v>
      </c>
      <c r="P651" s="2">
        <v>1639</v>
      </c>
      <c r="Q651" t="s">
        <v>26</v>
      </c>
      <c r="S651" t="s">
        <v>27</v>
      </c>
      <c r="T651" s="8">
        <v>46018</v>
      </c>
      <c r="U651" s="7">
        <v>0.88842592592592595</v>
      </c>
    </row>
    <row r="652" spans="1:21" x14ac:dyDescent="0.2">
      <c r="A652">
        <v>977</v>
      </c>
      <c r="B652" t="s">
        <v>23</v>
      </c>
      <c r="C652" t="s">
        <v>24</v>
      </c>
      <c r="J652" t="s">
        <v>209</v>
      </c>
      <c r="K652" s="3">
        <v>1110</v>
      </c>
      <c r="L652" s="2">
        <v>0</v>
      </c>
      <c r="M652" s="2">
        <f>+K652-L652</f>
        <v>1110</v>
      </c>
      <c r="N652" s="2">
        <v>55.5</v>
      </c>
      <c r="O652" s="2">
        <v>0.5</v>
      </c>
      <c r="P652" s="2">
        <v>0</v>
      </c>
      <c r="Q652" t="s">
        <v>135</v>
      </c>
      <c r="R652" t="s">
        <v>210</v>
      </c>
      <c r="S652" t="s">
        <v>27</v>
      </c>
      <c r="T652" s="8">
        <v>46018</v>
      </c>
      <c r="U652" s="7">
        <v>0.91469907407407403</v>
      </c>
    </row>
    <row r="653" spans="1:21" x14ac:dyDescent="0.2">
      <c r="A653">
        <v>978</v>
      </c>
      <c r="B653" t="s">
        <v>82</v>
      </c>
      <c r="C653" t="s">
        <v>24</v>
      </c>
      <c r="J653" t="s">
        <v>208</v>
      </c>
      <c r="K653" s="3">
        <v>1575</v>
      </c>
      <c r="L653" s="2">
        <v>0</v>
      </c>
      <c r="M653" s="2">
        <f>+K653-L653</f>
        <v>1575</v>
      </c>
      <c r="N653" s="2">
        <v>76.760000000000005</v>
      </c>
      <c r="O653" s="2">
        <v>0.24</v>
      </c>
      <c r="P653" s="2">
        <v>1652</v>
      </c>
      <c r="Q653" t="s">
        <v>30</v>
      </c>
      <c r="S653" t="s">
        <v>27</v>
      </c>
      <c r="T653" s="8">
        <v>46018</v>
      </c>
      <c r="U653" s="7">
        <v>0.95230324074074069</v>
      </c>
    </row>
    <row r="654" spans="1:21" x14ac:dyDescent="0.2">
      <c r="A654">
        <v>979</v>
      </c>
      <c r="B654" t="s">
        <v>206</v>
      </c>
      <c r="C654" t="s">
        <v>24</v>
      </c>
      <c r="J654" t="s">
        <v>207</v>
      </c>
      <c r="K654" s="3">
        <v>0</v>
      </c>
      <c r="L654" s="2">
        <v>0</v>
      </c>
      <c r="M654" s="2">
        <f>+K654-L654</f>
        <v>0</v>
      </c>
      <c r="N654" s="2">
        <v>0</v>
      </c>
      <c r="O654" s="2">
        <v>0</v>
      </c>
      <c r="P654" s="2">
        <v>0</v>
      </c>
      <c r="Q654" t="s">
        <v>33</v>
      </c>
      <c r="S654" t="s">
        <v>27</v>
      </c>
      <c r="T654" s="8">
        <v>46018</v>
      </c>
      <c r="U654" s="7">
        <v>0.95268518518518519</v>
      </c>
    </row>
    <row r="655" spans="1:21" x14ac:dyDescent="0.2">
      <c r="A655">
        <v>980</v>
      </c>
      <c r="B655" t="s">
        <v>204</v>
      </c>
      <c r="C655" t="s">
        <v>24</v>
      </c>
      <c r="J655" t="s">
        <v>205</v>
      </c>
      <c r="K655" s="3">
        <v>0</v>
      </c>
      <c r="L655" s="2">
        <v>0</v>
      </c>
      <c r="M655" s="2">
        <f>+K655-L655</f>
        <v>0</v>
      </c>
      <c r="N655" s="2">
        <v>0</v>
      </c>
      <c r="O655" s="2">
        <v>0</v>
      </c>
      <c r="P655" s="2">
        <v>0</v>
      </c>
      <c r="Q655" t="s">
        <v>33</v>
      </c>
      <c r="S655" t="s">
        <v>27</v>
      </c>
      <c r="T655" s="8">
        <v>46018</v>
      </c>
      <c r="U655" s="7">
        <v>0.95305555555555554</v>
      </c>
    </row>
    <row r="656" spans="1:21" x14ac:dyDescent="0.2">
      <c r="A656">
        <v>981</v>
      </c>
      <c r="B656" t="s">
        <v>50</v>
      </c>
      <c r="C656" t="s">
        <v>24</v>
      </c>
      <c r="J656" t="s">
        <v>203</v>
      </c>
      <c r="K656" s="3">
        <v>945</v>
      </c>
      <c r="L656" s="2">
        <v>0</v>
      </c>
      <c r="M656" s="2">
        <f>+K656-L656</f>
        <v>945</v>
      </c>
      <c r="N656" s="2">
        <v>47.26</v>
      </c>
      <c r="O656" s="2">
        <v>-0.26</v>
      </c>
      <c r="P656" s="2">
        <v>992</v>
      </c>
      <c r="Q656" t="s">
        <v>40</v>
      </c>
      <c r="S656" t="s">
        <v>27</v>
      </c>
      <c r="T656" s="8">
        <v>46018</v>
      </c>
      <c r="U656" s="7">
        <v>0.95384259259259263</v>
      </c>
    </row>
    <row r="657" spans="1:21" x14ac:dyDescent="0.2">
      <c r="A657">
        <v>982</v>
      </c>
      <c r="B657" t="s">
        <v>47</v>
      </c>
      <c r="C657" t="s">
        <v>24</v>
      </c>
      <c r="J657" t="s">
        <v>202</v>
      </c>
      <c r="K657" s="3">
        <v>250</v>
      </c>
      <c r="L657" s="2">
        <v>0</v>
      </c>
      <c r="M657" s="2">
        <f>+K657-L657</f>
        <v>250</v>
      </c>
      <c r="N657" s="2">
        <v>12.5</v>
      </c>
      <c r="O657" s="2">
        <v>0.5</v>
      </c>
      <c r="P657" s="2">
        <v>263</v>
      </c>
      <c r="Q657" t="s">
        <v>30</v>
      </c>
      <c r="S657" t="s">
        <v>27</v>
      </c>
      <c r="T657" s="8">
        <v>46018</v>
      </c>
      <c r="U657" s="7">
        <v>0.95387731481481486</v>
      </c>
    </row>
    <row r="658" spans="1:21" x14ac:dyDescent="0.2">
      <c r="A658">
        <v>983</v>
      </c>
      <c r="B658" t="s">
        <v>52</v>
      </c>
      <c r="C658" t="s">
        <v>24</v>
      </c>
      <c r="J658" t="s">
        <v>201</v>
      </c>
      <c r="K658" s="3">
        <v>1130</v>
      </c>
      <c r="L658" s="2">
        <v>0</v>
      </c>
      <c r="M658" s="2">
        <f>+K658-L658</f>
        <v>1130</v>
      </c>
      <c r="N658" s="2">
        <v>56.5</v>
      </c>
      <c r="O658" s="2">
        <v>0.5</v>
      </c>
      <c r="P658" s="2">
        <v>1187</v>
      </c>
      <c r="Q658" t="s">
        <v>30</v>
      </c>
      <c r="S658" t="s">
        <v>27</v>
      </c>
      <c r="T658" s="8">
        <v>46018</v>
      </c>
      <c r="U658" s="7">
        <v>0.95688657407407407</v>
      </c>
    </row>
    <row r="659" spans="1:21" x14ac:dyDescent="0.2">
      <c r="A659">
        <v>984</v>
      </c>
      <c r="B659" t="s">
        <v>45</v>
      </c>
      <c r="C659" t="s">
        <v>24</v>
      </c>
      <c r="J659" t="s">
        <v>200</v>
      </c>
      <c r="K659" s="3">
        <v>345</v>
      </c>
      <c r="L659" s="2">
        <v>0</v>
      </c>
      <c r="M659" s="2">
        <f>+K659-L659</f>
        <v>345</v>
      </c>
      <c r="N659" s="2">
        <v>17.260000000000002</v>
      </c>
      <c r="O659" s="2">
        <v>-0.26</v>
      </c>
      <c r="P659" s="2">
        <v>362</v>
      </c>
      <c r="Q659" t="s">
        <v>30</v>
      </c>
      <c r="S659" t="s">
        <v>27</v>
      </c>
      <c r="T659" s="8">
        <v>46018</v>
      </c>
      <c r="U659" s="7">
        <v>0.96090277777777777</v>
      </c>
    </row>
    <row r="660" spans="1:21" x14ac:dyDescent="0.2">
      <c r="A660">
        <v>985</v>
      </c>
      <c r="B660" t="s">
        <v>43</v>
      </c>
      <c r="C660" t="s">
        <v>24</v>
      </c>
      <c r="J660" t="s">
        <v>199</v>
      </c>
      <c r="K660" s="3">
        <v>540</v>
      </c>
      <c r="L660" s="2">
        <v>0</v>
      </c>
      <c r="M660" s="2">
        <f>+K660-L660</f>
        <v>540</v>
      </c>
      <c r="N660" s="2">
        <v>27</v>
      </c>
      <c r="O660" s="2">
        <v>0</v>
      </c>
      <c r="P660" s="2">
        <v>567</v>
      </c>
      <c r="Q660" t="s">
        <v>40</v>
      </c>
      <c r="S660" t="s">
        <v>27</v>
      </c>
      <c r="T660" s="8">
        <v>46018</v>
      </c>
      <c r="U660" s="7">
        <v>0.96371527777777777</v>
      </c>
    </row>
    <row r="661" spans="1:21" x14ac:dyDescent="0.2">
      <c r="A661">
        <v>986</v>
      </c>
      <c r="B661" t="s">
        <v>43</v>
      </c>
      <c r="C661" t="s">
        <v>24</v>
      </c>
      <c r="J661" t="s">
        <v>198</v>
      </c>
      <c r="K661" s="3">
        <v>200</v>
      </c>
      <c r="L661" s="2">
        <v>0</v>
      </c>
      <c r="M661" s="2">
        <f>+K661-L661</f>
        <v>200</v>
      </c>
      <c r="N661" s="2">
        <v>10</v>
      </c>
      <c r="O661" s="2">
        <v>0</v>
      </c>
      <c r="P661" s="2">
        <v>210</v>
      </c>
      <c r="Q661" t="s">
        <v>40</v>
      </c>
      <c r="S661" t="s">
        <v>27</v>
      </c>
      <c r="T661" s="8">
        <v>46018</v>
      </c>
      <c r="U661" s="7">
        <v>0.96550925925925923</v>
      </c>
    </row>
    <row r="662" spans="1:21" x14ac:dyDescent="0.2">
      <c r="A662">
        <v>987</v>
      </c>
      <c r="B662" t="s">
        <v>23</v>
      </c>
      <c r="C662" t="s">
        <v>24</v>
      </c>
      <c r="J662" t="s">
        <v>144</v>
      </c>
      <c r="K662" s="3">
        <v>380</v>
      </c>
      <c r="L662" s="2">
        <v>0</v>
      </c>
      <c r="M662" s="2">
        <f>+K662-L662</f>
        <v>380</v>
      </c>
      <c r="N662" s="2">
        <v>19</v>
      </c>
      <c r="O662" s="2">
        <v>0</v>
      </c>
      <c r="P662" s="2">
        <v>399</v>
      </c>
      <c r="Q662" t="s">
        <v>40</v>
      </c>
      <c r="S662" t="s">
        <v>27</v>
      </c>
      <c r="T662" s="8">
        <v>46019</v>
      </c>
      <c r="U662" s="7">
        <v>0.63320601851851854</v>
      </c>
    </row>
    <row r="663" spans="1:21" x14ac:dyDescent="0.2">
      <c r="A663">
        <v>988</v>
      </c>
      <c r="B663" t="s">
        <v>70</v>
      </c>
      <c r="C663" t="s">
        <v>24</v>
      </c>
      <c r="J663" t="s">
        <v>197</v>
      </c>
      <c r="K663" s="3">
        <v>1145</v>
      </c>
      <c r="L663" s="2">
        <v>0</v>
      </c>
      <c r="M663" s="2">
        <f>+K663-L663</f>
        <v>1145</v>
      </c>
      <c r="N663" s="2">
        <v>57.26</v>
      </c>
      <c r="O663" s="2">
        <v>-0.26</v>
      </c>
      <c r="P663" s="2">
        <v>1202</v>
      </c>
      <c r="Q663" t="s">
        <v>40</v>
      </c>
      <c r="S663" t="s">
        <v>27</v>
      </c>
      <c r="T663" s="8">
        <v>46019</v>
      </c>
      <c r="U663" s="7">
        <v>0.68217592592592591</v>
      </c>
    </row>
    <row r="664" spans="1:21" x14ac:dyDescent="0.2">
      <c r="A664">
        <v>989</v>
      </c>
      <c r="B664" t="s">
        <v>195</v>
      </c>
      <c r="C664" t="s">
        <v>24</v>
      </c>
      <c r="J664" t="s">
        <v>196</v>
      </c>
      <c r="K664" s="3">
        <v>575</v>
      </c>
      <c r="L664" s="2">
        <v>0</v>
      </c>
      <c r="M664" s="2">
        <f>+K664-L664</f>
        <v>575</v>
      </c>
      <c r="N664" s="2">
        <v>28.76</v>
      </c>
      <c r="O664" s="2">
        <v>0.24</v>
      </c>
      <c r="P664" s="2">
        <v>604</v>
      </c>
      <c r="Q664" t="s">
        <v>40</v>
      </c>
      <c r="S664" t="s">
        <v>27</v>
      </c>
      <c r="T664" s="8">
        <v>46019</v>
      </c>
      <c r="U664" s="7">
        <v>0.68481481481481477</v>
      </c>
    </row>
    <row r="665" spans="1:21" x14ac:dyDescent="0.2">
      <c r="A665">
        <v>990</v>
      </c>
      <c r="B665" t="s">
        <v>45</v>
      </c>
      <c r="C665" t="s">
        <v>24</v>
      </c>
      <c r="J665" t="s">
        <v>194</v>
      </c>
      <c r="K665" s="3">
        <v>775</v>
      </c>
      <c r="L665" s="2">
        <v>0</v>
      </c>
      <c r="M665" s="2">
        <f>+K665-L665</f>
        <v>775</v>
      </c>
      <c r="N665" s="2">
        <v>38.76</v>
      </c>
      <c r="O665" s="2">
        <v>0.24</v>
      </c>
      <c r="P665" s="2">
        <v>814</v>
      </c>
      <c r="Q665" t="s">
        <v>26</v>
      </c>
      <c r="S665" t="s">
        <v>27</v>
      </c>
      <c r="T665" s="8">
        <v>46019</v>
      </c>
      <c r="U665" s="7">
        <v>0.68483796296296295</v>
      </c>
    </row>
    <row r="666" spans="1:21" x14ac:dyDescent="0.2">
      <c r="A666">
        <v>991</v>
      </c>
      <c r="B666" t="s">
        <v>102</v>
      </c>
      <c r="C666" t="s">
        <v>24</v>
      </c>
      <c r="J666" t="s">
        <v>193</v>
      </c>
      <c r="K666" s="3">
        <v>745</v>
      </c>
      <c r="L666" s="2">
        <v>74.5</v>
      </c>
      <c r="M666" s="2">
        <f>+K666-L666</f>
        <v>670.5</v>
      </c>
      <c r="N666" s="2">
        <v>33.520000000000003</v>
      </c>
      <c r="O666" s="2">
        <v>-0.02</v>
      </c>
      <c r="P666" s="2">
        <v>704</v>
      </c>
      <c r="Q666" t="s">
        <v>30</v>
      </c>
      <c r="S666" t="s">
        <v>27</v>
      </c>
      <c r="T666" s="8">
        <v>46019</v>
      </c>
      <c r="U666" s="7">
        <v>0.69688657407407406</v>
      </c>
    </row>
    <row r="667" spans="1:21" x14ac:dyDescent="0.2">
      <c r="A667">
        <v>992</v>
      </c>
      <c r="B667" t="s">
        <v>47</v>
      </c>
      <c r="C667" t="s">
        <v>24</v>
      </c>
      <c r="J667" t="s">
        <v>192</v>
      </c>
      <c r="K667" s="3">
        <v>1120</v>
      </c>
      <c r="L667" s="2">
        <v>0</v>
      </c>
      <c r="M667" s="2">
        <f>+K667-L667</f>
        <v>1120</v>
      </c>
      <c r="N667" s="2">
        <v>56</v>
      </c>
      <c r="O667" s="2">
        <v>0</v>
      </c>
      <c r="P667" s="2">
        <v>1176</v>
      </c>
      <c r="Q667" t="s">
        <v>40</v>
      </c>
      <c r="S667" t="s">
        <v>27</v>
      </c>
      <c r="T667" s="8">
        <v>46019</v>
      </c>
      <c r="U667" s="7">
        <v>0.71097222222222223</v>
      </c>
    </row>
    <row r="668" spans="1:21" x14ac:dyDescent="0.2">
      <c r="A668">
        <v>993</v>
      </c>
      <c r="B668" t="s">
        <v>52</v>
      </c>
      <c r="C668" t="s">
        <v>24</v>
      </c>
      <c r="J668" t="s">
        <v>191</v>
      </c>
      <c r="K668" s="3">
        <v>1765</v>
      </c>
      <c r="L668" s="2">
        <v>0</v>
      </c>
      <c r="M668" s="2">
        <f>+K668-L668</f>
        <v>1765</v>
      </c>
      <c r="N668" s="2">
        <v>88.26</v>
      </c>
      <c r="O668" s="2">
        <v>-0.26</v>
      </c>
      <c r="P668" s="2">
        <v>1853</v>
      </c>
      <c r="Q668" t="s">
        <v>30</v>
      </c>
      <c r="S668" t="s">
        <v>27</v>
      </c>
      <c r="T668" s="8">
        <v>46019</v>
      </c>
      <c r="U668" s="7">
        <v>0.71464120370370365</v>
      </c>
    </row>
    <row r="669" spans="1:21" x14ac:dyDescent="0.2">
      <c r="A669">
        <v>994</v>
      </c>
      <c r="B669" t="s">
        <v>43</v>
      </c>
      <c r="C669" t="s">
        <v>24</v>
      </c>
      <c r="J669" t="s">
        <v>1209</v>
      </c>
      <c r="K669" s="3">
        <v>3065</v>
      </c>
      <c r="L669" s="2">
        <v>0</v>
      </c>
      <c r="M669" s="2">
        <f>+K669-L669</f>
        <v>3065</v>
      </c>
      <c r="N669" s="2">
        <v>153.26</v>
      </c>
      <c r="O669" s="2">
        <v>-0.26</v>
      </c>
      <c r="P669" s="2">
        <v>3218</v>
      </c>
      <c r="Q669" t="s">
        <v>26</v>
      </c>
      <c r="S669" t="s">
        <v>27</v>
      </c>
      <c r="T669" s="8">
        <v>46019</v>
      </c>
      <c r="U669" s="7">
        <v>0.71567129629629633</v>
      </c>
    </row>
    <row r="670" spans="1:21" x14ac:dyDescent="0.2">
      <c r="A670">
        <v>995</v>
      </c>
      <c r="B670" t="s">
        <v>41</v>
      </c>
      <c r="C670" t="s">
        <v>24</v>
      </c>
      <c r="J670" t="s">
        <v>190</v>
      </c>
      <c r="K670" s="3">
        <v>800</v>
      </c>
      <c r="L670" s="2">
        <v>0</v>
      </c>
      <c r="M670" s="2">
        <f>+K670-L670</f>
        <v>800</v>
      </c>
      <c r="N670" s="2">
        <v>40</v>
      </c>
      <c r="O670" s="2">
        <v>0</v>
      </c>
      <c r="P670" s="2">
        <v>840</v>
      </c>
      <c r="Q670" t="s">
        <v>40</v>
      </c>
      <c r="S670" t="s">
        <v>27</v>
      </c>
      <c r="T670" s="8">
        <v>46019</v>
      </c>
      <c r="U670" s="7">
        <v>0.72528935185185184</v>
      </c>
    </row>
    <row r="671" spans="1:21" x14ac:dyDescent="0.2">
      <c r="A671">
        <v>996</v>
      </c>
      <c r="B671" t="s">
        <v>70</v>
      </c>
      <c r="C671" t="s">
        <v>24</v>
      </c>
      <c r="J671" t="s">
        <v>189</v>
      </c>
      <c r="K671" s="3">
        <v>720</v>
      </c>
      <c r="L671" s="2">
        <v>0</v>
      </c>
      <c r="M671" s="2">
        <f>+K671-L671</f>
        <v>720</v>
      </c>
      <c r="N671" s="2">
        <v>36</v>
      </c>
      <c r="O671" s="2">
        <v>0</v>
      </c>
      <c r="P671" s="2">
        <v>756</v>
      </c>
      <c r="Q671" t="s">
        <v>40</v>
      </c>
      <c r="S671" t="s">
        <v>27</v>
      </c>
      <c r="T671" s="8">
        <v>46019</v>
      </c>
      <c r="U671" s="7">
        <v>0.72736111111111112</v>
      </c>
    </row>
    <row r="672" spans="1:21" x14ac:dyDescent="0.2">
      <c r="A672">
        <v>997</v>
      </c>
      <c r="B672" t="s">
        <v>187</v>
      </c>
      <c r="C672" t="s">
        <v>24</v>
      </c>
      <c r="J672" t="s">
        <v>188</v>
      </c>
      <c r="K672" s="3">
        <v>1875</v>
      </c>
      <c r="L672" s="2">
        <v>0</v>
      </c>
      <c r="M672" s="2">
        <f>+K672-L672</f>
        <v>1875</v>
      </c>
      <c r="N672" s="2">
        <v>93.76</v>
      </c>
      <c r="O672" s="2">
        <v>0.24</v>
      </c>
      <c r="P672" s="2">
        <v>1969</v>
      </c>
      <c r="Q672" t="s">
        <v>26</v>
      </c>
      <c r="S672" t="s">
        <v>27</v>
      </c>
      <c r="T672" s="8">
        <v>46019</v>
      </c>
      <c r="U672" s="7">
        <v>0.73033564814814811</v>
      </c>
    </row>
    <row r="673" spans="1:21" x14ac:dyDescent="0.2">
      <c r="A673">
        <v>998</v>
      </c>
      <c r="B673" t="s">
        <v>50</v>
      </c>
      <c r="C673" t="s">
        <v>24</v>
      </c>
      <c r="J673" t="s">
        <v>1208</v>
      </c>
      <c r="K673" s="3">
        <v>2995</v>
      </c>
      <c r="L673" s="2">
        <v>299.5</v>
      </c>
      <c r="M673" s="2">
        <f>+K673-L673</f>
        <v>2695.5</v>
      </c>
      <c r="N673" s="2">
        <v>132.08000000000001</v>
      </c>
      <c r="O673" s="2">
        <v>0.42</v>
      </c>
      <c r="P673" s="2">
        <v>2828</v>
      </c>
      <c r="Q673" t="s">
        <v>30</v>
      </c>
      <c r="S673" t="s">
        <v>27</v>
      </c>
      <c r="T673" s="8">
        <v>46019</v>
      </c>
      <c r="U673" s="7">
        <v>0.82413194444444449</v>
      </c>
    </row>
    <row r="674" spans="1:21" x14ac:dyDescent="0.2">
      <c r="A674">
        <v>999</v>
      </c>
      <c r="B674" t="s">
        <v>43</v>
      </c>
      <c r="C674" t="s">
        <v>24</v>
      </c>
      <c r="J674" t="s">
        <v>1207</v>
      </c>
      <c r="K674" s="3">
        <v>2840</v>
      </c>
      <c r="L674" s="2">
        <v>568</v>
      </c>
      <c r="M674" s="2">
        <f>+K674-L674</f>
        <v>2272</v>
      </c>
      <c r="N674" s="2">
        <v>113.6</v>
      </c>
      <c r="O674" s="2">
        <v>0.4</v>
      </c>
      <c r="P674" s="2">
        <v>2386</v>
      </c>
      <c r="Q674" t="s">
        <v>30</v>
      </c>
      <c r="S674" t="s">
        <v>27</v>
      </c>
      <c r="T674" s="8">
        <v>46019</v>
      </c>
      <c r="U674" s="7">
        <v>0.83910879629629631</v>
      </c>
    </row>
    <row r="675" spans="1:21" x14ac:dyDescent="0.2">
      <c r="A675">
        <v>1000</v>
      </c>
      <c r="B675" t="s">
        <v>47</v>
      </c>
      <c r="C675" t="s">
        <v>24</v>
      </c>
      <c r="J675" t="s">
        <v>61</v>
      </c>
      <c r="K675" s="3">
        <v>840</v>
      </c>
      <c r="L675" s="2">
        <v>0</v>
      </c>
      <c r="M675" s="2">
        <f>+K675-L675</f>
        <v>840</v>
      </c>
      <c r="N675" s="2">
        <v>42</v>
      </c>
      <c r="O675" s="2">
        <v>0</v>
      </c>
      <c r="P675" s="2">
        <v>882</v>
      </c>
      <c r="Q675" t="s">
        <v>30</v>
      </c>
      <c r="S675" t="s">
        <v>27</v>
      </c>
      <c r="T675" s="8">
        <v>46019</v>
      </c>
      <c r="U675" s="7">
        <v>0.86135416666666664</v>
      </c>
    </row>
    <row r="676" spans="1:21" x14ac:dyDescent="0.2">
      <c r="A676">
        <v>1001</v>
      </c>
      <c r="B676" t="s">
        <v>102</v>
      </c>
      <c r="C676" t="s">
        <v>24</v>
      </c>
      <c r="J676" t="s">
        <v>186</v>
      </c>
      <c r="K676" s="3">
        <v>875</v>
      </c>
      <c r="L676" s="2">
        <v>0</v>
      </c>
      <c r="M676" s="2">
        <f>+K676-L676</f>
        <v>875</v>
      </c>
      <c r="N676" s="2">
        <v>43.76</v>
      </c>
      <c r="O676" s="2">
        <v>0.24</v>
      </c>
      <c r="P676" s="2">
        <v>919</v>
      </c>
      <c r="Q676" t="s">
        <v>30</v>
      </c>
      <c r="S676" t="s">
        <v>27</v>
      </c>
      <c r="T676" s="8">
        <v>46019</v>
      </c>
      <c r="U676" s="7">
        <v>0.88407407407407412</v>
      </c>
    </row>
    <row r="677" spans="1:21" x14ac:dyDescent="0.2">
      <c r="A677">
        <v>1002</v>
      </c>
      <c r="B677" t="s">
        <v>23</v>
      </c>
      <c r="C677" t="s">
        <v>24</v>
      </c>
      <c r="J677" t="s">
        <v>185</v>
      </c>
      <c r="K677" s="3">
        <v>1315</v>
      </c>
      <c r="L677" s="2">
        <v>131.5</v>
      </c>
      <c r="M677" s="2">
        <f>+K677-L677</f>
        <v>1183.5</v>
      </c>
      <c r="N677" s="2">
        <v>59.18</v>
      </c>
      <c r="O677" s="2">
        <v>0.32</v>
      </c>
      <c r="P677" s="2">
        <v>1243</v>
      </c>
      <c r="Q677" t="s">
        <v>30</v>
      </c>
      <c r="S677" t="s">
        <v>27</v>
      </c>
      <c r="T677" s="8">
        <v>46019</v>
      </c>
      <c r="U677" s="7">
        <v>0.88484953703703706</v>
      </c>
    </row>
    <row r="678" spans="1:21" x14ac:dyDescent="0.2">
      <c r="A678">
        <v>1003</v>
      </c>
      <c r="B678" t="s">
        <v>183</v>
      </c>
      <c r="C678" t="s">
        <v>24</v>
      </c>
      <c r="J678" t="s">
        <v>184</v>
      </c>
      <c r="K678" s="3">
        <v>190</v>
      </c>
      <c r="L678" s="2">
        <v>0</v>
      </c>
      <c r="M678" s="2">
        <f>+K678-L678</f>
        <v>190</v>
      </c>
      <c r="N678" s="2">
        <v>9.5</v>
      </c>
      <c r="O678" s="2">
        <v>0.5</v>
      </c>
      <c r="P678" s="2">
        <v>200</v>
      </c>
      <c r="Q678" t="s">
        <v>40</v>
      </c>
      <c r="S678" t="s">
        <v>27</v>
      </c>
      <c r="T678" s="8">
        <v>46019</v>
      </c>
      <c r="U678" s="7">
        <v>0.89790509259259255</v>
      </c>
    </row>
    <row r="679" spans="1:21" x14ac:dyDescent="0.2">
      <c r="A679">
        <v>1004</v>
      </c>
      <c r="B679" t="s">
        <v>180</v>
      </c>
      <c r="C679" t="s">
        <v>24</v>
      </c>
      <c r="D679" t="s">
        <v>181</v>
      </c>
      <c r="J679" t="s">
        <v>182</v>
      </c>
      <c r="K679" s="3">
        <v>0</v>
      </c>
      <c r="L679" s="2">
        <v>0</v>
      </c>
      <c r="M679" s="2">
        <f>+K679-L679</f>
        <v>0</v>
      </c>
      <c r="N679" s="2">
        <v>0</v>
      </c>
      <c r="O679" s="2">
        <v>0</v>
      </c>
      <c r="P679" s="2">
        <v>0</v>
      </c>
      <c r="Q679" t="s">
        <v>33</v>
      </c>
      <c r="S679" t="s">
        <v>27</v>
      </c>
      <c r="T679" s="8">
        <v>46019</v>
      </c>
      <c r="U679" s="7">
        <v>0.91074074074074074</v>
      </c>
    </row>
    <row r="680" spans="1:21" x14ac:dyDescent="0.2">
      <c r="A680">
        <v>1005</v>
      </c>
      <c r="B680" t="s">
        <v>52</v>
      </c>
      <c r="C680" t="s">
        <v>24</v>
      </c>
      <c r="J680" t="s">
        <v>179</v>
      </c>
      <c r="K680" s="3">
        <v>520</v>
      </c>
      <c r="L680" s="2">
        <v>0</v>
      </c>
      <c r="M680" s="2">
        <f>+K680-L680</f>
        <v>520</v>
      </c>
      <c r="N680" s="2">
        <v>26</v>
      </c>
      <c r="O680" s="2">
        <v>0</v>
      </c>
      <c r="P680" s="2">
        <v>546</v>
      </c>
      <c r="Q680" t="s">
        <v>40</v>
      </c>
      <c r="S680" t="s">
        <v>27</v>
      </c>
      <c r="T680" s="8">
        <v>46019</v>
      </c>
      <c r="U680" s="7">
        <v>0.91489583333333335</v>
      </c>
    </row>
    <row r="681" spans="1:21" x14ac:dyDescent="0.2">
      <c r="A681">
        <v>1006</v>
      </c>
      <c r="B681" t="s">
        <v>178</v>
      </c>
      <c r="C681" t="s">
        <v>24</v>
      </c>
      <c r="J681" t="s">
        <v>94</v>
      </c>
      <c r="K681" s="3">
        <v>165</v>
      </c>
      <c r="L681" s="2">
        <v>0</v>
      </c>
      <c r="M681" s="2">
        <f>+K681-L681</f>
        <v>165</v>
      </c>
      <c r="N681" s="2">
        <v>8.26</v>
      </c>
      <c r="O681" s="2">
        <v>-0.26</v>
      </c>
      <c r="P681" s="2">
        <v>173</v>
      </c>
      <c r="Q681" t="s">
        <v>40</v>
      </c>
      <c r="S681" t="s">
        <v>27</v>
      </c>
      <c r="T681" s="8">
        <v>46019</v>
      </c>
      <c r="U681" s="7">
        <v>0.91563657407407406</v>
      </c>
    </row>
    <row r="682" spans="1:21" x14ac:dyDescent="0.2">
      <c r="A682">
        <v>1007</v>
      </c>
      <c r="B682" t="s">
        <v>176</v>
      </c>
      <c r="C682" t="s">
        <v>24</v>
      </c>
      <c r="J682" t="s">
        <v>177</v>
      </c>
      <c r="K682" s="3">
        <v>425</v>
      </c>
      <c r="L682" s="2">
        <v>0</v>
      </c>
      <c r="M682" s="2">
        <f>+K682-L682</f>
        <v>425</v>
      </c>
      <c r="N682" s="2">
        <v>21.26</v>
      </c>
      <c r="O682" s="2">
        <v>-0.26</v>
      </c>
      <c r="P682" s="2">
        <v>446</v>
      </c>
      <c r="Q682" t="s">
        <v>40</v>
      </c>
      <c r="S682" t="s">
        <v>27</v>
      </c>
      <c r="T682" s="8">
        <v>46019</v>
      </c>
      <c r="U682" s="7">
        <v>0.91596064814814815</v>
      </c>
    </row>
    <row r="683" spans="1:21" x14ac:dyDescent="0.2">
      <c r="A683">
        <v>1008</v>
      </c>
      <c r="B683" t="s">
        <v>41</v>
      </c>
      <c r="C683" t="s">
        <v>24</v>
      </c>
      <c r="J683" t="s">
        <v>175</v>
      </c>
      <c r="K683" s="3">
        <v>615</v>
      </c>
      <c r="L683" s="2">
        <v>0</v>
      </c>
      <c r="M683" s="2">
        <f>+K683-L683</f>
        <v>615</v>
      </c>
      <c r="N683" s="2">
        <v>30.76</v>
      </c>
      <c r="O683" s="2">
        <v>0.24</v>
      </c>
      <c r="P683" s="2">
        <v>646</v>
      </c>
      <c r="Q683" t="s">
        <v>33</v>
      </c>
      <c r="S683" t="s">
        <v>27</v>
      </c>
      <c r="T683" s="8">
        <v>46019</v>
      </c>
      <c r="U683" s="7">
        <v>0.91870370370370369</v>
      </c>
    </row>
    <row r="684" spans="1:21" x14ac:dyDescent="0.2">
      <c r="A684">
        <v>1009</v>
      </c>
      <c r="B684" t="s">
        <v>174</v>
      </c>
      <c r="C684" t="s">
        <v>24</v>
      </c>
      <c r="J684" t="s">
        <v>96</v>
      </c>
      <c r="K684" s="3">
        <v>290</v>
      </c>
      <c r="L684" s="2">
        <v>0</v>
      </c>
      <c r="M684" s="2">
        <f>+K684-L684</f>
        <v>290</v>
      </c>
      <c r="N684" s="2">
        <v>14.5</v>
      </c>
      <c r="O684" s="2">
        <v>0.5</v>
      </c>
      <c r="P684" s="2">
        <v>305</v>
      </c>
      <c r="Q684" t="s">
        <v>33</v>
      </c>
      <c r="S684" t="s">
        <v>27</v>
      </c>
      <c r="T684" s="8">
        <v>46019</v>
      </c>
      <c r="U684" s="7">
        <v>0.92956018518518524</v>
      </c>
    </row>
    <row r="685" spans="1:21" x14ac:dyDescent="0.2">
      <c r="A685">
        <v>1010</v>
      </c>
      <c r="B685" t="s">
        <v>23</v>
      </c>
      <c r="C685" t="s">
        <v>24</v>
      </c>
      <c r="J685" t="s">
        <v>173</v>
      </c>
      <c r="K685" s="3">
        <v>545</v>
      </c>
      <c r="L685" s="2">
        <v>0</v>
      </c>
      <c r="M685" s="2">
        <f>+K685-L685</f>
        <v>545</v>
      </c>
      <c r="N685" s="2">
        <v>27.26</v>
      </c>
      <c r="O685" s="2">
        <v>-0.26</v>
      </c>
      <c r="P685" s="2">
        <v>572</v>
      </c>
      <c r="Q685" t="s">
        <v>40</v>
      </c>
      <c r="S685" t="s">
        <v>27</v>
      </c>
      <c r="T685" s="8">
        <v>46019</v>
      </c>
      <c r="U685" s="7">
        <v>0.93383101851851846</v>
      </c>
    </row>
    <row r="686" spans="1:21" x14ac:dyDescent="0.2">
      <c r="A686">
        <v>1011</v>
      </c>
      <c r="B686" t="s">
        <v>172</v>
      </c>
      <c r="C686" t="s">
        <v>24</v>
      </c>
      <c r="J686" t="s">
        <v>32</v>
      </c>
      <c r="K686" s="3">
        <v>390</v>
      </c>
      <c r="L686" s="2">
        <v>0</v>
      </c>
      <c r="M686" s="2">
        <f>+K686-L686</f>
        <v>390</v>
      </c>
      <c r="N686" s="2">
        <v>19.5</v>
      </c>
      <c r="O686" s="2">
        <v>0.5</v>
      </c>
      <c r="P686" s="2">
        <v>410</v>
      </c>
      <c r="Q686" t="s">
        <v>40</v>
      </c>
      <c r="S686" t="s">
        <v>27</v>
      </c>
      <c r="T686" s="8">
        <v>46019</v>
      </c>
      <c r="U686" s="7">
        <v>0.93709490740740742</v>
      </c>
    </row>
    <row r="687" spans="1:21" x14ac:dyDescent="0.2">
      <c r="A687">
        <v>1012</v>
      </c>
      <c r="B687" t="s">
        <v>50</v>
      </c>
      <c r="C687" t="s">
        <v>24</v>
      </c>
      <c r="J687" t="s">
        <v>167</v>
      </c>
      <c r="K687" s="3">
        <v>169</v>
      </c>
      <c r="L687" s="2">
        <v>0</v>
      </c>
      <c r="M687" s="2">
        <f>+K687-L687</f>
        <v>169</v>
      </c>
      <c r="N687" s="2">
        <v>30.42</v>
      </c>
      <c r="O687" s="2">
        <v>-0.42</v>
      </c>
      <c r="P687" s="2">
        <v>199</v>
      </c>
      <c r="Q687" t="s">
        <v>40</v>
      </c>
      <c r="S687" t="s">
        <v>27</v>
      </c>
      <c r="T687" s="8">
        <v>46019</v>
      </c>
      <c r="U687" s="7">
        <v>0.93881944444444443</v>
      </c>
    </row>
    <row r="688" spans="1:21" x14ac:dyDescent="0.2">
      <c r="A688">
        <v>1013</v>
      </c>
      <c r="B688" t="s">
        <v>170</v>
      </c>
      <c r="C688" t="s">
        <v>24</v>
      </c>
      <c r="J688" t="s">
        <v>171</v>
      </c>
      <c r="K688" s="3">
        <v>935</v>
      </c>
      <c r="L688" s="2">
        <v>0</v>
      </c>
      <c r="M688" s="2">
        <f>+K688-L688</f>
        <v>935</v>
      </c>
      <c r="N688" s="2">
        <v>46.76</v>
      </c>
      <c r="O688" s="2">
        <v>0.24</v>
      </c>
      <c r="P688" s="2">
        <v>982</v>
      </c>
      <c r="Q688" t="s">
        <v>40</v>
      </c>
      <c r="S688" t="s">
        <v>27</v>
      </c>
      <c r="T688" s="8">
        <v>46019</v>
      </c>
      <c r="U688" s="7">
        <v>0.93944444444444442</v>
      </c>
    </row>
    <row r="689" spans="1:21" x14ac:dyDescent="0.2">
      <c r="A689">
        <v>1014</v>
      </c>
      <c r="B689" t="s">
        <v>168</v>
      </c>
      <c r="C689" t="s">
        <v>24</v>
      </c>
      <c r="J689" t="s">
        <v>169</v>
      </c>
      <c r="K689" s="3">
        <v>1815</v>
      </c>
      <c r="L689" s="2">
        <v>0</v>
      </c>
      <c r="M689" s="2">
        <f>+K689-L689</f>
        <v>1815</v>
      </c>
      <c r="N689" s="2">
        <v>90.76</v>
      </c>
      <c r="O689" s="2">
        <v>0.24</v>
      </c>
      <c r="P689" s="2">
        <v>1906</v>
      </c>
      <c r="Q689" t="s">
        <v>40</v>
      </c>
      <c r="S689" t="s">
        <v>27</v>
      </c>
      <c r="T689" s="8">
        <v>46019</v>
      </c>
      <c r="U689" s="7">
        <v>0.94289351851851855</v>
      </c>
    </row>
    <row r="690" spans="1:21" x14ac:dyDescent="0.2">
      <c r="A690">
        <v>1015</v>
      </c>
      <c r="B690" t="s">
        <v>47</v>
      </c>
      <c r="C690" t="s">
        <v>24</v>
      </c>
      <c r="J690" t="s">
        <v>167</v>
      </c>
      <c r="K690" s="3">
        <v>169</v>
      </c>
      <c r="L690" s="2">
        <v>0</v>
      </c>
      <c r="M690" s="2">
        <f>+K690-L690</f>
        <v>169</v>
      </c>
      <c r="N690" s="2">
        <v>30.42</v>
      </c>
      <c r="O690" s="2">
        <v>-0.42</v>
      </c>
      <c r="P690" s="2">
        <v>199</v>
      </c>
      <c r="Q690" t="s">
        <v>40</v>
      </c>
      <c r="S690" t="s">
        <v>27</v>
      </c>
      <c r="T690" s="8">
        <v>46019</v>
      </c>
      <c r="U690" s="7">
        <v>0.94380787037037039</v>
      </c>
    </row>
    <row r="691" spans="1:21" x14ac:dyDescent="0.2">
      <c r="A691">
        <v>1016</v>
      </c>
      <c r="B691" t="s">
        <v>43</v>
      </c>
      <c r="C691" t="s">
        <v>24</v>
      </c>
      <c r="J691" t="s">
        <v>166</v>
      </c>
      <c r="K691" s="3">
        <v>490</v>
      </c>
      <c r="L691" s="2">
        <v>0</v>
      </c>
      <c r="M691" s="2">
        <f>+K691-L691</f>
        <v>490</v>
      </c>
      <c r="N691" s="2">
        <v>24.5</v>
      </c>
      <c r="O691" s="2">
        <v>0.5</v>
      </c>
      <c r="P691" s="2">
        <v>515</v>
      </c>
      <c r="Q691" t="s">
        <v>40</v>
      </c>
      <c r="S691" t="s">
        <v>27</v>
      </c>
      <c r="T691" s="8">
        <v>46019</v>
      </c>
      <c r="U691" s="7">
        <v>0.94799768518518523</v>
      </c>
    </row>
    <row r="692" spans="1:21" x14ac:dyDescent="0.2">
      <c r="A692">
        <v>1017</v>
      </c>
      <c r="B692" t="s">
        <v>164</v>
      </c>
      <c r="C692" t="s">
        <v>24</v>
      </c>
      <c r="J692" t="s">
        <v>165</v>
      </c>
      <c r="K692" s="3">
        <v>1375</v>
      </c>
      <c r="L692" s="2">
        <v>137.5</v>
      </c>
      <c r="M692" s="2">
        <f>+K692-L692</f>
        <v>1237.5</v>
      </c>
      <c r="N692" s="2">
        <v>61.88</v>
      </c>
      <c r="O692" s="2">
        <v>-0.38</v>
      </c>
      <c r="P692" s="2">
        <v>1299</v>
      </c>
      <c r="Q692" t="s">
        <v>30</v>
      </c>
      <c r="S692" t="s">
        <v>27</v>
      </c>
      <c r="T692" s="8">
        <v>46019</v>
      </c>
      <c r="U692" s="7">
        <v>0.95208333333333328</v>
      </c>
    </row>
    <row r="693" spans="1:21" x14ac:dyDescent="0.2">
      <c r="A693">
        <v>1018</v>
      </c>
      <c r="B693" t="s">
        <v>162</v>
      </c>
      <c r="C693" t="s">
        <v>24</v>
      </c>
      <c r="J693" t="s">
        <v>163</v>
      </c>
      <c r="K693" s="3">
        <v>770</v>
      </c>
      <c r="L693" s="2">
        <v>77</v>
      </c>
      <c r="M693" s="2">
        <f>+K693-L693</f>
        <v>693</v>
      </c>
      <c r="N693" s="2">
        <v>34.659999999999997</v>
      </c>
      <c r="O693" s="2">
        <v>0.34</v>
      </c>
      <c r="P693" s="2">
        <v>728</v>
      </c>
      <c r="Q693" t="s">
        <v>33</v>
      </c>
      <c r="S693" t="s">
        <v>27</v>
      </c>
      <c r="T693" s="8">
        <v>46019</v>
      </c>
      <c r="U693" s="7">
        <v>0.95283564814814814</v>
      </c>
    </row>
    <row r="694" spans="1:21" x14ac:dyDescent="0.2">
      <c r="A694">
        <v>1019</v>
      </c>
      <c r="B694" t="s">
        <v>160</v>
      </c>
      <c r="C694" t="s">
        <v>24</v>
      </c>
      <c r="J694" t="s">
        <v>161</v>
      </c>
      <c r="K694" s="3">
        <v>0</v>
      </c>
      <c r="L694" s="2">
        <v>0</v>
      </c>
      <c r="M694" s="2">
        <f>+K694-L694</f>
        <v>0</v>
      </c>
      <c r="N694" s="2">
        <v>0</v>
      </c>
      <c r="O694" s="2">
        <v>0</v>
      </c>
      <c r="P694" s="2">
        <v>0</v>
      </c>
      <c r="Q694" t="s">
        <v>33</v>
      </c>
      <c r="S694" t="s">
        <v>27</v>
      </c>
      <c r="T694" s="8">
        <v>46019</v>
      </c>
      <c r="U694" s="7">
        <v>0.95341435185185186</v>
      </c>
    </row>
    <row r="695" spans="1:21" x14ac:dyDescent="0.2">
      <c r="A695">
        <v>1020</v>
      </c>
      <c r="B695" t="s">
        <v>28</v>
      </c>
      <c r="C695" t="s">
        <v>24</v>
      </c>
      <c r="J695" t="s">
        <v>159</v>
      </c>
      <c r="K695" s="3">
        <v>1455</v>
      </c>
      <c r="L695" s="2">
        <v>0</v>
      </c>
      <c r="M695" s="2">
        <f>+K695-L695</f>
        <v>1455</v>
      </c>
      <c r="N695" s="2">
        <v>66.760000000000005</v>
      </c>
      <c r="O695" s="2">
        <v>0.24</v>
      </c>
      <c r="P695" s="2">
        <v>1522</v>
      </c>
      <c r="Q695" t="s">
        <v>30</v>
      </c>
      <c r="S695" t="s">
        <v>27</v>
      </c>
      <c r="T695" s="8">
        <v>46019</v>
      </c>
      <c r="U695" s="7">
        <v>0.95365740740740745</v>
      </c>
    </row>
    <row r="696" spans="1:21" x14ac:dyDescent="0.2">
      <c r="A696">
        <v>1021</v>
      </c>
      <c r="B696" t="s">
        <v>157</v>
      </c>
      <c r="C696" t="s">
        <v>24</v>
      </c>
      <c r="J696" t="s">
        <v>158</v>
      </c>
      <c r="K696" s="3">
        <v>359</v>
      </c>
      <c r="L696" s="2">
        <v>0</v>
      </c>
      <c r="M696" s="2">
        <f>+K696-L696</f>
        <v>359</v>
      </c>
      <c r="N696" s="2">
        <v>39.92</v>
      </c>
      <c r="O696" s="2">
        <v>0.08</v>
      </c>
      <c r="P696" s="2">
        <v>399</v>
      </c>
      <c r="Q696" t="s">
        <v>40</v>
      </c>
      <c r="S696" t="s">
        <v>27</v>
      </c>
      <c r="T696" s="8">
        <v>46019</v>
      </c>
      <c r="U696" s="7">
        <v>0.95546296296296296</v>
      </c>
    </row>
    <row r="697" spans="1:21" x14ac:dyDescent="0.2">
      <c r="A697">
        <v>1022</v>
      </c>
      <c r="B697" t="s">
        <v>155</v>
      </c>
      <c r="C697" t="s">
        <v>24</v>
      </c>
      <c r="J697" t="s">
        <v>156</v>
      </c>
      <c r="K697" s="3">
        <v>1273</v>
      </c>
      <c r="L697" s="2">
        <v>0</v>
      </c>
      <c r="M697" s="2">
        <f>+K697-L697</f>
        <v>1273</v>
      </c>
      <c r="N697" s="2">
        <v>104.6</v>
      </c>
      <c r="O697" s="2">
        <v>0.4</v>
      </c>
      <c r="P697" s="2">
        <v>1378</v>
      </c>
      <c r="Q697" t="s">
        <v>40</v>
      </c>
      <c r="S697" t="s">
        <v>27</v>
      </c>
      <c r="T697" s="8">
        <v>46019</v>
      </c>
      <c r="U697" s="7">
        <v>0.95603009259259264</v>
      </c>
    </row>
    <row r="698" spans="1:21" x14ac:dyDescent="0.2">
      <c r="A698">
        <v>1023</v>
      </c>
      <c r="B698" t="s">
        <v>153</v>
      </c>
      <c r="C698" t="s">
        <v>24</v>
      </c>
      <c r="J698" t="s">
        <v>154</v>
      </c>
      <c r="K698" s="3">
        <v>1045</v>
      </c>
      <c r="L698" s="2">
        <v>0</v>
      </c>
      <c r="M698" s="2">
        <f>+K698-L698</f>
        <v>1045</v>
      </c>
      <c r="N698" s="2">
        <v>52.26</v>
      </c>
      <c r="O698" s="2">
        <v>-0.26</v>
      </c>
      <c r="P698" s="2">
        <v>1097</v>
      </c>
      <c r="Q698" t="s">
        <v>40</v>
      </c>
      <c r="S698" t="s">
        <v>27</v>
      </c>
      <c r="T698" s="8">
        <v>46019</v>
      </c>
      <c r="U698" s="7">
        <v>0.95699074074074075</v>
      </c>
    </row>
    <row r="699" spans="1:21" x14ac:dyDescent="0.2">
      <c r="A699">
        <v>1024</v>
      </c>
      <c r="B699" t="s">
        <v>151</v>
      </c>
      <c r="C699" t="s">
        <v>24</v>
      </c>
      <c r="J699" t="s">
        <v>152</v>
      </c>
      <c r="K699" s="3">
        <v>1955</v>
      </c>
      <c r="L699" s="2">
        <v>195.5</v>
      </c>
      <c r="M699" s="2">
        <f>+K699-L699</f>
        <v>1759.5</v>
      </c>
      <c r="N699" s="2">
        <v>87.98</v>
      </c>
      <c r="O699" s="2">
        <v>-0.48</v>
      </c>
      <c r="P699" s="2">
        <v>1847</v>
      </c>
      <c r="Q699" t="s">
        <v>40</v>
      </c>
      <c r="S699" t="s">
        <v>27</v>
      </c>
      <c r="T699" s="8">
        <v>46019</v>
      </c>
      <c r="U699" s="7">
        <v>0.9623842592592593</v>
      </c>
    </row>
    <row r="700" spans="1:21" x14ac:dyDescent="0.2">
      <c r="A700">
        <v>1025</v>
      </c>
      <c r="B700" t="s">
        <v>150</v>
      </c>
      <c r="C700" t="s">
        <v>24</v>
      </c>
      <c r="J700" t="s">
        <v>29</v>
      </c>
      <c r="K700" s="3">
        <v>380</v>
      </c>
      <c r="L700" s="2">
        <v>0</v>
      </c>
      <c r="M700" s="2">
        <f>+K700-L700</f>
        <v>380</v>
      </c>
      <c r="N700" s="2">
        <v>19</v>
      </c>
      <c r="O700" s="2">
        <v>0</v>
      </c>
      <c r="P700" s="2">
        <v>399</v>
      </c>
      <c r="Q700" t="s">
        <v>40</v>
      </c>
      <c r="S700" t="s">
        <v>27</v>
      </c>
      <c r="T700" s="8">
        <v>46019</v>
      </c>
      <c r="U700" s="7">
        <v>0.96346064814814814</v>
      </c>
    </row>
    <row r="701" spans="1:21" x14ac:dyDescent="0.2">
      <c r="A701">
        <v>1026</v>
      </c>
      <c r="B701" t="s">
        <v>149</v>
      </c>
      <c r="C701" t="s">
        <v>24</v>
      </c>
      <c r="J701" t="s">
        <v>90</v>
      </c>
      <c r="K701" s="3">
        <v>325</v>
      </c>
      <c r="L701" s="2">
        <v>0</v>
      </c>
      <c r="M701" s="2">
        <f>+K701-L701</f>
        <v>325</v>
      </c>
      <c r="N701" s="2">
        <v>16.260000000000002</v>
      </c>
      <c r="O701" s="2">
        <v>-0.26</v>
      </c>
      <c r="P701" s="2">
        <v>341</v>
      </c>
      <c r="Q701" t="s">
        <v>40</v>
      </c>
      <c r="S701" t="s">
        <v>27</v>
      </c>
      <c r="T701" s="8">
        <v>46019</v>
      </c>
      <c r="U701" s="7">
        <v>0.96364583333333331</v>
      </c>
    </row>
    <row r="702" spans="1:21" x14ac:dyDescent="0.2">
      <c r="A702">
        <v>1027</v>
      </c>
      <c r="B702" t="s">
        <v>147</v>
      </c>
      <c r="C702" t="s">
        <v>24</v>
      </c>
      <c r="J702" t="s">
        <v>148</v>
      </c>
      <c r="K702" s="3">
        <v>795</v>
      </c>
      <c r="L702" s="2">
        <v>79.5</v>
      </c>
      <c r="M702" s="2">
        <f>+K702-L702</f>
        <v>715.5</v>
      </c>
      <c r="N702" s="2">
        <v>35.78</v>
      </c>
      <c r="O702" s="2">
        <v>-0.28000000000000003</v>
      </c>
      <c r="P702" s="2">
        <v>751</v>
      </c>
      <c r="Q702" t="s">
        <v>40</v>
      </c>
      <c r="S702" t="s">
        <v>27</v>
      </c>
      <c r="T702" s="8">
        <v>46019</v>
      </c>
      <c r="U702" s="7">
        <v>0.96371527777777777</v>
      </c>
    </row>
    <row r="703" spans="1:21" x14ac:dyDescent="0.2">
      <c r="A703">
        <v>1028</v>
      </c>
      <c r="B703" t="s">
        <v>145</v>
      </c>
      <c r="C703" t="s">
        <v>24</v>
      </c>
      <c r="J703" t="s">
        <v>146</v>
      </c>
      <c r="K703" s="3">
        <v>0</v>
      </c>
      <c r="L703" s="2">
        <v>0</v>
      </c>
      <c r="M703" s="2">
        <f>+K703-L703</f>
        <v>0</v>
      </c>
      <c r="N703" s="2">
        <v>0</v>
      </c>
      <c r="O703" s="2">
        <v>0</v>
      </c>
      <c r="P703" s="2">
        <v>0</v>
      </c>
      <c r="Q703" t="s">
        <v>33</v>
      </c>
      <c r="S703" t="s">
        <v>27</v>
      </c>
      <c r="T703" s="8">
        <v>46019</v>
      </c>
      <c r="U703" s="7">
        <v>0.96597222222222223</v>
      </c>
    </row>
    <row r="704" spans="1:21" x14ac:dyDescent="0.2">
      <c r="A704">
        <v>1029</v>
      </c>
      <c r="B704" t="s">
        <v>143</v>
      </c>
      <c r="C704" t="s">
        <v>24</v>
      </c>
      <c r="J704" t="s">
        <v>144</v>
      </c>
      <c r="K704" s="3">
        <v>380</v>
      </c>
      <c r="L704" s="2">
        <v>0</v>
      </c>
      <c r="M704" s="2">
        <f>+K704-L704</f>
        <v>380</v>
      </c>
      <c r="N704" s="2">
        <v>19</v>
      </c>
      <c r="O704" s="2">
        <v>0</v>
      </c>
      <c r="P704" s="2">
        <v>399</v>
      </c>
      <c r="Q704" t="s">
        <v>40</v>
      </c>
      <c r="S704" t="s">
        <v>27</v>
      </c>
      <c r="T704" s="8">
        <v>46019</v>
      </c>
      <c r="U704" s="7">
        <v>0.96636574074074078</v>
      </c>
    </row>
    <row r="705" spans="1:21" x14ac:dyDescent="0.2">
      <c r="A705">
        <v>1030</v>
      </c>
      <c r="B705" t="s">
        <v>34</v>
      </c>
      <c r="C705" t="s">
        <v>24</v>
      </c>
      <c r="J705" t="s">
        <v>76</v>
      </c>
      <c r="K705" s="3">
        <v>0</v>
      </c>
      <c r="L705" s="2">
        <v>0</v>
      </c>
      <c r="M705" s="2">
        <f>+K705-L705</f>
        <v>0</v>
      </c>
      <c r="N705" s="2">
        <v>0</v>
      </c>
      <c r="O705" s="2">
        <v>0</v>
      </c>
      <c r="P705" s="2">
        <v>0</v>
      </c>
      <c r="Q705" t="s">
        <v>33</v>
      </c>
      <c r="S705" t="s">
        <v>27</v>
      </c>
      <c r="T705" s="8">
        <v>46019</v>
      </c>
      <c r="U705" s="7">
        <v>0.97006944444444443</v>
      </c>
    </row>
    <row r="706" spans="1:21" x14ac:dyDescent="0.2">
      <c r="A706">
        <v>1031</v>
      </c>
      <c r="B706" t="s">
        <v>43</v>
      </c>
      <c r="C706" t="s">
        <v>24</v>
      </c>
      <c r="J706" t="s">
        <v>142</v>
      </c>
      <c r="K706" s="3">
        <v>920</v>
      </c>
      <c r="L706" s="2">
        <v>92</v>
      </c>
      <c r="M706" s="2">
        <f>+K706-L706</f>
        <v>828</v>
      </c>
      <c r="N706" s="2">
        <v>41.4</v>
      </c>
      <c r="O706" s="2">
        <v>-0.4</v>
      </c>
      <c r="P706" s="2">
        <v>869</v>
      </c>
      <c r="Q706" t="s">
        <v>40</v>
      </c>
      <c r="S706" t="s">
        <v>27</v>
      </c>
      <c r="T706" s="8">
        <v>46020</v>
      </c>
      <c r="U706" s="7">
        <v>0.6165046296296296</v>
      </c>
    </row>
    <row r="707" spans="1:21" x14ac:dyDescent="0.2">
      <c r="A707">
        <v>1032</v>
      </c>
      <c r="B707" t="s">
        <v>52</v>
      </c>
      <c r="C707" t="s">
        <v>24</v>
      </c>
      <c r="J707" t="s">
        <v>76</v>
      </c>
      <c r="K707" s="3">
        <v>1000</v>
      </c>
      <c r="L707" s="2">
        <v>0</v>
      </c>
      <c r="M707" s="2">
        <f>+K707-L707</f>
        <v>1000</v>
      </c>
      <c r="N707" s="2">
        <v>50</v>
      </c>
      <c r="O707" s="2">
        <v>0</v>
      </c>
      <c r="P707" s="2">
        <v>1050</v>
      </c>
      <c r="Q707" t="s">
        <v>40</v>
      </c>
      <c r="S707" t="s">
        <v>27</v>
      </c>
      <c r="T707" s="8">
        <v>46020</v>
      </c>
      <c r="U707" s="7">
        <v>0.66553240740740738</v>
      </c>
    </row>
    <row r="708" spans="1:21" x14ac:dyDescent="0.2">
      <c r="A708">
        <v>1033</v>
      </c>
      <c r="B708" t="s">
        <v>23</v>
      </c>
      <c r="C708" t="s">
        <v>24</v>
      </c>
      <c r="J708" t="s">
        <v>141</v>
      </c>
      <c r="K708" s="3">
        <v>220</v>
      </c>
      <c r="L708" s="2">
        <v>0</v>
      </c>
      <c r="M708" s="2">
        <f>+K708-L708</f>
        <v>220</v>
      </c>
      <c r="N708" s="2">
        <v>11</v>
      </c>
      <c r="O708" s="2">
        <v>0</v>
      </c>
      <c r="P708" s="2">
        <v>231</v>
      </c>
      <c r="Q708" t="s">
        <v>30</v>
      </c>
      <c r="S708" t="s">
        <v>27</v>
      </c>
      <c r="T708" s="8">
        <v>46020</v>
      </c>
      <c r="U708" s="7">
        <v>0.67335648148148153</v>
      </c>
    </row>
    <row r="709" spans="1:21" x14ac:dyDescent="0.2">
      <c r="A709">
        <v>1034</v>
      </c>
      <c r="B709" t="s">
        <v>102</v>
      </c>
      <c r="C709" t="s">
        <v>24</v>
      </c>
      <c r="J709" t="s">
        <v>140</v>
      </c>
      <c r="K709" s="3">
        <v>595</v>
      </c>
      <c r="L709" s="2">
        <v>0</v>
      </c>
      <c r="M709" s="2">
        <f>+K709-L709</f>
        <v>595</v>
      </c>
      <c r="N709" s="2">
        <v>29.76</v>
      </c>
      <c r="O709" s="2">
        <v>0.24</v>
      </c>
      <c r="P709" s="2">
        <v>625</v>
      </c>
      <c r="Q709" t="s">
        <v>40</v>
      </c>
      <c r="S709" t="s">
        <v>27</v>
      </c>
      <c r="T709" s="8">
        <v>46020</v>
      </c>
      <c r="U709" s="7">
        <v>0.68579861111111107</v>
      </c>
    </row>
    <row r="710" spans="1:21" x14ac:dyDescent="0.2">
      <c r="A710">
        <v>1035</v>
      </c>
      <c r="B710" t="s">
        <v>54</v>
      </c>
      <c r="C710" t="s">
        <v>24</v>
      </c>
      <c r="J710" t="s">
        <v>139</v>
      </c>
      <c r="K710" s="3">
        <v>770</v>
      </c>
      <c r="L710" s="2">
        <v>0</v>
      </c>
      <c r="M710" s="2">
        <f>+K710-L710</f>
        <v>770</v>
      </c>
      <c r="N710" s="2">
        <v>38.5</v>
      </c>
      <c r="O710" s="2">
        <v>0.5</v>
      </c>
      <c r="P710" s="2">
        <v>809</v>
      </c>
      <c r="Q710" t="s">
        <v>26</v>
      </c>
      <c r="S710" t="s">
        <v>27</v>
      </c>
      <c r="T710" s="8">
        <v>46020</v>
      </c>
      <c r="U710" s="7">
        <v>0.75574074074074071</v>
      </c>
    </row>
    <row r="711" spans="1:21" x14ac:dyDescent="0.2">
      <c r="A711">
        <v>1036</v>
      </c>
      <c r="B711" t="s">
        <v>52</v>
      </c>
      <c r="C711" t="s">
        <v>24</v>
      </c>
      <c r="J711" t="s">
        <v>138</v>
      </c>
      <c r="K711" s="3">
        <v>1125</v>
      </c>
      <c r="L711" s="2">
        <v>112.5</v>
      </c>
      <c r="M711" s="2">
        <f>+K711-L711</f>
        <v>1012.5</v>
      </c>
      <c r="N711" s="2">
        <v>50.62</v>
      </c>
      <c r="O711" s="2">
        <v>-0.12</v>
      </c>
      <c r="P711" s="2">
        <v>1063</v>
      </c>
      <c r="Q711" t="s">
        <v>40</v>
      </c>
      <c r="S711" t="s">
        <v>27</v>
      </c>
      <c r="T711" s="8">
        <v>46020</v>
      </c>
      <c r="U711" s="7">
        <v>0.77244212962962966</v>
      </c>
    </row>
    <row r="712" spans="1:21" x14ac:dyDescent="0.2">
      <c r="A712">
        <v>1037</v>
      </c>
      <c r="B712" t="s">
        <v>23</v>
      </c>
      <c r="C712" t="s">
        <v>24</v>
      </c>
      <c r="J712" t="s">
        <v>137</v>
      </c>
      <c r="K712" s="3">
        <v>1110</v>
      </c>
      <c r="L712" s="2">
        <v>0</v>
      </c>
      <c r="M712" s="2">
        <f>+K712-L712</f>
        <v>1110</v>
      </c>
      <c r="N712" s="2">
        <v>55.5</v>
      </c>
      <c r="O712" s="2">
        <v>0.5</v>
      </c>
      <c r="P712" s="2">
        <v>1166</v>
      </c>
      <c r="Q712" t="s">
        <v>40</v>
      </c>
      <c r="S712" t="s">
        <v>27</v>
      </c>
      <c r="T712" s="8">
        <v>46020</v>
      </c>
      <c r="U712" s="7">
        <v>0.82378472222222221</v>
      </c>
    </row>
    <row r="713" spans="1:21" x14ac:dyDescent="0.2">
      <c r="A713">
        <v>1038</v>
      </c>
      <c r="B713" t="s">
        <v>54</v>
      </c>
      <c r="C713" t="s">
        <v>24</v>
      </c>
      <c r="J713" t="s">
        <v>134</v>
      </c>
      <c r="K713" s="3">
        <v>2074</v>
      </c>
      <c r="L713" s="2">
        <v>0</v>
      </c>
      <c r="M713" s="2">
        <f>+K713-L713</f>
        <v>2074</v>
      </c>
      <c r="N713" s="2">
        <v>93.96</v>
      </c>
      <c r="O713" s="2">
        <v>0.04</v>
      </c>
      <c r="P713" s="2">
        <v>0</v>
      </c>
      <c r="Q713" t="s">
        <v>135</v>
      </c>
      <c r="R713" t="s">
        <v>136</v>
      </c>
      <c r="S713" t="s">
        <v>27</v>
      </c>
      <c r="T713" s="8">
        <v>46020</v>
      </c>
      <c r="U713" s="7">
        <v>0.84637731481481482</v>
      </c>
    </row>
    <row r="714" spans="1:21" x14ac:dyDescent="0.2">
      <c r="A714">
        <v>1039</v>
      </c>
      <c r="B714" t="s">
        <v>133</v>
      </c>
      <c r="C714" t="s">
        <v>24</v>
      </c>
      <c r="J714" t="s">
        <v>65</v>
      </c>
      <c r="K714" s="3">
        <v>480</v>
      </c>
      <c r="L714" s="2">
        <v>0</v>
      </c>
      <c r="M714" s="2">
        <f>+K714-L714</f>
        <v>480</v>
      </c>
      <c r="N714" s="2">
        <v>24</v>
      </c>
      <c r="O714" s="2">
        <v>0</v>
      </c>
      <c r="P714" s="2">
        <v>504</v>
      </c>
      <c r="Q714" t="s">
        <v>33</v>
      </c>
      <c r="S714" t="s">
        <v>27</v>
      </c>
      <c r="T714" s="8">
        <v>46020</v>
      </c>
      <c r="U714" s="7">
        <v>0.84952546296296294</v>
      </c>
    </row>
    <row r="715" spans="1:21" x14ac:dyDescent="0.2">
      <c r="A715">
        <v>1040</v>
      </c>
      <c r="B715" t="s">
        <v>47</v>
      </c>
      <c r="C715" t="s">
        <v>24</v>
      </c>
      <c r="J715" t="s">
        <v>132</v>
      </c>
      <c r="K715" s="3">
        <v>770</v>
      </c>
      <c r="L715" s="2">
        <v>0</v>
      </c>
      <c r="M715" s="2">
        <f>+K715-L715</f>
        <v>770</v>
      </c>
      <c r="N715" s="2">
        <v>38.5</v>
      </c>
      <c r="O715" s="2">
        <v>0.5</v>
      </c>
      <c r="P715" s="2">
        <v>809</v>
      </c>
      <c r="Q715" t="s">
        <v>30</v>
      </c>
      <c r="S715" t="s">
        <v>27</v>
      </c>
      <c r="T715" s="8">
        <v>46020</v>
      </c>
      <c r="U715" s="7">
        <v>0.86305555555555558</v>
      </c>
    </row>
    <row r="716" spans="1:21" x14ac:dyDescent="0.2">
      <c r="A716">
        <v>1041</v>
      </c>
      <c r="B716" t="s">
        <v>130</v>
      </c>
      <c r="C716" t="s">
        <v>24</v>
      </c>
      <c r="J716" t="s">
        <v>131</v>
      </c>
      <c r="K716" s="3">
        <v>550</v>
      </c>
      <c r="L716" s="2">
        <v>0</v>
      </c>
      <c r="M716" s="2">
        <f>+K716-L716</f>
        <v>550</v>
      </c>
      <c r="N716" s="2">
        <v>27.5</v>
      </c>
      <c r="O716" s="2">
        <v>0.5</v>
      </c>
      <c r="P716" s="2">
        <v>578</v>
      </c>
      <c r="Q716" t="s">
        <v>40</v>
      </c>
      <c r="S716" t="s">
        <v>27</v>
      </c>
      <c r="T716" s="8">
        <v>46020</v>
      </c>
      <c r="U716" s="7">
        <v>0.874537037037037</v>
      </c>
    </row>
    <row r="717" spans="1:21" x14ac:dyDescent="0.2">
      <c r="A717">
        <v>1042</v>
      </c>
      <c r="B717" t="s">
        <v>54</v>
      </c>
      <c r="C717" t="s">
        <v>24</v>
      </c>
      <c r="J717" t="s">
        <v>129</v>
      </c>
      <c r="K717" s="3">
        <v>2025</v>
      </c>
      <c r="L717" s="2">
        <v>0</v>
      </c>
      <c r="M717" s="2">
        <f>+K717-L717</f>
        <v>2025</v>
      </c>
      <c r="N717" s="2">
        <v>101.26</v>
      </c>
      <c r="O717" s="2">
        <v>-0.26</v>
      </c>
      <c r="P717" s="2">
        <v>2126</v>
      </c>
      <c r="Q717" t="s">
        <v>40</v>
      </c>
      <c r="S717" t="s">
        <v>27</v>
      </c>
      <c r="T717" s="8">
        <v>46020</v>
      </c>
      <c r="U717" s="7">
        <v>0.90216435185185184</v>
      </c>
    </row>
    <row r="718" spans="1:21" x14ac:dyDescent="0.2">
      <c r="A718">
        <v>1043</v>
      </c>
      <c r="B718" t="s">
        <v>41</v>
      </c>
      <c r="C718" t="s">
        <v>24</v>
      </c>
      <c r="J718" t="s">
        <v>128</v>
      </c>
      <c r="K718" s="3">
        <v>645</v>
      </c>
      <c r="L718" s="2">
        <v>64.5</v>
      </c>
      <c r="M718" s="2">
        <f>+K718-L718</f>
        <v>580.5</v>
      </c>
      <c r="N718" s="2">
        <v>22.28</v>
      </c>
      <c r="O718" s="2">
        <v>0.22</v>
      </c>
      <c r="P718" s="2">
        <v>603</v>
      </c>
      <c r="Q718" t="s">
        <v>33</v>
      </c>
      <c r="S718" t="s">
        <v>27</v>
      </c>
      <c r="T718" s="8">
        <v>46020</v>
      </c>
      <c r="U718" s="7">
        <v>0.9274189814814815</v>
      </c>
    </row>
    <row r="719" spans="1:21" x14ac:dyDescent="0.2">
      <c r="A719">
        <v>1044</v>
      </c>
      <c r="B719" t="s">
        <v>126</v>
      </c>
      <c r="C719" t="s">
        <v>24</v>
      </c>
      <c r="J719" t="s">
        <v>127</v>
      </c>
      <c r="K719" s="3">
        <v>0</v>
      </c>
      <c r="L719" s="2">
        <v>0</v>
      </c>
      <c r="M719" s="2">
        <f>+K719-L719</f>
        <v>0</v>
      </c>
      <c r="N719" s="2">
        <v>0</v>
      </c>
      <c r="O719" s="2">
        <v>0</v>
      </c>
      <c r="P719" s="2">
        <v>0</v>
      </c>
      <c r="Q719" t="s">
        <v>33</v>
      </c>
      <c r="S719" t="s">
        <v>27</v>
      </c>
      <c r="T719" s="8">
        <v>46020</v>
      </c>
      <c r="U719" s="7">
        <v>0.95841435185185186</v>
      </c>
    </row>
    <row r="720" spans="1:21" x14ac:dyDescent="0.2">
      <c r="A720">
        <v>1045</v>
      </c>
      <c r="B720" t="s">
        <v>31</v>
      </c>
      <c r="C720" t="s">
        <v>24</v>
      </c>
      <c r="J720" t="s">
        <v>125</v>
      </c>
      <c r="K720" s="3">
        <v>0</v>
      </c>
      <c r="L720" s="2">
        <v>0</v>
      </c>
      <c r="M720" s="2">
        <f>+K720-L720</f>
        <v>0</v>
      </c>
      <c r="N720" s="2">
        <v>0</v>
      </c>
      <c r="O720" s="2">
        <v>0</v>
      </c>
      <c r="P720" s="2">
        <v>0</v>
      </c>
      <c r="Q720" t="s">
        <v>33</v>
      </c>
      <c r="S720" t="s">
        <v>27</v>
      </c>
      <c r="T720" s="8">
        <v>46020</v>
      </c>
      <c r="U720" s="7">
        <v>0.95894675925925921</v>
      </c>
    </row>
    <row r="721" spans="1:21" x14ac:dyDescent="0.2">
      <c r="A721">
        <v>1046</v>
      </c>
      <c r="B721" t="s">
        <v>123</v>
      </c>
      <c r="C721" t="s">
        <v>24</v>
      </c>
      <c r="J721" t="s">
        <v>124</v>
      </c>
      <c r="K721" s="3">
        <v>410</v>
      </c>
      <c r="L721" s="2">
        <v>0</v>
      </c>
      <c r="M721" s="2">
        <f>+K721-L721</f>
        <v>410</v>
      </c>
      <c r="N721" s="2">
        <v>14.5</v>
      </c>
      <c r="O721" s="2">
        <v>0.5</v>
      </c>
      <c r="P721" s="2">
        <v>425</v>
      </c>
      <c r="Q721" t="s">
        <v>30</v>
      </c>
      <c r="S721" t="s">
        <v>27</v>
      </c>
      <c r="T721" s="8">
        <v>46020</v>
      </c>
      <c r="U721" s="7">
        <v>0.95901620370370366</v>
      </c>
    </row>
    <row r="722" spans="1:21" x14ac:dyDescent="0.2">
      <c r="A722">
        <v>1047</v>
      </c>
      <c r="B722" t="s">
        <v>45</v>
      </c>
      <c r="C722" t="s">
        <v>24</v>
      </c>
      <c r="J722" t="s">
        <v>122</v>
      </c>
      <c r="K722" s="3">
        <v>615</v>
      </c>
      <c r="L722" s="2">
        <v>0</v>
      </c>
      <c r="M722" s="2">
        <f>+K722-L722</f>
        <v>615</v>
      </c>
      <c r="N722" s="2">
        <v>30.76</v>
      </c>
      <c r="O722" s="2">
        <v>0.24</v>
      </c>
      <c r="P722" s="2">
        <v>646</v>
      </c>
      <c r="Q722" t="s">
        <v>40</v>
      </c>
      <c r="S722" t="s">
        <v>27</v>
      </c>
      <c r="T722" s="8">
        <v>46021</v>
      </c>
      <c r="U722" s="7">
        <v>0.6313657407407407</v>
      </c>
    </row>
    <row r="723" spans="1:21" x14ac:dyDescent="0.2">
      <c r="A723">
        <v>1048</v>
      </c>
      <c r="B723" t="s">
        <v>43</v>
      </c>
      <c r="C723" t="s">
        <v>24</v>
      </c>
      <c r="J723" t="s">
        <v>1206</v>
      </c>
      <c r="K723" s="3">
        <v>3370</v>
      </c>
      <c r="L723" s="2">
        <v>0</v>
      </c>
      <c r="M723" s="2">
        <f>+K723-L723</f>
        <v>3370</v>
      </c>
      <c r="N723" s="2">
        <v>168.5</v>
      </c>
      <c r="O723" s="2">
        <v>0.5</v>
      </c>
      <c r="P723" s="2">
        <v>3539</v>
      </c>
      <c r="Q723" t="s">
        <v>33</v>
      </c>
      <c r="S723" t="s">
        <v>27</v>
      </c>
      <c r="T723" s="8">
        <v>46021</v>
      </c>
      <c r="U723" s="7">
        <v>0.69048611111111113</v>
      </c>
    </row>
    <row r="724" spans="1:21" x14ac:dyDescent="0.2">
      <c r="A724">
        <v>1049</v>
      </c>
      <c r="B724" t="s">
        <v>54</v>
      </c>
      <c r="C724" t="s">
        <v>24</v>
      </c>
      <c r="J724" t="s">
        <v>121</v>
      </c>
      <c r="K724" s="3">
        <v>575</v>
      </c>
      <c r="L724" s="2">
        <v>0</v>
      </c>
      <c r="M724" s="2">
        <f>+K724-L724</f>
        <v>575</v>
      </c>
      <c r="N724" s="2">
        <v>28.76</v>
      </c>
      <c r="O724" s="2">
        <v>0.24</v>
      </c>
      <c r="P724" s="2">
        <v>604</v>
      </c>
      <c r="Q724" t="s">
        <v>26</v>
      </c>
      <c r="S724" t="s">
        <v>27</v>
      </c>
      <c r="T724" s="8">
        <v>46021</v>
      </c>
      <c r="U724" s="7">
        <v>0.70962962962962961</v>
      </c>
    </row>
    <row r="725" spans="1:21" x14ac:dyDescent="0.2">
      <c r="A725">
        <v>1050</v>
      </c>
      <c r="B725" t="s">
        <v>52</v>
      </c>
      <c r="C725" t="s">
        <v>24</v>
      </c>
      <c r="J725" t="s">
        <v>120</v>
      </c>
      <c r="K725" s="3">
        <v>995</v>
      </c>
      <c r="L725" s="2">
        <v>0</v>
      </c>
      <c r="M725" s="2">
        <f>+K725-L725</f>
        <v>995</v>
      </c>
      <c r="N725" s="2">
        <v>49.76</v>
      </c>
      <c r="O725" s="2">
        <v>0.24</v>
      </c>
      <c r="P725" s="2">
        <v>1045</v>
      </c>
      <c r="Q725" t="s">
        <v>33</v>
      </c>
      <c r="S725" t="s">
        <v>27</v>
      </c>
      <c r="T725" s="8">
        <v>46021</v>
      </c>
      <c r="U725" s="7">
        <v>0.71270833333333339</v>
      </c>
    </row>
    <row r="726" spans="1:21" x14ac:dyDescent="0.2">
      <c r="A726">
        <v>1051</v>
      </c>
      <c r="B726" t="s">
        <v>47</v>
      </c>
      <c r="C726" t="s">
        <v>24</v>
      </c>
      <c r="J726" t="s">
        <v>119</v>
      </c>
      <c r="K726" s="3">
        <v>1245</v>
      </c>
      <c r="L726" s="2">
        <v>0</v>
      </c>
      <c r="M726" s="2">
        <f>+K726-L726</f>
        <v>1245</v>
      </c>
      <c r="N726" s="2">
        <v>62.26</v>
      </c>
      <c r="O726" s="2">
        <v>-0.26</v>
      </c>
      <c r="P726" s="2">
        <v>1307</v>
      </c>
      <c r="Q726" t="s">
        <v>30</v>
      </c>
      <c r="S726" t="s">
        <v>27</v>
      </c>
      <c r="T726" s="8">
        <v>46021</v>
      </c>
      <c r="U726" s="7">
        <v>0.71741898148148153</v>
      </c>
    </row>
    <row r="727" spans="1:21" x14ac:dyDescent="0.2">
      <c r="A727">
        <v>1052</v>
      </c>
      <c r="B727" t="s">
        <v>50</v>
      </c>
      <c r="C727" t="s">
        <v>24</v>
      </c>
      <c r="J727" t="s">
        <v>76</v>
      </c>
      <c r="K727" s="3">
        <v>250</v>
      </c>
      <c r="L727" s="2">
        <v>0</v>
      </c>
      <c r="M727" s="2">
        <f>+K727-L727</f>
        <v>250</v>
      </c>
      <c r="N727" s="2">
        <v>12.5</v>
      </c>
      <c r="O727" s="2">
        <v>0.5</v>
      </c>
      <c r="P727" s="2">
        <v>263</v>
      </c>
      <c r="Q727" t="s">
        <v>40</v>
      </c>
      <c r="S727" t="s">
        <v>27</v>
      </c>
      <c r="T727" s="8">
        <v>46021</v>
      </c>
      <c r="U727" s="7">
        <v>0.72824074074074074</v>
      </c>
    </row>
    <row r="728" spans="1:21" x14ac:dyDescent="0.2">
      <c r="A728">
        <v>1053</v>
      </c>
      <c r="B728" t="s">
        <v>23</v>
      </c>
      <c r="C728" t="s">
        <v>24</v>
      </c>
      <c r="J728" t="s">
        <v>118</v>
      </c>
      <c r="K728" s="3">
        <v>620</v>
      </c>
      <c r="L728" s="2">
        <v>0</v>
      </c>
      <c r="M728" s="2">
        <f>+K728-L728</f>
        <v>620</v>
      </c>
      <c r="N728" s="2">
        <v>31</v>
      </c>
      <c r="O728" s="2">
        <v>0</v>
      </c>
      <c r="P728" s="2">
        <v>651</v>
      </c>
      <c r="Q728" t="s">
        <v>40</v>
      </c>
      <c r="S728" t="s">
        <v>27</v>
      </c>
      <c r="T728" s="8">
        <v>46021</v>
      </c>
      <c r="U728" s="7">
        <v>0.73649305555555555</v>
      </c>
    </row>
    <row r="729" spans="1:21" x14ac:dyDescent="0.2">
      <c r="A729">
        <v>1054</v>
      </c>
      <c r="B729" t="s">
        <v>43</v>
      </c>
      <c r="C729" t="s">
        <v>24</v>
      </c>
      <c r="J729" t="s">
        <v>117</v>
      </c>
      <c r="K729" s="3">
        <v>59</v>
      </c>
      <c r="L729" s="2">
        <v>0</v>
      </c>
      <c r="M729" s="2">
        <f>+K729-L729</f>
        <v>59</v>
      </c>
      <c r="N729" s="2">
        <v>2.96</v>
      </c>
      <c r="O729" s="2">
        <v>0.04</v>
      </c>
      <c r="P729" s="2">
        <v>62</v>
      </c>
      <c r="Q729" t="s">
        <v>40</v>
      </c>
      <c r="S729" t="s">
        <v>27</v>
      </c>
      <c r="T729" s="8">
        <v>46021</v>
      </c>
      <c r="U729" s="7">
        <v>0.74587962962962961</v>
      </c>
    </row>
    <row r="730" spans="1:21" x14ac:dyDescent="0.2">
      <c r="A730">
        <v>1055</v>
      </c>
      <c r="B730" t="s">
        <v>115</v>
      </c>
      <c r="C730" t="s">
        <v>24</v>
      </c>
      <c r="J730" t="s">
        <v>116</v>
      </c>
      <c r="K730" s="3">
        <v>425</v>
      </c>
      <c r="L730" s="2">
        <v>0</v>
      </c>
      <c r="M730" s="2">
        <f>+K730-L730</f>
        <v>425</v>
      </c>
      <c r="N730" s="2">
        <v>21.26</v>
      </c>
      <c r="O730" s="2">
        <v>-0.26</v>
      </c>
      <c r="P730" s="2">
        <v>446</v>
      </c>
      <c r="Q730" t="s">
        <v>40</v>
      </c>
      <c r="S730" t="s">
        <v>27</v>
      </c>
      <c r="T730" s="8">
        <v>46021</v>
      </c>
      <c r="U730" s="7">
        <v>0.77957175925925926</v>
      </c>
    </row>
    <row r="731" spans="1:21" x14ac:dyDescent="0.2">
      <c r="A731">
        <v>1056</v>
      </c>
      <c r="B731" t="s">
        <v>58</v>
      </c>
      <c r="C731" t="s">
        <v>24</v>
      </c>
      <c r="J731" t="s">
        <v>114</v>
      </c>
      <c r="K731" s="3">
        <v>634</v>
      </c>
      <c r="L731" s="2">
        <v>0</v>
      </c>
      <c r="M731" s="2">
        <f>+K731-L731</f>
        <v>634</v>
      </c>
      <c r="N731" s="2">
        <v>28.7</v>
      </c>
      <c r="O731" s="2">
        <v>0.3</v>
      </c>
      <c r="P731" s="2">
        <v>663</v>
      </c>
      <c r="Q731" t="s">
        <v>30</v>
      </c>
      <c r="S731" t="s">
        <v>27</v>
      </c>
      <c r="T731" s="8">
        <v>46021</v>
      </c>
      <c r="U731" s="7">
        <v>0.79719907407407409</v>
      </c>
    </row>
    <row r="732" spans="1:21" x14ac:dyDescent="0.2">
      <c r="A732">
        <v>1057</v>
      </c>
      <c r="B732" t="s">
        <v>47</v>
      </c>
      <c r="C732" t="s">
        <v>24</v>
      </c>
      <c r="J732" t="s">
        <v>113</v>
      </c>
      <c r="K732" s="3">
        <v>1290</v>
      </c>
      <c r="L732" s="2">
        <v>0</v>
      </c>
      <c r="M732" s="2">
        <f>+K732-L732</f>
        <v>1290</v>
      </c>
      <c r="N732" s="2">
        <v>64.5</v>
      </c>
      <c r="O732" s="2">
        <v>0.5</v>
      </c>
      <c r="P732" s="2">
        <v>1355</v>
      </c>
      <c r="Q732" t="s">
        <v>26</v>
      </c>
      <c r="S732" t="s">
        <v>27</v>
      </c>
      <c r="T732" s="8">
        <v>46021</v>
      </c>
      <c r="U732" s="7">
        <v>0.86569444444444443</v>
      </c>
    </row>
    <row r="733" spans="1:21" x14ac:dyDescent="0.2">
      <c r="A733">
        <v>1058</v>
      </c>
      <c r="B733" t="s">
        <v>102</v>
      </c>
      <c r="C733" t="s">
        <v>24</v>
      </c>
      <c r="J733" t="s">
        <v>112</v>
      </c>
      <c r="K733" s="3">
        <v>1115</v>
      </c>
      <c r="L733" s="2">
        <v>0</v>
      </c>
      <c r="M733" s="2">
        <f>+K733-L733</f>
        <v>1115</v>
      </c>
      <c r="N733" s="2">
        <v>55.76</v>
      </c>
      <c r="O733" s="2">
        <v>0.24</v>
      </c>
      <c r="P733" s="2">
        <v>1171</v>
      </c>
      <c r="Q733" t="s">
        <v>40</v>
      </c>
      <c r="S733" t="s">
        <v>27</v>
      </c>
      <c r="T733" s="8">
        <v>46021</v>
      </c>
      <c r="U733" s="7">
        <v>0.88233796296296296</v>
      </c>
    </row>
    <row r="734" spans="1:21" x14ac:dyDescent="0.2">
      <c r="A734">
        <v>1059</v>
      </c>
      <c r="B734" t="s">
        <v>110</v>
      </c>
      <c r="C734" t="s">
        <v>24</v>
      </c>
      <c r="J734" t="s">
        <v>111</v>
      </c>
      <c r="K734" s="3">
        <v>579</v>
      </c>
      <c r="L734" s="2">
        <v>0</v>
      </c>
      <c r="M734" s="2">
        <f>+K734-L734</f>
        <v>579</v>
      </c>
      <c r="N734" s="2">
        <v>50.92</v>
      </c>
      <c r="O734" s="2">
        <v>0.08</v>
      </c>
      <c r="P734" s="2">
        <v>630</v>
      </c>
      <c r="Q734" t="s">
        <v>40</v>
      </c>
      <c r="S734" t="s">
        <v>27</v>
      </c>
      <c r="T734" s="8">
        <v>46021</v>
      </c>
      <c r="U734" s="7">
        <v>0.88741898148148146</v>
      </c>
    </row>
    <row r="735" spans="1:21" x14ac:dyDescent="0.2">
      <c r="A735">
        <v>1060</v>
      </c>
      <c r="B735" t="s">
        <v>70</v>
      </c>
      <c r="C735" t="s">
        <v>24</v>
      </c>
      <c r="J735" t="s">
        <v>109</v>
      </c>
      <c r="K735" s="3">
        <v>860</v>
      </c>
      <c r="L735" s="2">
        <v>86</v>
      </c>
      <c r="M735" s="2">
        <f>+K735-L735</f>
        <v>774</v>
      </c>
      <c r="N735" s="2">
        <v>36</v>
      </c>
      <c r="O735" s="2">
        <v>0</v>
      </c>
      <c r="P735" s="2">
        <v>810</v>
      </c>
      <c r="Q735" t="s">
        <v>30</v>
      </c>
      <c r="S735" t="s">
        <v>27</v>
      </c>
      <c r="T735" s="8">
        <v>46021</v>
      </c>
      <c r="U735" s="7">
        <v>0.88894675925925926</v>
      </c>
    </row>
    <row r="736" spans="1:21" x14ac:dyDescent="0.2">
      <c r="A736">
        <v>1061</v>
      </c>
      <c r="B736" t="s">
        <v>107</v>
      </c>
      <c r="C736" t="s">
        <v>24</v>
      </c>
      <c r="J736" t="s">
        <v>108</v>
      </c>
      <c r="K736" s="3">
        <v>875</v>
      </c>
      <c r="L736" s="2">
        <v>0</v>
      </c>
      <c r="M736" s="2">
        <f>+K736-L736</f>
        <v>875</v>
      </c>
      <c r="N736" s="2">
        <v>43.76</v>
      </c>
      <c r="O736" s="2">
        <v>0.24</v>
      </c>
      <c r="P736" s="2">
        <v>919</v>
      </c>
      <c r="Q736" t="s">
        <v>40</v>
      </c>
      <c r="S736" t="s">
        <v>27</v>
      </c>
      <c r="T736" s="8">
        <v>46021</v>
      </c>
      <c r="U736" s="7">
        <v>0.89210648148148153</v>
      </c>
    </row>
    <row r="737" spans="1:21" x14ac:dyDescent="0.2">
      <c r="A737">
        <v>1062</v>
      </c>
      <c r="B737" t="s">
        <v>54</v>
      </c>
      <c r="C737" t="s">
        <v>24</v>
      </c>
      <c r="J737" t="s">
        <v>106</v>
      </c>
      <c r="K737" s="3">
        <v>3816</v>
      </c>
      <c r="L737" s="2">
        <v>0</v>
      </c>
      <c r="M737" s="2">
        <f>+K737-L737</f>
        <v>3816</v>
      </c>
      <c r="N737" s="2">
        <v>278.68</v>
      </c>
      <c r="O737" s="2">
        <v>0.32</v>
      </c>
      <c r="P737" s="2">
        <v>4095</v>
      </c>
      <c r="Q737" t="s">
        <v>26</v>
      </c>
      <c r="S737" t="s">
        <v>27</v>
      </c>
      <c r="T737" s="8">
        <v>46021</v>
      </c>
      <c r="U737" s="7">
        <v>0.91274305555555557</v>
      </c>
    </row>
    <row r="738" spans="1:21" x14ac:dyDescent="0.2">
      <c r="A738">
        <v>1063</v>
      </c>
      <c r="B738" t="s">
        <v>52</v>
      </c>
      <c r="C738" t="s">
        <v>24</v>
      </c>
      <c r="J738" t="s">
        <v>105</v>
      </c>
      <c r="K738" s="3">
        <v>2640</v>
      </c>
      <c r="L738" s="2">
        <v>0</v>
      </c>
      <c r="M738" s="2">
        <f>+K738-L738</f>
        <v>2640</v>
      </c>
      <c r="N738" s="2">
        <v>132</v>
      </c>
      <c r="O738" s="2">
        <v>0</v>
      </c>
      <c r="P738" s="2">
        <v>2772</v>
      </c>
      <c r="Q738" t="s">
        <v>26</v>
      </c>
      <c r="S738" t="s">
        <v>27</v>
      </c>
      <c r="T738" s="8">
        <v>46021</v>
      </c>
      <c r="U738" s="7">
        <v>0.92113425925925929</v>
      </c>
    </row>
    <row r="739" spans="1:21" x14ac:dyDescent="0.2">
      <c r="A739">
        <v>1064</v>
      </c>
      <c r="B739" t="s">
        <v>47</v>
      </c>
      <c r="C739" t="s">
        <v>24</v>
      </c>
      <c r="J739" t="s">
        <v>104</v>
      </c>
      <c r="K739" s="3">
        <v>880</v>
      </c>
      <c r="L739" s="2">
        <v>0</v>
      </c>
      <c r="M739" s="2">
        <f>+K739-L739</f>
        <v>880</v>
      </c>
      <c r="N739" s="2">
        <v>44</v>
      </c>
      <c r="O739" s="2">
        <v>0</v>
      </c>
      <c r="P739" s="2">
        <v>924</v>
      </c>
      <c r="Q739" t="s">
        <v>33</v>
      </c>
      <c r="S739" t="s">
        <v>27</v>
      </c>
      <c r="T739" s="8">
        <v>46021</v>
      </c>
      <c r="U739" s="7">
        <v>0.9294675925925926</v>
      </c>
    </row>
    <row r="740" spans="1:21" x14ac:dyDescent="0.2">
      <c r="A740">
        <v>1065</v>
      </c>
      <c r="B740" t="s">
        <v>102</v>
      </c>
      <c r="C740" t="s">
        <v>24</v>
      </c>
      <c r="J740" t="s">
        <v>103</v>
      </c>
      <c r="K740" s="3">
        <v>1230</v>
      </c>
      <c r="L740" s="2">
        <v>0</v>
      </c>
      <c r="M740" s="2">
        <f>+K740-L740</f>
        <v>1230</v>
      </c>
      <c r="N740" s="2">
        <v>61.5</v>
      </c>
      <c r="O740" s="2">
        <v>0.5</v>
      </c>
      <c r="P740" s="2">
        <v>1292</v>
      </c>
      <c r="Q740" t="s">
        <v>26</v>
      </c>
      <c r="S740" t="s">
        <v>27</v>
      </c>
      <c r="T740" s="8">
        <v>46021</v>
      </c>
      <c r="U740" s="7">
        <v>0.93092592592592593</v>
      </c>
    </row>
    <row r="741" spans="1:21" x14ac:dyDescent="0.2">
      <c r="A741">
        <v>1066</v>
      </c>
      <c r="B741" t="s">
        <v>100</v>
      </c>
      <c r="C741" t="s">
        <v>24</v>
      </c>
      <c r="J741" t="s">
        <v>101</v>
      </c>
      <c r="K741" s="3">
        <v>504</v>
      </c>
      <c r="L741" s="2">
        <v>75.599999999999994</v>
      </c>
      <c r="M741" s="2">
        <f>+K741-L741</f>
        <v>428.4</v>
      </c>
      <c r="N741" s="2">
        <v>18.059999999999999</v>
      </c>
      <c r="O741" s="2">
        <v>-0.46</v>
      </c>
      <c r="P741" s="2">
        <v>446</v>
      </c>
      <c r="Q741" t="s">
        <v>30</v>
      </c>
      <c r="S741" t="s">
        <v>27</v>
      </c>
      <c r="T741" s="8">
        <v>46021</v>
      </c>
      <c r="U741" s="7">
        <v>0.95052083333333337</v>
      </c>
    </row>
    <row r="742" spans="1:21" x14ac:dyDescent="0.2">
      <c r="A742">
        <v>1067</v>
      </c>
      <c r="B742" t="s">
        <v>99</v>
      </c>
      <c r="C742" t="s">
        <v>24</v>
      </c>
      <c r="J742" t="s">
        <v>90</v>
      </c>
      <c r="K742" s="3">
        <v>325</v>
      </c>
      <c r="L742" s="2">
        <v>0</v>
      </c>
      <c r="M742" s="2">
        <f>+K742-L742</f>
        <v>325</v>
      </c>
      <c r="N742" s="2">
        <v>16.260000000000002</v>
      </c>
      <c r="O742" s="2">
        <v>-0.26</v>
      </c>
      <c r="P742" s="2">
        <v>341</v>
      </c>
      <c r="Q742" t="s">
        <v>40</v>
      </c>
      <c r="S742" t="s">
        <v>27</v>
      </c>
      <c r="T742" s="8">
        <v>46021</v>
      </c>
      <c r="U742" s="7">
        <v>0.9506944444444444</v>
      </c>
    </row>
    <row r="743" spans="1:21" x14ac:dyDescent="0.2">
      <c r="A743">
        <v>1068</v>
      </c>
      <c r="B743" t="s">
        <v>54</v>
      </c>
      <c r="C743" t="s">
        <v>24</v>
      </c>
      <c r="J743" t="s">
        <v>98</v>
      </c>
      <c r="K743" s="3">
        <v>1275</v>
      </c>
      <c r="L743" s="2">
        <v>0</v>
      </c>
      <c r="M743" s="2">
        <f>+K743-L743</f>
        <v>1275</v>
      </c>
      <c r="N743" s="2">
        <v>63.76</v>
      </c>
      <c r="O743" s="2">
        <v>0.24</v>
      </c>
      <c r="P743" s="2">
        <v>1339</v>
      </c>
      <c r="Q743" t="s">
        <v>26</v>
      </c>
      <c r="S743" t="s">
        <v>27</v>
      </c>
      <c r="T743" s="8">
        <v>46021</v>
      </c>
      <c r="U743" s="7">
        <v>0.95194444444444448</v>
      </c>
    </row>
    <row r="744" spans="1:21" x14ac:dyDescent="0.2">
      <c r="A744">
        <v>1069</v>
      </c>
      <c r="B744" t="s">
        <v>52</v>
      </c>
      <c r="C744" t="s">
        <v>24</v>
      </c>
      <c r="J744" t="s">
        <v>97</v>
      </c>
      <c r="K744" s="3">
        <v>1150</v>
      </c>
      <c r="L744" s="2">
        <v>0</v>
      </c>
      <c r="M744" s="2">
        <f>+K744-L744</f>
        <v>1150</v>
      </c>
      <c r="N744" s="2">
        <v>57.5</v>
      </c>
      <c r="O744" s="2">
        <v>0.5</v>
      </c>
      <c r="P744" s="2">
        <v>1208</v>
      </c>
      <c r="Q744" t="s">
        <v>40</v>
      </c>
      <c r="S744" t="s">
        <v>27</v>
      </c>
      <c r="T744" s="8">
        <v>46021</v>
      </c>
      <c r="U744" s="7">
        <v>0.9544907407407407</v>
      </c>
    </row>
    <row r="745" spans="1:21" x14ac:dyDescent="0.2">
      <c r="A745">
        <v>1070</v>
      </c>
      <c r="B745" t="s">
        <v>95</v>
      </c>
      <c r="C745" t="s">
        <v>24</v>
      </c>
      <c r="J745" t="s">
        <v>96</v>
      </c>
      <c r="K745" s="3">
        <v>0</v>
      </c>
      <c r="L745" s="2">
        <v>0</v>
      </c>
      <c r="M745" s="2">
        <f>+K745-L745</f>
        <v>0</v>
      </c>
      <c r="N745" s="2">
        <v>0</v>
      </c>
      <c r="O745" s="2">
        <v>0</v>
      </c>
      <c r="P745" s="2">
        <v>0</v>
      </c>
      <c r="Q745" t="s">
        <v>33</v>
      </c>
      <c r="S745" t="s">
        <v>27</v>
      </c>
      <c r="T745" s="8">
        <v>46021</v>
      </c>
      <c r="U745" s="7">
        <v>0.95780092592592592</v>
      </c>
    </row>
    <row r="746" spans="1:21" x14ac:dyDescent="0.2">
      <c r="A746">
        <v>1071</v>
      </c>
      <c r="B746" t="s">
        <v>93</v>
      </c>
      <c r="C746" t="s">
        <v>24</v>
      </c>
      <c r="J746" t="s">
        <v>94</v>
      </c>
      <c r="K746" s="3">
        <v>165</v>
      </c>
      <c r="L746" s="2">
        <v>0</v>
      </c>
      <c r="M746" s="2">
        <f>+K746-L746</f>
        <v>165</v>
      </c>
      <c r="N746" s="2">
        <v>8.26</v>
      </c>
      <c r="O746" s="2">
        <v>-0.26</v>
      </c>
      <c r="P746" s="2">
        <v>173</v>
      </c>
      <c r="Q746" t="s">
        <v>40</v>
      </c>
      <c r="S746" t="s">
        <v>27</v>
      </c>
      <c r="T746" s="8">
        <v>46021</v>
      </c>
      <c r="U746" s="7">
        <v>0.95798611111111109</v>
      </c>
    </row>
    <row r="747" spans="1:21" x14ac:dyDescent="0.2">
      <c r="A747">
        <v>1072</v>
      </c>
      <c r="B747" t="s">
        <v>91</v>
      </c>
      <c r="C747" t="s">
        <v>24</v>
      </c>
      <c r="J747" t="s">
        <v>92</v>
      </c>
      <c r="K747" s="3">
        <v>0</v>
      </c>
      <c r="L747" s="2">
        <v>0</v>
      </c>
      <c r="M747" s="2">
        <f>+K747-L747</f>
        <v>0</v>
      </c>
      <c r="N747" s="2">
        <v>0</v>
      </c>
      <c r="O747" s="2">
        <v>0</v>
      </c>
      <c r="P747" s="2">
        <v>0</v>
      </c>
      <c r="Q747" t="s">
        <v>33</v>
      </c>
      <c r="S747" t="s">
        <v>27</v>
      </c>
      <c r="T747" s="8">
        <v>46021</v>
      </c>
      <c r="U747" s="7">
        <v>0.95863425925925927</v>
      </c>
    </row>
    <row r="748" spans="1:21" x14ac:dyDescent="0.2">
      <c r="A748">
        <v>1073</v>
      </c>
      <c r="B748" t="s">
        <v>89</v>
      </c>
      <c r="C748" t="s">
        <v>24</v>
      </c>
      <c r="J748" t="s">
        <v>90</v>
      </c>
      <c r="K748" s="3">
        <v>325</v>
      </c>
      <c r="L748" s="2">
        <v>0</v>
      </c>
      <c r="M748" s="2">
        <f>+K748-L748</f>
        <v>325</v>
      </c>
      <c r="N748" s="2">
        <v>16.260000000000002</v>
      </c>
      <c r="O748" s="2">
        <v>-0.26</v>
      </c>
      <c r="P748" s="2">
        <v>341</v>
      </c>
      <c r="Q748" t="s">
        <v>40</v>
      </c>
      <c r="S748" t="s">
        <v>27</v>
      </c>
      <c r="T748" s="8">
        <v>46021</v>
      </c>
      <c r="U748" s="7">
        <v>0.95944444444444443</v>
      </c>
    </row>
    <row r="749" spans="1:21" x14ac:dyDescent="0.2">
      <c r="A749">
        <v>1074</v>
      </c>
      <c r="B749" t="s">
        <v>87</v>
      </c>
      <c r="C749" t="s">
        <v>24</v>
      </c>
      <c r="J749" t="s">
        <v>88</v>
      </c>
      <c r="K749" s="3">
        <v>610</v>
      </c>
      <c r="L749" s="2">
        <v>91.5</v>
      </c>
      <c r="M749" s="2">
        <f>+K749-L749</f>
        <v>518.5</v>
      </c>
      <c r="N749" s="2">
        <v>25.92</v>
      </c>
      <c r="O749" s="2">
        <v>-0.42</v>
      </c>
      <c r="P749" s="2">
        <v>544</v>
      </c>
      <c r="Q749" t="s">
        <v>40</v>
      </c>
      <c r="S749" t="s">
        <v>27</v>
      </c>
      <c r="T749" s="8">
        <v>46021</v>
      </c>
      <c r="U749" s="7">
        <v>0.96186342592592589</v>
      </c>
    </row>
    <row r="750" spans="1:21" x14ac:dyDescent="0.2">
      <c r="A750">
        <v>1075</v>
      </c>
      <c r="B750" t="s">
        <v>85</v>
      </c>
      <c r="C750" t="s">
        <v>24</v>
      </c>
      <c r="J750" t="s">
        <v>86</v>
      </c>
      <c r="K750" s="3">
        <v>150</v>
      </c>
      <c r="L750" s="2">
        <v>0</v>
      </c>
      <c r="M750" s="2">
        <f>+K750-L750</f>
        <v>150</v>
      </c>
      <c r="N750" s="2">
        <v>7.5</v>
      </c>
      <c r="O750" s="2">
        <v>0.5</v>
      </c>
      <c r="P750" s="2">
        <v>158</v>
      </c>
      <c r="Q750" t="s">
        <v>40</v>
      </c>
      <c r="S750" t="s">
        <v>27</v>
      </c>
      <c r="T750" s="8">
        <v>46021</v>
      </c>
      <c r="U750" s="7">
        <v>0.96233796296296292</v>
      </c>
    </row>
    <row r="751" spans="1:21" x14ac:dyDescent="0.2">
      <c r="A751">
        <v>1076</v>
      </c>
      <c r="B751" t="s">
        <v>34</v>
      </c>
      <c r="C751" t="s">
        <v>24</v>
      </c>
      <c r="J751" t="s">
        <v>84</v>
      </c>
      <c r="K751" s="3">
        <v>0</v>
      </c>
      <c r="L751" s="2">
        <v>0</v>
      </c>
      <c r="M751" s="2">
        <f>+K751-L751</f>
        <v>0</v>
      </c>
      <c r="N751" s="2">
        <v>0</v>
      </c>
      <c r="O751" s="2">
        <v>0</v>
      </c>
      <c r="P751" s="2">
        <v>0</v>
      </c>
      <c r="Q751" t="s">
        <v>33</v>
      </c>
      <c r="S751" t="s">
        <v>27</v>
      </c>
      <c r="T751" s="8">
        <v>46021</v>
      </c>
      <c r="U751" s="7">
        <v>0.96310185185185182</v>
      </c>
    </row>
    <row r="752" spans="1:21" x14ac:dyDescent="0.2">
      <c r="A752">
        <v>1077</v>
      </c>
      <c r="B752" t="s">
        <v>82</v>
      </c>
      <c r="C752" t="s">
        <v>24</v>
      </c>
      <c r="J752" t="s">
        <v>83</v>
      </c>
      <c r="K752" s="3">
        <v>815</v>
      </c>
      <c r="L752" s="2">
        <v>0</v>
      </c>
      <c r="M752" s="2">
        <f>+K752-L752</f>
        <v>815</v>
      </c>
      <c r="N752" s="2">
        <v>34.76</v>
      </c>
      <c r="O752" s="2">
        <v>0.24</v>
      </c>
      <c r="P752" s="2">
        <v>850</v>
      </c>
      <c r="Q752" t="s">
        <v>30</v>
      </c>
      <c r="S752" t="s">
        <v>27</v>
      </c>
      <c r="T752" s="8">
        <v>46021</v>
      </c>
      <c r="U752" s="7">
        <v>0.96331018518518519</v>
      </c>
    </row>
    <row r="753" spans="1:21" x14ac:dyDescent="0.2">
      <c r="A753">
        <v>1078</v>
      </c>
      <c r="B753" t="s">
        <v>80</v>
      </c>
      <c r="C753" t="s">
        <v>24</v>
      </c>
      <c r="J753" t="s">
        <v>81</v>
      </c>
      <c r="K753" s="3">
        <v>459</v>
      </c>
      <c r="L753" s="2">
        <v>0</v>
      </c>
      <c r="M753" s="2">
        <f>+K753-L753</f>
        <v>459</v>
      </c>
      <c r="N753" s="2">
        <v>44.92</v>
      </c>
      <c r="O753" s="2">
        <v>0.08</v>
      </c>
      <c r="P753" s="2">
        <v>504</v>
      </c>
      <c r="Q753" t="s">
        <v>40</v>
      </c>
      <c r="S753" t="s">
        <v>27</v>
      </c>
      <c r="T753" s="8">
        <v>46021</v>
      </c>
      <c r="U753" s="7">
        <v>0.96652777777777776</v>
      </c>
    </row>
    <row r="754" spans="1:21" x14ac:dyDescent="0.2">
      <c r="A754">
        <v>1079</v>
      </c>
      <c r="B754" t="s">
        <v>78</v>
      </c>
      <c r="C754" t="s">
        <v>24</v>
      </c>
      <c r="J754" t="s">
        <v>79</v>
      </c>
      <c r="K754" s="3">
        <v>1150</v>
      </c>
      <c r="L754" s="2">
        <v>172.5</v>
      </c>
      <c r="M754" s="2">
        <f>+K754-L754</f>
        <v>977.5</v>
      </c>
      <c r="N754" s="2">
        <v>48.88</v>
      </c>
      <c r="O754" s="2">
        <v>-0.38</v>
      </c>
      <c r="P754" s="2">
        <v>1026</v>
      </c>
      <c r="Q754" t="s">
        <v>30</v>
      </c>
      <c r="S754" t="s">
        <v>27</v>
      </c>
      <c r="T754" s="8">
        <v>46021</v>
      </c>
      <c r="U754" s="7">
        <v>0.96693287037037035</v>
      </c>
    </row>
    <row r="755" spans="1:21" x14ac:dyDescent="0.2">
      <c r="A755">
        <v>1080</v>
      </c>
      <c r="B755" t="s">
        <v>58</v>
      </c>
      <c r="C755" t="s">
        <v>24</v>
      </c>
      <c r="J755" t="s">
        <v>77</v>
      </c>
      <c r="K755" s="3">
        <v>675</v>
      </c>
      <c r="L755" s="2">
        <v>0</v>
      </c>
      <c r="M755" s="2">
        <f>+K755-L755</f>
        <v>675</v>
      </c>
      <c r="N755" s="2">
        <v>33.76</v>
      </c>
      <c r="O755" s="2">
        <v>0.24</v>
      </c>
      <c r="P755" s="2">
        <v>709</v>
      </c>
      <c r="Q755" t="s">
        <v>40</v>
      </c>
      <c r="S755" t="s">
        <v>27</v>
      </c>
      <c r="T755" s="8">
        <v>46021</v>
      </c>
      <c r="U755" s="7">
        <v>0.96877314814814819</v>
      </c>
    </row>
    <row r="756" spans="1:21" x14ac:dyDescent="0.2">
      <c r="A756">
        <v>1081</v>
      </c>
      <c r="B756" t="s">
        <v>23</v>
      </c>
      <c r="C756" t="s">
        <v>24</v>
      </c>
      <c r="J756" t="s">
        <v>76</v>
      </c>
      <c r="K756" s="3">
        <v>500</v>
      </c>
      <c r="L756" s="2">
        <v>0</v>
      </c>
      <c r="M756" s="2">
        <f>+K756-L756</f>
        <v>500</v>
      </c>
      <c r="N756" s="2">
        <v>25</v>
      </c>
      <c r="O756" s="2">
        <v>0</v>
      </c>
      <c r="P756" s="2">
        <v>525</v>
      </c>
      <c r="Q756" t="s">
        <v>40</v>
      </c>
      <c r="S756" t="s">
        <v>27</v>
      </c>
      <c r="T756" s="8">
        <v>46021</v>
      </c>
      <c r="U756" s="7">
        <v>0.96994212962962967</v>
      </c>
    </row>
    <row r="757" spans="1:21" x14ac:dyDescent="0.2">
      <c r="A757">
        <v>1082</v>
      </c>
      <c r="B757" t="s">
        <v>75</v>
      </c>
      <c r="C757" t="s">
        <v>24</v>
      </c>
      <c r="J757" t="s">
        <v>76</v>
      </c>
      <c r="K757" s="3">
        <v>250</v>
      </c>
      <c r="L757" s="2">
        <v>0</v>
      </c>
      <c r="M757" s="2">
        <f>+K757-L757</f>
        <v>250</v>
      </c>
      <c r="N757" s="2">
        <v>12.5</v>
      </c>
      <c r="O757" s="2">
        <v>0.5</v>
      </c>
      <c r="P757" s="2">
        <v>263</v>
      </c>
      <c r="Q757" t="s">
        <v>40</v>
      </c>
      <c r="S757" t="s">
        <v>27</v>
      </c>
      <c r="T757" s="8">
        <v>46022</v>
      </c>
      <c r="U757" s="7">
        <v>0.60130787037037037</v>
      </c>
    </row>
    <row r="758" spans="1:21" x14ac:dyDescent="0.2">
      <c r="A758">
        <v>1083</v>
      </c>
      <c r="B758" t="s">
        <v>52</v>
      </c>
      <c r="C758" t="s">
        <v>24</v>
      </c>
      <c r="J758" t="s">
        <v>74</v>
      </c>
      <c r="K758" s="3">
        <v>1810</v>
      </c>
      <c r="L758" s="2">
        <v>0</v>
      </c>
      <c r="M758" s="2">
        <f>+K758-L758</f>
        <v>1810</v>
      </c>
      <c r="N758" s="2">
        <v>90.5</v>
      </c>
      <c r="O758" s="2">
        <v>0.5</v>
      </c>
      <c r="P758" s="2">
        <v>1901</v>
      </c>
      <c r="Q758" t="s">
        <v>30</v>
      </c>
      <c r="S758" t="s">
        <v>27</v>
      </c>
      <c r="T758" s="8">
        <v>46022</v>
      </c>
      <c r="U758" s="7">
        <v>0.63767361111111109</v>
      </c>
    </row>
    <row r="759" spans="1:21" x14ac:dyDescent="0.2">
      <c r="A759">
        <v>1084</v>
      </c>
      <c r="B759" t="s">
        <v>47</v>
      </c>
      <c r="C759" t="s">
        <v>24</v>
      </c>
      <c r="J759" t="s">
        <v>73</v>
      </c>
      <c r="K759" s="3">
        <v>2409</v>
      </c>
      <c r="L759" s="2">
        <v>0</v>
      </c>
      <c r="M759" s="2">
        <f>+K759-L759</f>
        <v>2409</v>
      </c>
      <c r="N759" s="2">
        <v>119</v>
      </c>
      <c r="O759" s="2">
        <v>0</v>
      </c>
      <c r="P759" s="2">
        <v>2528</v>
      </c>
      <c r="Q759" t="s">
        <v>33</v>
      </c>
      <c r="S759" t="s">
        <v>27</v>
      </c>
      <c r="T759" s="8">
        <v>46022</v>
      </c>
      <c r="U759" s="7">
        <v>0.63908564814814817</v>
      </c>
    </row>
    <row r="760" spans="1:21" x14ac:dyDescent="0.2">
      <c r="A760">
        <v>1085</v>
      </c>
      <c r="B760" t="s">
        <v>23</v>
      </c>
      <c r="C760" t="s">
        <v>24</v>
      </c>
      <c r="J760" t="s">
        <v>72</v>
      </c>
      <c r="K760" s="3">
        <v>2075</v>
      </c>
      <c r="L760" s="2">
        <v>0</v>
      </c>
      <c r="M760" s="2">
        <f>+K760-L760</f>
        <v>2075</v>
      </c>
      <c r="N760" s="2">
        <v>103.76</v>
      </c>
      <c r="O760" s="2">
        <v>0.24</v>
      </c>
      <c r="P760" s="2">
        <v>2179</v>
      </c>
      <c r="Q760" t="s">
        <v>40</v>
      </c>
      <c r="S760" t="s">
        <v>27</v>
      </c>
      <c r="T760" s="8">
        <v>46022</v>
      </c>
      <c r="U760" s="7">
        <v>0.64069444444444446</v>
      </c>
    </row>
    <row r="761" spans="1:21" x14ac:dyDescent="0.2">
      <c r="A761">
        <v>1086</v>
      </c>
      <c r="B761" t="s">
        <v>70</v>
      </c>
      <c r="C761" t="s">
        <v>24</v>
      </c>
      <c r="J761" t="s">
        <v>71</v>
      </c>
      <c r="K761" s="3">
        <v>60</v>
      </c>
      <c r="L761" s="2">
        <v>0</v>
      </c>
      <c r="M761" s="2">
        <f>+K761-L761</f>
        <v>60</v>
      </c>
      <c r="N761" s="2">
        <v>0</v>
      </c>
      <c r="O761" s="2">
        <v>0</v>
      </c>
      <c r="P761" s="2">
        <v>60</v>
      </c>
      <c r="Q761" t="s">
        <v>40</v>
      </c>
      <c r="S761" t="s">
        <v>27</v>
      </c>
      <c r="T761" s="8">
        <v>46022</v>
      </c>
      <c r="U761" s="7">
        <v>0.64260416666666664</v>
      </c>
    </row>
    <row r="762" spans="1:21" x14ac:dyDescent="0.2">
      <c r="A762">
        <v>1087</v>
      </c>
      <c r="B762" t="s">
        <v>43</v>
      </c>
      <c r="C762" t="s">
        <v>24</v>
      </c>
      <c r="J762" t="s">
        <v>69</v>
      </c>
      <c r="K762" s="3">
        <v>2165</v>
      </c>
      <c r="L762" s="2">
        <v>0</v>
      </c>
      <c r="M762" s="2">
        <f>+K762-L762</f>
        <v>2165</v>
      </c>
      <c r="N762" s="2">
        <v>108.26</v>
      </c>
      <c r="O762" s="2">
        <v>-0.26</v>
      </c>
      <c r="P762" s="2">
        <v>2273</v>
      </c>
      <c r="Q762" t="s">
        <v>30</v>
      </c>
      <c r="S762" t="s">
        <v>27</v>
      </c>
      <c r="T762" s="8">
        <v>46022</v>
      </c>
      <c r="U762" s="7">
        <v>0.67484953703703698</v>
      </c>
    </row>
    <row r="763" spans="1:21" x14ac:dyDescent="0.2">
      <c r="A763">
        <v>1088</v>
      </c>
      <c r="B763" t="s">
        <v>23</v>
      </c>
      <c r="C763" t="s">
        <v>24</v>
      </c>
      <c r="J763" t="s">
        <v>68</v>
      </c>
      <c r="K763" s="3">
        <v>675</v>
      </c>
      <c r="L763" s="2">
        <v>0</v>
      </c>
      <c r="M763" s="2">
        <f>+K763-L763</f>
        <v>675</v>
      </c>
      <c r="N763" s="2">
        <v>33.76</v>
      </c>
      <c r="O763" s="2">
        <v>0.24</v>
      </c>
      <c r="P763" s="2">
        <v>709</v>
      </c>
      <c r="Q763" t="s">
        <v>26</v>
      </c>
      <c r="S763" t="s">
        <v>27</v>
      </c>
      <c r="T763" s="8">
        <v>46022</v>
      </c>
      <c r="U763" s="7">
        <v>0.69798611111111108</v>
      </c>
    </row>
    <row r="764" spans="1:21" x14ac:dyDescent="0.2">
      <c r="A764">
        <v>1089</v>
      </c>
      <c r="B764" t="s">
        <v>58</v>
      </c>
      <c r="C764" t="s">
        <v>24</v>
      </c>
      <c r="J764" t="s">
        <v>67</v>
      </c>
      <c r="K764" s="3">
        <v>1320</v>
      </c>
      <c r="L764" s="2">
        <v>0</v>
      </c>
      <c r="M764" s="2">
        <f>+K764-L764</f>
        <v>1320</v>
      </c>
      <c r="N764" s="2">
        <v>66</v>
      </c>
      <c r="O764" s="2">
        <v>0</v>
      </c>
      <c r="P764" s="2">
        <v>1386</v>
      </c>
      <c r="Q764" t="s">
        <v>33</v>
      </c>
      <c r="S764" t="s">
        <v>27</v>
      </c>
      <c r="T764" s="8">
        <v>46022</v>
      </c>
      <c r="U764" s="7">
        <v>0.74050925925925926</v>
      </c>
    </row>
    <row r="765" spans="1:21" x14ac:dyDescent="0.2">
      <c r="A765">
        <v>1090</v>
      </c>
      <c r="B765" t="s">
        <v>45</v>
      </c>
      <c r="C765" t="s">
        <v>24</v>
      </c>
      <c r="J765" t="s">
        <v>66</v>
      </c>
      <c r="K765" s="3">
        <v>1900</v>
      </c>
      <c r="L765" s="2">
        <v>0</v>
      </c>
      <c r="M765" s="2">
        <f>+K765-L765</f>
        <v>1900</v>
      </c>
      <c r="N765" s="2">
        <v>95</v>
      </c>
      <c r="O765" s="2">
        <v>0</v>
      </c>
      <c r="P765" s="2">
        <v>1995</v>
      </c>
      <c r="Q765" t="s">
        <v>26</v>
      </c>
      <c r="S765" t="s">
        <v>27</v>
      </c>
      <c r="T765" s="8">
        <v>46022</v>
      </c>
      <c r="U765" s="7">
        <v>0.75468749999999996</v>
      </c>
    </row>
    <row r="766" spans="1:21" x14ac:dyDescent="0.2">
      <c r="A766">
        <v>1091</v>
      </c>
      <c r="B766" t="s">
        <v>23</v>
      </c>
      <c r="C766" t="s">
        <v>24</v>
      </c>
      <c r="J766" t="s">
        <v>65</v>
      </c>
      <c r="K766" s="3">
        <v>480</v>
      </c>
      <c r="L766" s="2">
        <v>0</v>
      </c>
      <c r="M766" s="2">
        <f>+K766-L766</f>
        <v>480</v>
      </c>
      <c r="N766" s="2">
        <v>24</v>
      </c>
      <c r="O766" s="2">
        <v>0</v>
      </c>
      <c r="P766" s="2">
        <v>504</v>
      </c>
      <c r="Q766" t="s">
        <v>40</v>
      </c>
      <c r="S766" t="s">
        <v>27</v>
      </c>
      <c r="T766" s="8">
        <v>46022</v>
      </c>
      <c r="U766" s="7">
        <v>0.75594907407407408</v>
      </c>
    </row>
    <row r="767" spans="1:21" x14ac:dyDescent="0.2">
      <c r="A767">
        <v>1092</v>
      </c>
      <c r="B767" t="s">
        <v>52</v>
      </c>
      <c r="C767" t="s">
        <v>24</v>
      </c>
      <c r="J767" t="s">
        <v>64</v>
      </c>
      <c r="K767" s="3">
        <v>2275</v>
      </c>
      <c r="L767" s="2">
        <v>0</v>
      </c>
      <c r="M767" s="2">
        <f>+K767-L767</f>
        <v>2275</v>
      </c>
      <c r="N767" s="2">
        <v>113.76</v>
      </c>
      <c r="O767" s="2">
        <v>0.24</v>
      </c>
      <c r="P767" s="2">
        <v>2389</v>
      </c>
      <c r="Q767" t="s">
        <v>40</v>
      </c>
      <c r="S767" t="s">
        <v>27</v>
      </c>
      <c r="T767" s="8">
        <v>46022</v>
      </c>
      <c r="U767" s="7">
        <v>0.76627314814814818</v>
      </c>
    </row>
    <row r="768" spans="1:21" x14ac:dyDescent="0.2">
      <c r="A768">
        <v>1093</v>
      </c>
      <c r="B768" t="s">
        <v>50</v>
      </c>
      <c r="C768" t="s">
        <v>24</v>
      </c>
      <c r="J768" t="s">
        <v>63</v>
      </c>
      <c r="K768" s="3">
        <v>1145</v>
      </c>
      <c r="L768" s="2">
        <v>114.5</v>
      </c>
      <c r="M768" s="2">
        <f>+K768-L768</f>
        <v>1030.5</v>
      </c>
      <c r="N768" s="2">
        <v>51.52</v>
      </c>
      <c r="O768" s="2">
        <v>-0.02</v>
      </c>
      <c r="P768" s="2">
        <v>1082</v>
      </c>
      <c r="Q768" t="s">
        <v>40</v>
      </c>
      <c r="S768" t="s">
        <v>27</v>
      </c>
      <c r="T768" s="8">
        <v>46022</v>
      </c>
      <c r="U768" s="7">
        <v>0.79578703703703701</v>
      </c>
    </row>
    <row r="769" spans="1:21" x14ac:dyDescent="0.2">
      <c r="A769">
        <v>1094</v>
      </c>
      <c r="B769" t="s">
        <v>52</v>
      </c>
      <c r="C769" t="s">
        <v>24</v>
      </c>
      <c r="J769" t="s">
        <v>62</v>
      </c>
      <c r="K769" s="3">
        <v>875</v>
      </c>
      <c r="L769" s="2">
        <v>0</v>
      </c>
      <c r="M769" s="2">
        <f>+K769-L769</f>
        <v>875</v>
      </c>
      <c r="N769" s="2">
        <v>43.76</v>
      </c>
      <c r="O769" s="2">
        <v>0.24</v>
      </c>
      <c r="P769" s="2">
        <v>919</v>
      </c>
      <c r="Q769" t="s">
        <v>26</v>
      </c>
      <c r="S769" t="s">
        <v>27</v>
      </c>
      <c r="T769" s="8">
        <v>46022</v>
      </c>
      <c r="U769" s="7">
        <v>0.80820601851851848</v>
      </c>
    </row>
    <row r="770" spans="1:21" x14ac:dyDescent="0.2">
      <c r="A770">
        <v>1095</v>
      </c>
      <c r="B770" t="s">
        <v>60</v>
      </c>
      <c r="C770" t="s">
        <v>24</v>
      </c>
      <c r="J770" t="s">
        <v>61</v>
      </c>
      <c r="K770" s="3">
        <v>840</v>
      </c>
      <c r="L770" s="2">
        <v>0</v>
      </c>
      <c r="M770" s="2">
        <f>+K770-L770</f>
        <v>840</v>
      </c>
      <c r="N770" s="2">
        <v>42</v>
      </c>
      <c r="O770" s="2">
        <v>0</v>
      </c>
      <c r="P770" s="2">
        <v>882</v>
      </c>
      <c r="Q770" t="s">
        <v>40</v>
      </c>
      <c r="S770" t="s">
        <v>27</v>
      </c>
      <c r="T770" s="8">
        <v>46022</v>
      </c>
      <c r="U770" s="7">
        <v>0.86643518518518514</v>
      </c>
    </row>
    <row r="771" spans="1:21" x14ac:dyDescent="0.2">
      <c r="A771">
        <v>1096</v>
      </c>
      <c r="B771" t="s">
        <v>58</v>
      </c>
      <c r="C771" t="s">
        <v>24</v>
      </c>
      <c r="J771" t="s">
        <v>59</v>
      </c>
      <c r="K771" s="3">
        <v>1550</v>
      </c>
      <c r="L771" s="2">
        <v>0</v>
      </c>
      <c r="M771" s="2">
        <f>+K771-L771</f>
        <v>1550</v>
      </c>
      <c r="N771" s="2">
        <v>77.5</v>
      </c>
      <c r="O771" s="2">
        <v>0.5</v>
      </c>
      <c r="P771" s="2">
        <v>1628</v>
      </c>
      <c r="Q771" t="s">
        <v>26</v>
      </c>
      <c r="S771" t="s">
        <v>27</v>
      </c>
      <c r="T771" s="8">
        <v>46022</v>
      </c>
      <c r="U771" s="7">
        <v>0.90295138888888893</v>
      </c>
    </row>
    <row r="772" spans="1:21" x14ac:dyDescent="0.2">
      <c r="A772">
        <v>1097</v>
      </c>
      <c r="B772" t="s">
        <v>50</v>
      </c>
      <c r="C772" t="s">
        <v>24</v>
      </c>
      <c r="J772" t="s">
        <v>57</v>
      </c>
      <c r="K772" s="3">
        <v>1420</v>
      </c>
      <c r="L772" s="2">
        <v>0</v>
      </c>
      <c r="M772" s="2">
        <f>+K772-L772</f>
        <v>1420</v>
      </c>
      <c r="N772" s="2">
        <v>65</v>
      </c>
      <c r="O772" s="2">
        <v>0</v>
      </c>
      <c r="P772" s="2">
        <v>1485</v>
      </c>
      <c r="Q772" t="s">
        <v>40</v>
      </c>
      <c r="S772" t="s">
        <v>27</v>
      </c>
      <c r="T772" s="8">
        <v>46022</v>
      </c>
      <c r="U772" s="7">
        <v>0.90650462962962963</v>
      </c>
    </row>
    <row r="773" spans="1:21" x14ac:dyDescent="0.2">
      <c r="A773">
        <v>1098</v>
      </c>
      <c r="B773" t="s">
        <v>41</v>
      </c>
      <c r="C773" t="s">
        <v>24</v>
      </c>
      <c r="J773" t="s">
        <v>56</v>
      </c>
      <c r="K773" s="3">
        <v>1045</v>
      </c>
      <c r="L773" s="2">
        <v>156.75</v>
      </c>
      <c r="M773" s="2">
        <f>+K773-L773</f>
        <v>888.25</v>
      </c>
      <c r="N773" s="2">
        <v>44.42</v>
      </c>
      <c r="O773" s="2">
        <v>0.33</v>
      </c>
      <c r="P773" s="2">
        <v>933</v>
      </c>
      <c r="Q773" t="s">
        <v>30</v>
      </c>
      <c r="S773" t="s">
        <v>27</v>
      </c>
      <c r="T773" s="8">
        <v>46022</v>
      </c>
      <c r="U773" s="7">
        <v>0.9244444444444444</v>
      </c>
    </row>
    <row r="774" spans="1:21" x14ac:dyDescent="0.2">
      <c r="A774">
        <v>1099</v>
      </c>
      <c r="B774" t="s">
        <v>54</v>
      </c>
      <c r="C774" t="s">
        <v>24</v>
      </c>
      <c r="J774" t="s">
        <v>55</v>
      </c>
      <c r="K774" s="3">
        <v>2220</v>
      </c>
      <c r="L774" s="2">
        <v>0</v>
      </c>
      <c r="M774" s="2">
        <f>+K774-L774</f>
        <v>2220</v>
      </c>
      <c r="N774" s="2">
        <v>111</v>
      </c>
      <c r="O774" s="2">
        <v>0</v>
      </c>
      <c r="P774" s="2">
        <v>2331</v>
      </c>
      <c r="Q774" t="s">
        <v>40</v>
      </c>
      <c r="S774" t="s">
        <v>27</v>
      </c>
      <c r="T774" s="8">
        <v>46022</v>
      </c>
      <c r="U774" s="7">
        <v>0.93837962962962962</v>
      </c>
    </row>
    <row r="775" spans="1:21" x14ac:dyDescent="0.2">
      <c r="A775">
        <v>1100</v>
      </c>
      <c r="B775" t="s">
        <v>52</v>
      </c>
      <c r="C775" t="s">
        <v>24</v>
      </c>
      <c r="J775" t="s">
        <v>53</v>
      </c>
      <c r="K775" s="3">
        <v>675</v>
      </c>
      <c r="L775" s="2">
        <v>0</v>
      </c>
      <c r="M775" s="2">
        <f>+K775-L775</f>
        <v>675</v>
      </c>
      <c r="N775" s="2">
        <v>33.76</v>
      </c>
      <c r="O775" s="2">
        <v>0.24</v>
      </c>
      <c r="P775" s="2">
        <v>709</v>
      </c>
      <c r="Q775" t="s">
        <v>26</v>
      </c>
      <c r="S775" t="s">
        <v>27</v>
      </c>
      <c r="T775" s="8">
        <v>46022</v>
      </c>
      <c r="U775" s="7">
        <v>0.94019675925925927</v>
      </c>
    </row>
    <row r="776" spans="1:21" x14ac:dyDescent="0.2">
      <c r="A776">
        <v>1101</v>
      </c>
      <c r="B776" t="s">
        <v>50</v>
      </c>
      <c r="C776" t="s">
        <v>24</v>
      </c>
      <c r="J776" t="s">
        <v>51</v>
      </c>
      <c r="K776" s="3">
        <v>545</v>
      </c>
      <c r="L776" s="2">
        <v>81.75</v>
      </c>
      <c r="M776" s="2">
        <f>+K776-L776</f>
        <v>463.25</v>
      </c>
      <c r="N776" s="2">
        <v>23.16</v>
      </c>
      <c r="O776" s="2">
        <v>-0.41</v>
      </c>
      <c r="P776" s="2">
        <v>486</v>
      </c>
      <c r="Q776" t="s">
        <v>40</v>
      </c>
      <c r="S776" t="s">
        <v>27</v>
      </c>
      <c r="T776" s="8">
        <v>46022</v>
      </c>
      <c r="U776" s="7">
        <v>0.9415162037037037</v>
      </c>
    </row>
    <row r="777" spans="1:21" x14ac:dyDescent="0.2">
      <c r="A777">
        <v>1102</v>
      </c>
      <c r="B777" t="s">
        <v>23</v>
      </c>
      <c r="C777" t="s">
        <v>24</v>
      </c>
      <c r="J777" t="s">
        <v>49</v>
      </c>
      <c r="K777" s="3">
        <v>1575</v>
      </c>
      <c r="L777" s="2">
        <v>0</v>
      </c>
      <c r="M777" s="2">
        <f>+K777-L777</f>
        <v>1575</v>
      </c>
      <c r="N777" s="2">
        <v>78.760000000000005</v>
      </c>
      <c r="O777" s="2">
        <v>0.24</v>
      </c>
      <c r="P777" s="2">
        <v>1654</v>
      </c>
      <c r="Q777" t="s">
        <v>26</v>
      </c>
      <c r="S777" t="s">
        <v>27</v>
      </c>
      <c r="T777" s="8">
        <v>46022</v>
      </c>
      <c r="U777" s="7">
        <v>0.94341435185185185</v>
      </c>
    </row>
    <row r="778" spans="1:21" x14ac:dyDescent="0.2">
      <c r="A778">
        <v>1103</v>
      </c>
      <c r="B778" t="s">
        <v>47</v>
      </c>
      <c r="C778" t="s">
        <v>24</v>
      </c>
      <c r="J778" t="s">
        <v>48</v>
      </c>
      <c r="K778" s="3">
        <v>1135</v>
      </c>
      <c r="L778" s="2">
        <v>0</v>
      </c>
      <c r="M778" s="2">
        <f>+K778-L778</f>
        <v>1135</v>
      </c>
      <c r="N778" s="2">
        <v>56.76</v>
      </c>
      <c r="O778" s="2">
        <v>0.24</v>
      </c>
      <c r="P778" s="2">
        <v>1192</v>
      </c>
      <c r="Q778" t="s">
        <v>26</v>
      </c>
      <c r="S778" t="s">
        <v>27</v>
      </c>
      <c r="T778" s="8">
        <v>46022</v>
      </c>
      <c r="U778" s="7">
        <v>0.94565972222222228</v>
      </c>
    </row>
    <row r="779" spans="1:21" x14ac:dyDescent="0.2">
      <c r="A779">
        <v>1104</v>
      </c>
      <c r="B779" t="s">
        <v>45</v>
      </c>
      <c r="C779" t="s">
        <v>24</v>
      </c>
      <c r="J779" t="s">
        <v>46</v>
      </c>
      <c r="K779" s="3">
        <v>680</v>
      </c>
      <c r="L779" s="2">
        <v>0</v>
      </c>
      <c r="M779" s="2">
        <f>+K779-L779</f>
        <v>680</v>
      </c>
      <c r="N779" s="2">
        <v>34</v>
      </c>
      <c r="O779" s="2">
        <v>0</v>
      </c>
      <c r="P779" s="2">
        <v>714</v>
      </c>
      <c r="Q779" t="s">
        <v>26</v>
      </c>
      <c r="S779" t="s">
        <v>27</v>
      </c>
      <c r="T779" s="8">
        <v>46022</v>
      </c>
      <c r="U779" s="7">
        <v>0.94989583333333338</v>
      </c>
    </row>
    <row r="780" spans="1:21" x14ac:dyDescent="0.2">
      <c r="A780">
        <v>1105</v>
      </c>
      <c r="B780" t="s">
        <v>43</v>
      </c>
      <c r="C780" t="s">
        <v>24</v>
      </c>
      <c r="J780" t="s">
        <v>44</v>
      </c>
      <c r="K780" s="3">
        <v>1615</v>
      </c>
      <c r="L780" s="2">
        <v>161.5</v>
      </c>
      <c r="M780" s="2">
        <f>+K780-L780</f>
        <v>1453.5</v>
      </c>
      <c r="N780" s="2">
        <v>72.680000000000007</v>
      </c>
      <c r="O780" s="2">
        <v>-0.18</v>
      </c>
      <c r="P780" s="2">
        <v>1526</v>
      </c>
      <c r="Q780" t="s">
        <v>40</v>
      </c>
      <c r="S780" t="s">
        <v>27</v>
      </c>
      <c r="T780" s="8">
        <v>46022</v>
      </c>
      <c r="U780" s="7">
        <v>0.97072916666666664</v>
      </c>
    </row>
    <row r="781" spans="1:21" x14ac:dyDescent="0.2">
      <c r="A781">
        <v>1106</v>
      </c>
      <c r="B781" t="s">
        <v>41</v>
      </c>
      <c r="C781" t="s">
        <v>24</v>
      </c>
      <c r="J781" t="s">
        <v>42</v>
      </c>
      <c r="K781" s="3">
        <v>755</v>
      </c>
      <c r="L781" s="2">
        <v>0</v>
      </c>
      <c r="M781" s="2">
        <f>+K781-L781</f>
        <v>755</v>
      </c>
      <c r="N781" s="2">
        <v>37.76</v>
      </c>
      <c r="O781" s="2">
        <v>0.24</v>
      </c>
      <c r="P781" s="2">
        <v>793</v>
      </c>
      <c r="Q781" t="s">
        <v>30</v>
      </c>
      <c r="S781" t="s">
        <v>27</v>
      </c>
      <c r="T781" s="8">
        <v>46022</v>
      </c>
      <c r="U781" s="7">
        <v>0.97087962962962959</v>
      </c>
    </row>
    <row r="782" spans="1:21" x14ac:dyDescent="0.2">
      <c r="A782">
        <v>1107</v>
      </c>
      <c r="B782" t="s">
        <v>38</v>
      </c>
      <c r="C782" t="s">
        <v>24</v>
      </c>
      <c r="J782" t="s">
        <v>39</v>
      </c>
      <c r="K782" s="3">
        <v>665</v>
      </c>
      <c r="L782" s="2">
        <v>66.5</v>
      </c>
      <c r="M782" s="2">
        <f>+K782-L782</f>
        <v>598.5</v>
      </c>
      <c r="N782" s="2">
        <v>29.92</v>
      </c>
      <c r="O782" s="2">
        <v>-0.42</v>
      </c>
      <c r="P782" s="2">
        <v>628</v>
      </c>
      <c r="Q782" t="s">
        <v>40</v>
      </c>
      <c r="S782" t="s">
        <v>27</v>
      </c>
      <c r="T782" s="8">
        <v>46022</v>
      </c>
      <c r="U782" s="7">
        <v>0.97490740740740744</v>
      </c>
    </row>
    <row r="783" spans="1:21" x14ac:dyDescent="0.2">
      <c r="A783">
        <v>1108</v>
      </c>
      <c r="B783" t="s">
        <v>36</v>
      </c>
      <c r="C783" t="s">
        <v>24</v>
      </c>
      <c r="J783" t="s">
        <v>37</v>
      </c>
      <c r="K783" s="3">
        <v>0</v>
      </c>
      <c r="L783" s="2">
        <v>0</v>
      </c>
      <c r="M783" s="2">
        <f>+K783-L783</f>
        <v>0</v>
      </c>
      <c r="N783" s="2">
        <v>0</v>
      </c>
      <c r="O783" s="2">
        <v>0</v>
      </c>
      <c r="P783" s="2">
        <v>0</v>
      </c>
      <c r="Q783" t="s">
        <v>33</v>
      </c>
      <c r="S783" t="s">
        <v>27</v>
      </c>
      <c r="T783" s="8">
        <v>46022</v>
      </c>
      <c r="U783" s="7">
        <v>0.97592592592592597</v>
      </c>
    </row>
    <row r="784" spans="1:21" x14ac:dyDescent="0.2">
      <c r="A784">
        <v>1109</v>
      </c>
      <c r="B784" t="s">
        <v>34</v>
      </c>
      <c r="C784" t="s">
        <v>24</v>
      </c>
      <c r="J784" t="s">
        <v>35</v>
      </c>
      <c r="K784" s="3">
        <v>0</v>
      </c>
      <c r="L784" s="2">
        <v>0</v>
      </c>
      <c r="M784" s="2">
        <f>+K784-L784</f>
        <v>0</v>
      </c>
      <c r="N784" s="2">
        <v>0</v>
      </c>
      <c r="O784" s="2">
        <v>0</v>
      </c>
      <c r="P784" s="2">
        <v>0</v>
      </c>
      <c r="Q784" t="s">
        <v>33</v>
      </c>
      <c r="S784" t="s">
        <v>27</v>
      </c>
      <c r="T784" s="8">
        <v>46022</v>
      </c>
      <c r="U784" s="7">
        <v>0.97623842592592591</v>
      </c>
    </row>
    <row r="785" spans="1:21" x14ac:dyDescent="0.2">
      <c r="A785">
        <v>1110</v>
      </c>
      <c r="B785" t="s">
        <v>31</v>
      </c>
      <c r="C785" t="s">
        <v>24</v>
      </c>
      <c r="J785" t="s">
        <v>32</v>
      </c>
      <c r="K785" s="3">
        <v>0</v>
      </c>
      <c r="L785" s="2">
        <v>0</v>
      </c>
      <c r="M785" s="2">
        <f>+K785-L785</f>
        <v>0</v>
      </c>
      <c r="N785" s="2">
        <v>0</v>
      </c>
      <c r="O785" s="2">
        <v>0</v>
      </c>
      <c r="P785" s="2">
        <v>0</v>
      </c>
      <c r="Q785" t="s">
        <v>33</v>
      </c>
      <c r="S785" t="s">
        <v>27</v>
      </c>
      <c r="T785" s="8">
        <v>46022</v>
      </c>
      <c r="U785" s="7">
        <v>0.9833912037037037</v>
      </c>
    </row>
    <row r="786" spans="1:21" x14ac:dyDescent="0.2">
      <c r="A786">
        <v>1111</v>
      </c>
      <c r="B786" t="s">
        <v>28</v>
      </c>
      <c r="C786" t="s">
        <v>24</v>
      </c>
      <c r="J786" t="s">
        <v>29</v>
      </c>
      <c r="K786" s="3">
        <v>380</v>
      </c>
      <c r="L786" s="2">
        <v>0</v>
      </c>
      <c r="M786" s="2">
        <f>+K786-L786</f>
        <v>380</v>
      </c>
      <c r="N786" s="2">
        <v>19</v>
      </c>
      <c r="O786" s="2">
        <v>0</v>
      </c>
      <c r="P786" s="2">
        <v>399</v>
      </c>
      <c r="Q786" t="s">
        <v>30</v>
      </c>
      <c r="S786" t="s">
        <v>27</v>
      </c>
      <c r="T786" s="8">
        <v>46022</v>
      </c>
      <c r="U786" s="7">
        <v>0.9880902777777778</v>
      </c>
    </row>
    <row r="787" spans="1:21" x14ac:dyDescent="0.2">
      <c r="A787">
        <v>1112</v>
      </c>
      <c r="B787" t="s">
        <v>23</v>
      </c>
      <c r="C787" t="s">
        <v>24</v>
      </c>
      <c r="J787" t="s">
        <v>25</v>
      </c>
      <c r="K787" s="3">
        <v>1675</v>
      </c>
      <c r="L787" s="2">
        <v>0</v>
      </c>
      <c r="M787" s="2">
        <f>+K787-L787</f>
        <v>1675</v>
      </c>
      <c r="N787" s="2">
        <v>83.76</v>
      </c>
      <c r="O787" s="2">
        <v>0.24</v>
      </c>
      <c r="P787" s="2">
        <v>1759</v>
      </c>
      <c r="Q787" t="s">
        <v>26</v>
      </c>
      <c r="S787" t="s">
        <v>27</v>
      </c>
      <c r="T787" s="8">
        <v>46022</v>
      </c>
      <c r="U787" s="7">
        <v>0.99151620370370375</v>
      </c>
    </row>
    <row r="788" spans="1:21" x14ac:dyDescent="0.2">
      <c r="A788">
        <v>1038</v>
      </c>
      <c r="M788" s="2">
        <f>+P788/105*100</f>
        <v>636.19047619047615</v>
      </c>
      <c r="N788">
        <f>+M788*5/100</f>
        <v>31.809523809523807</v>
      </c>
      <c r="P788">
        <v>668</v>
      </c>
      <c r="Q788" t="s">
        <v>40</v>
      </c>
      <c r="T788" s="8">
        <v>46022</v>
      </c>
    </row>
    <row r="789" spans="1:21" x14ac:dyDescent="0.2">
      <c r="A789">
        <v>1038</v>
      </c>
      <c r="M789" s="2">
        <f>+P789/105*100</f>
        <v>1428.5714285714287</v>
      </c>
      <c r="N789">
        <f>+M789*5/100</f>
        <v>71.428571428571431</v>
      </c>
      <c r="P789">
        <v>1500</v>
      </c>
      <c r="Q789" t="s">
        <v>33</v>
      </c>
      <c r="T789" s="8">
        <v>46022</v>
      </c>
    </row>
    <row r="790" spans="1:21" x14ac:dyDescent="0.2">
      <c r="A790">
        <v>977</v>
      </c>
      <c r="M790" s="2">
        <f>+P790/105*100</f>
        <v>158.0952380952381</v>
      </c>
      <c r="N790">
        <f>+M790*5/100</f>
        <v>7.9047619047619051</v>
      </c>
      <c r="P790">
        <v>166</v>
      </c>
      <c r="Q790" t="s">
        <v>40</v>
      </c>
      <c r="T790" s="8">
        <v>46022</v>
      </c>
    </row>
    <row r="791" spans="1:21" x14ac:dyDescent="0.2">
      <c r="A791">
        <v>977</v>
      </c>
      <c r="M791" s="2">
        <f>+P791/105*100</f>
        <v>952.38095238095241</v>
      </c>
      <c r="N791">
        <f>+M791*5/100</f>
        <v>47.61904761904762</v>
      </c>
      <c r="P791">
        <v>1000</v>
      </c>
      <c r="Q791" t="s">
        <v>33</v>
      </c>
      <c r="T791" s="8">
        <v>46022</v>
      </c>
    </row>
    <row r="792" spans="1:21" x14ac:dyDescent="0.2">
      <c r="A792">
        <v>850</v>
      </c>
      <c r="M792" s="2">
        <f>+P792/105*100</f>
        <v>78.095238095238102</v>
      </c>
      <c r="N792">
        <f>+M792*5/100</f>
        <v>3.9047619047619047</v>
      </c>
      <c r="P792">
        <v>82</v>
      </c>
      <c r="Q792" t="s">
        <v>40</v>
      </c>
      <c r="T792" s="8">
        <v>46022</v>
      </c>
    </row>
    <row r="793" spans="1:21" x14ac:dyDescent="0.2">
      <c r="A793">
        <v>850</v>
      </c>
      <c r="M793" s="2">
        <f>+P793/105*100</f>
        <v>4761.9047619047624</v>
      </c>
      <c r="N793">
        <f>+M793*5/100</f>
        <v>238.09523809523813</v>
      </c>
      <c r="P793">
        <v>5000</v>
      </c>
      <c r="Q793" t="s">
        <v>33</v>
      </c>
      <c r="T793" s="8">
        <v>46022</v>
      </c>
    </row>
    <row r="794" spans="1:21" x14ac:dyDescent="0.2">
      <c r="A794">
        <v>810</v>
      </c>
      <c r="M794" s="2">
        <f>+P794/105*100</f>
        <v>1684.7619047619048</v>
      </c>
      <c r="N794">
        <f>+M794*5/100</f>
        <v>84.238095238095241</v>
      </c>
      <c r="P794">
        <v>1769</v>
      </c>
      <c r="Q794" t="s">
        <v>26</v>
      </c>
      <c r="T794" s="8">
        <v>46022</v>
      </c>
    </row>
    <row r="795" spans="1:21" x14ac:dyDescent="0.2">
      <c r="A795">
        <v>810</v>
      </c>
      <c r="M795" s="2">
        <f>+P795/105*100</f>
        <v>77.142857142857153</v>
      </c>
      <c r="N795">
        <f>+M795*5/100</f>
        <v>3.8571428571428577</v>
      </c>
      <c r="P795">
        <v>81</v>
      </c>
      <c r="Q795" t="s">
        <v>33</v>
      </c>
      <c r="T795" s="8">
        <v>46022</v>
      </c>
    </row>
    <row r="796" spans="1:21" x14ac:dyDescent="0.2">
      <c r="A796">
        <v>722</v>
      </c>
      <c r="M796" s="2">
        <f>+P796/105*100</f>
        <v>82.857142857142861</v>
      </c>
      <c r="N796">
        <f>+M796*5/100</f>
        <v>4.1428571428571432</v>
      </c>
      <c r="P796">
        <v>87</v>
      </c>
      <c r="Q796" t="s">
        <v>40</v>
      </c>
      <c r="T796" s="8">
        <v>46022</v>
      </c>
    </row>
    <row r="797" spans="1:21" x14ac:dyDescent="0.2">
      <c r="A797">
        <v>722</v>
      </c>
      <c r="M797" s="2">
        <f>+P797/105*100</f>
        <v>952.38095238095241</v>
      </c>
      <c r="N797">
        <f>+M797*5/100</f>
        <v>47.61904761904762</v>
      </c>
      <c r="P797">
        <v>1000</v>
      </c>
      <c r="Q797" t="s">
        <v>33</v>
      </c>
      <c r="T797" s="8">
        <v>46022</v>
      </c>
    </row>
    <row r="798" spans="1:21" x14ac:dyDescent="0.2">
      <c r="A798">
        <v>694</v>
      </c>
      <c r="M798" s="2">
        <f>+P798/105*100</f>
        <v>59.047619047619051</v>
      </c>
      <c r="N798">
        <f>+M798*5/100</f>
        <v>2.9523809523809526</v>
      </c>
      <c r="P798">
        <v>62</v>
      </c>
      <c r="Q798" t="s">
        <v>40</v>
      </c>
      <c r="T798" s="8">
        <v>46022</v>
      </c>
    </row>
    <row r="799" spans="1:21" x14ac:dyDescent="0.2">
      <c r="A799">
        <v>694</v>
      </c>
      <c r="M799" s="2">
        <f>+P799/105*100</f>
        <v>476.1904761904762</v>
      </c>
      <c r="N799">
        <f>+M799*5/100</f>
        <v>23.80952380952381</v>
      </c>
      <c r="P799">
        <v>500</v>
      </c>
      <c r="Q799" t="s">
        <v>33</v>
      </c>
      <c r="T799" s="8">
        <v>46022</v>
      </c>
    </row>
    <row r="800" spans="1:21" x14ac:dyDescent="0.2">
      <c r="A800">
        <v>643</v>
      </c>
      <c r="M800" s="2">
        <f>+P800/105*100</f>
        <v>70.476190476190482</v>
      </c>
      <c r="N800">
        <f>+M800*5/100</f>
        <v>3.5238095238095242</v>
      </c>
      <c r="P800">
        <v>74</v>
      </c>
      <c r="Q800" t="s">
        <v>40</v>
      </c>
      <c r="T800" s="8">
        <v>46022</v>
      </c>
    </row>
    <row r="801" spans="1:20" x14ac:dyDescent="0.2">
      <c r="A801">
        <v>643</v>
      </c>
      <c r="M801" s="2">
        <f>+P801/105*100</f>
        <v>476.1904761904762</v>
      </c>
      <c r="N801">
        <f>+M801*5/100</f>
        <v>23.80952380952381</v>
      </c>
      <c r="P801">
        <v>500</v>
      </c>
      <c r="Q801" t="s">
        <v>33</v>
      </c>
      <c r="T801" s="8">
        <v>46022</v>
      </c>
    </row>
    <row r="802" spans="1:20" x14ac:dyDescent="0.2">
      <c r="A802">
        <v>433</v>
      </c>
      <c r="M802" s="2">
        <f>+P802/105*100</f>
        <v>9.5238095238095237</v>
      </c>
      <c r="N802">
        <f>+M802*5/100</f>
        <v>0.47619047619047622</v>
      </c>
      <c r="P802">
        <v>10</v>
      </c>
      <c r="Q802" t="s">
        <v>40</v>
      </c>
      <c r="T802" s="8">
        <v>46022</v>
      </c>
    </row>
    <row r="803" spans="1:20" x14ac:dyDescent="0.2">
      <c r="A803">
        <v>433</v>
      </c>
      <c r="M803" s="2">
        <f>+P803/105*100</f>
        <v>760.95238095238096</v>
      </c>
      <c r="N803">
        <f>+M803*5/100</f>
        <v>38.047619047619044</v>
      </c>
      <c r="P803">
        <v>799</v>
      </c>
      <c r="Q803" t="s">
        <v>33</v>
      </c>
      <c r="T803" s="8">
        <v>46022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Sheet4</vt:lpstr>
      <vt:lpstr>Sheet1</vt:lpstr>
    </vt:vector>
  </TitlesOfParts>
  <Manager>Sergey Shuchkin &lt;sergey.shuchkin@gmail.com&gt;</Manager>
  <Company>Sergey Shuchkin &lt;sergey.shuchkin@gmail.com&gt;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Sergey Shuchkin &lt;sergey.shuchkin@gmail.com&gt;</dc:creator>
  <cp:keywords/>
  <dc:description/>
  <cp:lastModifiedBy>Pd Gupta3</cp:lastModifiedBy>
  <cp:revision>1</cp:revision>
  <dcterms:created xsi:type="dcterms:W3CDTF">2026-01-02T11:40:04Z</dcterms:created>
  <dcterms:modified xsi:type="dcterms:W3CDTF">2026-01-10T11:11:49Z</dcterms:modified>
  <cp:category/>
  <dc:language>en-US</dc:language>
</cp:coreProperties>
</file>