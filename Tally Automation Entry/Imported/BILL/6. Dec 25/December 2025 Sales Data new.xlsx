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c12315ff2562b71/Sujal/SUJAL/cedar and sage pvt limited/purchase and sale/6. Dec 25/"/>
    </mc:Choice>
  </mc:AlternateContent>
  <xr:revisionPtr revIDLastSave="47" documentId="11_5AC31F63DD116AEDBBFB3AD7C77F986D185CBF86" xr6:coauthVersionLast="47" xr6:coauthVersionMax="47" xr10:uidLastSave="{14A45B15-C37C-4453-943C-CB07B00BB90A}"/>
  <bookViews>
    <workbookView xWindow="-108" yWindow="-108" windowWidth="23256" windowHeight="12576" xr2:uid="{00000000-000D-0000-FFFF-FFFF00000000}"/>
  </bookViews>
  <sheets>
    <sheet name="Sheet1" sheetId="1" r:id="rId1"/>
  </sheets>
  <definedNames>
    <definedName name="_xlnm._FilterDatabase" localSheetId="0" hidden="1">Sheet1!$A$5:$V$803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91" i="1" l="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alcChain>
</file>

<file path=xl/sharedStrings.xml><?xml version="1.0" encoding="utf-8"?>
<sst xmlns="http://schemas.openxmlformats.org/spreadsheetml/2006/main" count="4985" uniqueCount="2020">
  <si>
    <t>Name:</t>
  </si>
  <si>
    <t>Restaurant Name:</t>
  </si>
  <si>
    <t>Restaurant Address:</t>
  </si>
  <si>
    <t>Order No.</t>
  </si>
  <si>
    <t>Order Type</t>
  </si>
  <si>
    <t>Sub Order Type</t>
  </si>
  <si>
    <t>Customer Name</t>
  </si>
  <si>
    <t>Customer Phone</t>
  </si>
  <si>
    <t>GSTIN</t>
  </si>
  <si>
    <t>Customer Address</t>
  </si>
  <si>
    <t>Delivery Boy</t>
  </si>
  <si>
    <t>Delivery Boy Number</t>
  </si>
  <si>
    <t>Items</t>
  </si>
  <si>
    <t>My Amount (₹)</t>
  </si>
  <si>
    <t>Total Discount (₹)</t>
  </si>
  <si>
    <t>Total Tax (₹)</t>
  </si>
  <si>
    <t>Round Off (₹)</t>
  </si>
  <si>
    <t>Grand Total (₹)</t>
  </si>
  <si>
    <t>Payment Type</t>
  </si>
  <si>
    <t>Payment Description</t>
  </si>
  <si>
    <t>Status</t>
  </si>
  <si>
    <t>Created</t>
  </si>
  <si>
    <t>Sequence Name</t>
  </si>
  <si>
    <t>Dine In (5)</t>
  </si>
  <si>
    <t>Dine In</t>
  </si>
  <si>
    <t>Chicken Quesadilla, Classic Bombay Maestro Sandwich, Classic Hot Chocolate</t>
  </si>
  <si>
    <t>Other [DINE OUT]</t>
  </si>
  <si>
    <t>Printed</t>
  </si>
  <si>
    <t>31 Dec 2025 23:47:47</t>
  </si>
  <si>
    <t>Dine In (SIDHART SIR)</t>
  </si>
  <si>
    <t>Chicken &amp; Cheese On Toast</t>
  </si>
  <si>
    <t>Card</t>
  </si>
  <si>
    <t>31 Dec 2025 23:42:51</t>
  </si>
  <si>
    <t>Dine In (vikash sir)</t>
  </si>
  <si>
    <t>Spicy Chicken Tenders</t>
  </si>
  <si>
    <t>Cash</t>
  </si>
  <si>
    <t>31 Dec 2025 23:36:05</t>
  </si>
  <si>
    <t>Dine In (VIKASH SIR)</t>
  </si>
  <si>
    <t>Salsa Rose, The Full House Nachos (Veg)</t>
  </si>
  <si>
    <t>31 Dec 2025 23:25:47</t>
  </si>
  <si>
    <t>Dine In (radhika maam)</t>
  </si>
  <si>
    <t>Buffalo Chicken Wings With Ranch Dip, Chicken &amp; Cheese On Toast, Classic Hot Chocolate, Cookies - Cookie Of The Week, Espresso Tiramisu</t>
  </si>
  <si>
    <t>31 Dec 2025 23:25:20</t>
  </si>
  <si>
    <t>Dine In (rahul)</t>
  </si>
  <si>
    <t>Salsa Rose, Truffle And Parmesan Crispy Scouts</t>
  </si>
  <si>
    <t>Other [UPI]</t>
  </si>
  <si>
    <t>31 Dec 2025 23:23:52</t>
  </si>
  <si>
    <t>Dine In (7)</t>
  </si>
  <si>
    <t>Arrabbiata Ambush, Classic Garlic Gambit</t>
  </si>
  <si>
    <t>31 Dec 2025 23:18:04</t>
  </si>
  <si>
    <t>Dine In (1)</t>
  </si>
  <si>
    <t>Claasic Cold Coffee, Classic Margherita Pizza, Roasted Tomato &amp; Basil, Sour Cream And Onion Wrdges Warriors, Tex-Mex Bowl With Cottage Cheese (V)</t>
  </si>
  <si>
    <t>31 Dec 2025 23:17:51</t>
  </si>
  <si>
    <t>Dine In (6)</t>
  </si>
  <si>
    <t>Spicy Chicken Tenders, Thukpa Vegan</t>
  </si>
  <si>
    <t>31 Dec 2025 22:47:51</t>
  </si>
  <si>
    <t>Dine In (11)</t>
  </si>
  <si>
    <t>Avocado Vanguard, Chicken &amp; Cheese On Toast, New Classic Hot Chocolate</t>
  </si>
  <si>
    <t>31 Dec 2025 22:41:45</t>
  </si>
  <si>
    <t>Chicken Quesadilla, Lebanese Chicken Pizza, The Full House Nachos (Veg)</t>
  </si>
  <si>
    <t>31 Dec 2025 22:38:31</t>
  </si>
  <si>
    <t>Dine In (12)</t>
  </si>
  <si>
    <t>Brown Butter Latte, Cappuccino</t>
  </si>
  <si>
    <t>31 Dec 2025 22:35:47</t>
  </si>
  <si>
    <t>Dine In (4)</t>
  </si>
  <si>
    <t>Classic Margherita Pizza, Iced Americano</t>
  </si>
  <si>
    <t>31 Dec 2025 22:33:53</t>
  </si>
  <si>
    <t>Dine In (3)</t>
  </si>
  <si>
    <t>Captain Fish Fingers, Classic Bombay Maestro Sandwich, Espresso Tiramisu, Salsa Rose, The Full House Nachos (Veg), Vanilla And Cocoa Marble Teacakes</t>
  </si>
  <si>
    <t>31 Dec 2025 22:31:16</t>
  </si>
  <si>
    <t>Classic Hot Chocolate, Classic Pancakes, Pistachio Latte</t>
  </si>
  <si>
    <t>31 Dec 2025 22:11:12</t>
  </si>
  <si>
    <t>Captain Fish Fingers, Extra Vegetables, Hot Americano, Rainbow Roll Pizza</t>
  </si>
  <si>
    <t>31 Dec 2025 21:45:22</t>
  </si>
  <si>
    <t>Dine In (2)</t>
  </si>
  <si>
    <t>Buffalo Chicken Wings With Ranch Dip, Rainbow Roll Pizza, Roasted Tomato &amp; Basil, Truffle And Parmesan Crispy Scouts, Vanilla And Cocoa Marble Teacakes</t>
  </si>
  <si>
    <t>31 Dec 2025 21:40:15</t>
  </si>
  <si>
    <t>Dine In (soniya)</t>
  </si>
  <si>
    <t>Rainbow Roll Pizza, Spicy Chicken Tenders</t>
  </si>
  <si>
    <t>31 Dec 2025 20:47:40</t>
  </si>
  <si>
    <t>Burnt Garlic &amp; Cauliflower, Peri Peri Cottage Cheese Pizza</t>
  </si>
  <si>
    <t>31 Dec 2025 19:23:49</t>
  </si>
  <si>
    <t>Middle-East Meetup, Pistachio Latte, Secret Mocha, Sour Cream And Onion Crispy Scouts</t>
  </si>
  <si>
    <t>31 Dec 2025 19:05:56</t>
  </si>
  <si>
    <t>Captain Fish Fingers, Chicken Conqueror Burger, Classic Hot Chocolate, Creamy Pesto, Semolina And Pistachio Teacakes</t>
  </si>
  <si>
    <t>31 Dec 2025 18:23:26</t>
  </si>
  <si>
    <t>Flat White</t>
  </si>
  <si>
    <t>31 Dec 2025 18:08:34</t>
  </si>
  <si>
    <t>Banana Caramel Pancakes, Cappuccino, Chicken Conqueror Burger, Classic Margherita Pizza, Ratatouille Bunny Chow</t>
  </si>
  <si>
    <t>31 Dec 2025 18:06:45</t>
  </si>
  <si>
    <t>Rainbow Roll Pizza, Thukpa Vegan</t>
  </si>
  <si>
    <t>31 Dec 2025 17:46:20</t>
  </si>
  <si>
    <t>Avocado Vanguard, Classic Hot Chocolate</t>
  </si>
  <si>
    <t>31 Dec 2025 16:45:06</t>
  </si>
  <si>
    <t>Asian Bowl Hot Garlic Stir Fry Bean Curd, Brown Butter Latte, Creamy Pesto, Mushroom Marauders Bruschetta, New Classic Hot Chocolate, Pistachio Latte</t>
  </si>
  <si>
    <t>31 Dec 2025 16:11:47</t>
  </si>
  <si>
    <t>Dine In (15)</t>
  </si>
  <si>
    <t>Water Bottle</t>
  </si>
  <si>
    <t>31 Dec 2025 15:25:21</t>
  </si>
  <si>
    <t>Brown Butter Latte, Burrata Baron Pizza, Captain Fish Fingers, Truffle And Parmesan Crispy Scouts, Truffle Mushroom Arancini</t>
  </si>
  <si>
    <t>31 Dec 2025 15:22:36</t>
  </si>
  <si>
    <t>Chicken Quesadilla, Classic Margherita Pizza, Egg French Omelette, Extra Dip, Tex-Mex Bowl Grilled Chicken</t>
  </si>
  <si>
    <t>31 Dec 2025 15:20:17</t>
  </si>
  <si>
    <t>Captain Fish Fingers, Cookies - Cookie Of The Week, Middle-East Meetup, Peri Peri Cottage Cheese Pizza, Roasted Tomato &amp; Basil</t>
  </si>
  <si>
    <t>31 Dec 2025 15:18:15</t>
  </si>
  <si>
    <t>Dine In (jai)</t>
  </si>
  <si>
    <t>Cappuccino</t>
  </si>
  <si>
    <t>31 Dec 2025 14:25:53</t>
  </si>
  <si>
    <t>30 Dec 2025 23:16:43</t>
  </si>
  <si>
    <t>Honey Cinnamon Cold Brew, Salsa Rose</t>
  </si>
  <si>
    <t>30 Dec 2025 23:15:02</t>
  </si>
  <si>
    <t>Dine In (DHRUV)</t>
  </si>
  <si>
    <t>Creamy Pesto, Grilled Chicken</t>
  </si>
  <si>
    <t>30 Dec 2025 23:12:23</t>
  </si>
  <si>
    <t>Dine In (JTOTSHNA)</t>
  </si>
  <si>
    <t>Gaming Charge, The Catalyst</t>
  </si>
  <si>
    <t>30 Dec 2025 23:11:48</t>
  </si>
  <si>
    <t>Dine In (sidhant sir)</t>
  </si>
  <si>
    <t>Cinnamon Hot Chocolate, Egg French Omelette, Extra Vegetables</t>
  </si>
  <si>
    <t>30 Dec 2025 23:07:10</t>
  </si>
  <si>
    <t>Banana Walnut Teacakes, Espresso Tiramisu</t>
  </si>
  <si>
    <t>30 Dec 2025 23:06:52</t>
  </si>
  <si>
    <t>Dine In (JATIN)</t>
  </si>
  <si>
    <t>Classic Garlic Gambit</t>
  </si>
  <si>
    <t>30 Dec 2025 23:05:46</t>
  </si>
  <si>
    <t>Dine In (RANVEER)</t>
  </si>
  <si>
    <t>Banana Walnut Teacakes, Grilled Meaty Maverick</t>
  </si>
  <si>
    <t>30 Dec 2025 23:05:05</t>
  </si>
  <si>
    <t>Dine In (shivangi)</t>
  </si>
  <si>
    <t>Classic Hot Chocolate</t>
  </si>
  <si>
    <t>30 Dec 2025 23:01:36</t>
  </si>
  <si>
    <t>Dine In (RADHIKA MAAM)</t>
  </si>
  <si>
    <t>Buffalo Chicken Wings With Ranch Dip, Grilled Chicken</t>
  </si>
  <si>
    <t>30 Dec 2025 23:00:26</t>
  </si>
  <si>
    <t>Dine In (YASH)</t>
  </si>
  <si>
    <t>Classic Lemon Ice Tea</t>
  </si>
  <si>
    <t>30 Dec 2025 22:59:30</t>
  </si>
  <si>
    <t>Dine In (VIKAS)</t>
  </si>
  <si>
    <t>Masala Egg Bhurji</t>
  </si>
  <si>
    <t>30 Dec 2025 22:59:14</t>
  </si>
  <si>
    <t>Classic Margherita Pizza, Classical Chicken Stroganoff</t>
  </si>
  <si>
    <t>30 Dec 2025 22:54:28</t>
  </si>
  <si>
    <t>Asian Bowl Hot Garlic Stir Fry Bean Curd, Chocolate Chip Pancakes, Salsa Rose</t>
  </si>
  <si>
    <t>30 Dec 2025 22:50:48</t>
  </si>
  <si>
    <t>Dine In (SHIVAM)</t>
  </si>
  <si>
    <t>30 Dec 2025 22:49:00</t>
  </si>
  <si>
    <t>Dine In (AMOL)</t>
  </si>
  <si>
    <t>Add Paneer, Tex-Mex Bowl With Cottage Cheese (V)</t>
  </si>
  <si>
    <t>30 Dec 2025 22:48:45</t>
  </si>
  <si>
    <t>Dine In (10)</t>
  </si>
  <si>
    <t>Claasic Cold Coffee, Pinefire, Rainbow Roll Pizza, Stained Sagrada</t>
  </si>
  <si>
    <t>30 Dec 2025 22:20:32</t>
  </si>
  <si>
    <t>Classic Garlic Gambit, Rainbow Roll Pizza, Secret Mocha</t>
  </si>
  <si>
    <t>30 Dec 2025 22:18:26</t>
  </si>
  <si>
    <t>Cappuccino, Classic Hot Chocolate, Mushroom Alfredo, Peri Peri Cottage Cheese Pizza, Pinefire</t>
  </si>
  <si>
    <t>30 Dec 2025 22:06:26</t>
  </si>
  <si>
    <t>Biscoff Shake, Creamy Pesto, Gaming Charge, Phoenix Berry, Pinefire, Salsa Rose, Tex-Mex Bowl With Cottage Cheese (V), The Full House Nachos (Veg)</t>
  </si>
  <si>
    <t>30 Dec 2025 21:54:21</t>
  </si>
  <si>
    <t>Dine In (priti)</t>
  </si>
  <si>
    <t>Aglio Olio, Rainbow Roll Pizza</t>
  </si>
  <si>
    <t>30 Dec 2025 21:24:38</t>
  </si>
  <si>
    <t>Classic Bombay Maestro Sandwich, The Melty Mischief, Water Bottle</t>
  </si>
  <si>
    <t>30 Dec 2025 21:20:05</t>
  </si>
  <si>
    <t>Dine In (shiangi)</t>
  </si>
  <si>
    <t>Gaming Charge, Hot Americano, Sour Cream And Onion Crispy Scouts</t>
  </si>
  <si>
    <t>30 Dec 2025 21:17:53</t>
  </si>
  <si>
    <t>Chicken Stroganoff Bunnychow, Golden Tiramisu, Spicy Chicken Tenders</t>
  </si>
  <si>
    <t>30 Dec 2025 21:10:34</t>
  </si>
  <si>
    <t>Cappuccino, Peri Peri Crispy Scouts, Salsa Rose, Tex-Mex Bowl With Cottage Cheese (V)</t>
  </si>
  <si>
    <t>30 Dec 2025 20:46:36</t>
  </si>
  <si>
    <t>Brownie With Ice Cream, Classic Hot Chocolate, Water Bottle</t>
  </si>
  <si>
    <t>30 Dec 2025 19:07:58</t>
  </si>
  <si>
    <t>Dine In (josna)</t>
  </si>
  <si>
    <t>Creamy Pesto</t>
  </si>
  <si>
    <t>30 Dec 2025 18:42:35</t>
  </si>
  <si>
    <t>Ginger Cookie</t>
  </si>
  <si>
    <t>30 Dec 2025 17:54:04</t>
  </si>
  <si>
    <t>Classic Hot Chocolate, Pistachio Latte</t>
  </si>
  <si>
    <t>30 Dec 2025 17:40:33</t>
  </si>
  <si>
    <t>30 Dec 2025 17:28:40</t>
  </si>
  <si>
    <t>Hot Americano, Red Dust Frappe, Secret Mocha, Truffle Mushroom Arancini</t>
  </si>
  <si>
    <t>30 Dec 2025 17:13:05</t>
  </si>
  <si>
    <t>Cafe Latte, Classic Hot Chocolate, Classic Wrdges Warriors</t>
  </si>
  <si>
    <t>30 Dec 2025 17:06:18</t>
  </si>
  <si>
    <t>Cappuccino, Classic Hot Chocolate</t>
  </si>
  <si>
    <t>30 Dec 2025 17:01:52</t>
  </si>
  <si>
    <t>30 Dec 2025 16:34:18</t>
  </si>
  <si>
    <t>Classic Hot Chocolate, The Catalyst</t>
  </si>
  <si>
    <t>30 Dec 2025 15:09:10</t>
  </si>
  <si>
    <t>Dine In (sidharth)</t>
  </si>
  <si>
    <t>Egg French Omelette, Extra Vegetables</t>
  </si>
  <si>
    <t>29 Dec 2025 23:00:59</t>
  </si>
  <si>
    <t>Asian Bowl Hot Garlic Stir Fry Chicken, Classic Hot Chocolate, Tex-Mex Bowl With Cottage Cheese (V)</t>
  </si>
  <si>
    <t>29 Dec 2025 23:00:53</t>
  </si>
  <si>
    <t>Dine In (RADHIKA MAA)</t>
  </si>
  <si>
    <t>Chicken &amp; Cheese On Toast, Classic Hot Chocolate, Classic Vanilla Stuffed French Toast, Masala Egg Bhurji, Matcha Latte</t>
  </si>
  <si>
    <t>29 Dec 2025 23:00:07</t>
  </si>
  <si>
    <t>Extra Chicken, Tex-Mex Bowl Grilled Chicken</t>
  </si>
  <si>
    <t>29 Dec 2025 22:15:29</t>
  </si>
  <si>
    <t>Captain Fish Fingers, Chicken Stroganoff Bunnychow, Cinnamon Hot Chocolate, Creamy Pesto, New Classic Hot Chocolate</t>
  </si>
  <si>
    <t>29 Dec 2025 21:39:07</t>
  </si>
  <si>
    <t>Dine In (neha)</t>
  </si>
  <si>
    <t>Cookies - Cookie Of The Week, New Classic Hot Chocolate</t>
  </si>
  <si>
    <t>29 Dec 2025 20:59:20</t>
  </si>
  <si>
    <t>Middle-East Meetup, Spicy Chicken Tenders</t>
  </si>
  <si>
    <t>29 Dec 2025 20:42:48</t>
  </si>
  <si>
    <t>Dine In (KRISSH)</t>
  </si>
  <si>
    <t>29 Dec 2025 20:23:19</t>
  </si>
  <si>
    <t>Brownie With Ice Cream, Carbonated Water, Classic Hot Chocolate, Classic Lemon Ice Tea, Garlic Pepper Chicken Pizza, Grilled Meaty Maverick, Pinefire</t>
  </si>
  <si>
    <t>Part Payment</t>
  </si>
  <si>
    <t>Total : 2168.00</t>
  </si>
  <si>
    <t>29 Dec 2025 20:18:47</t>
  </si>
  <si>
    <t>Classic Margherita Pizza, Crimson Hex, Pinefire, Truffle And Parmesan Wrdges Warriors</t>
  </si>
  <si>
    <t>29 Dec 2025 19:46:15</t>
  </si>
  <si>
    <t>Brown Butter Latte, Middle-East Meetup, Rainbow Roll Pizza</t>
  </si>
  <si>
    <t>29 Dec 2025 18:32:19</t>
  </si>
  <si>
    <t>Cafe Latte, Cafe Mocha, Cappuccino</t>
  </si>
  <si>
    <t>29 Dec 2025 18:08:16</t>
  </si>
  <si>
    <t>Peri Peri Cottage Cheese Pizza</t>
  </si>
  <si>
    <t>29 Dec 2025 16:27:33</t>
  </si>
  <si>
    <t>Hot Americano</t>
  </si>
  <si>
    <t>29 Dec 2025 16:09:38</t>
  </si>
  <si>
    <t>29 Dec 2025 15:58:22</t>
  </si>
  <si>
    <t>Cappuccino, The Catalyst, Truffle Mushroom Arancini</t>
  </si>
  <si>
    <t>29 Dec 2025 14:47:46</t>
  </si>
  <si>
    <t>28 Dec 2025 23:16:54</t>
  </si>
  <si>
    <t>Dine In (14)</t>
  </si>
  <si>
    <t>The Full House Nachos (Veg)</t>
  </si>
  <si>
    <t>28 Dec 2025 23:11:34</t>
  </si>
  <si>
    <t>Dine In (VIKAS SIR)</t>
  </si>
  <si>
    <t>Banana Caramel Pancakes, Chicken Conqueror Burger, Classic Wrdges Warriors</t>
  </si>
  <si>
    <t>28 Dec 2025 23:11:00</t>
  </si>
  <si>
    <t>Dine In (abhinev)</t>
  </si>
  <si>
    <t>Chicken Sausages (nv) 2, Classic Hot Chocolate, Egg French Omelette</t>
  </si>
  <si>
    <t>28 Dec 2025 23:07:45</t>
  </si>
  <si>
    <t>Dine In (ABHINAV)</t>
  </si>
  <si>
    <t>28 Dec 2025 23:07:39</t>
  </si>
  <si>
    <t>Dine In (sedes)</t>
  </si>
  <si>
    <t>28 Dec 2025 23:07:23</t>
  </si>
  <si>
    <t>Dine In (gourav)</t>
  </si>
  <si>
    <t>Brown Butter Latte, Butter Garlic Prawns With Sourdough, Golden Tiramisu, Grilled Chicken</t>
  </si>
  <si>
    <t>28 Dec 2025 23:05:50</t>
  </si>
  <si>
    <t>Dine In (amit)</t>
  </si>
  <si>
    <t>Chicken &amp; Cheese On Toast, Classic Hot Chocolate, Iced Mocha</t>
  </si>
  <si>
    <t>28 Dec 2025 22:58:04</t>
  </si>
  <si>
    <t>Dine In (sakshi)</t>
  </si>
  <si>
    <t>Gaming Charge, Rainbow Roll Pizza, Salsa Rose, Water Bottle</t>
  </si>
  <si>
    <t>28 Dec 2025 22:56:41</t>
  </si>
  <si>
    <t>Dine In (SIDHART)</t>
  </si>
  <si>
    <t>Gaming Charge, Sour Cream And Onion Wrdges Warriors</t>
  </si>
  <si>
    <t>28 Dec 2025 22:55:52</t>
  </si>
  <si>
    <t>Cappuccino, Chicken Conqueror Burger, Egg French Omelette, Extra Vegetables, Golden Tiramisu</t>
  </si>
  <si>
    <t>28 Dec 2025 22:53:16</t>
  </si>
  <si>
    <t>Dine In (RADHIKA AAM)</t>
  </si>
  <si>
    <t>Classic Hot Chocolate, Espresso Tiramisu</t>
  </si>
  <si>
    <t>28 Dec 2025 22:52:55</t>
  </si>
  <si>
    <t>Dine In (STIVAN)</t>
  </si>
  <si>
    <t>Chicken Stroganoff Bunnychow, Spicy Chicken Tenders</t>
  </si>
  <si>
    <t>28 Dec 2025 22:52:05</t>
  </si>
  <si>
    <t>Dine In (ANKIT)</t>
  </si>
  <si>
    <t>Cream Of Chicken &amp; Leek, Spicy Chicken Tenders, Stained Sagrada, Truffle Mushroom Arancini</t>
  </si>
  <si>
    <t>28 Dec 2025 22:51:00</t>
  </si>
  <si>
    <t>Classic Garlic Gambit, Iced Mocha</t>
  </si>
  <si>
    <t>28 Dec 2025 22:45:07</t>
  </si>
  <si>
    <t>Gaming Charge</t>
  </si>
  <si>
    <t>28 Dec 2025 22:39:05</t>
  </si>
  <si>
    <t>Dine In (vinet)</t>
  </si>
  <si>
    <t>Jackfruit Jester Burger, Phoenix Berry, Ratatouille Bunny Chow, The Full House Nachos (Veg), Truffle Mushroom Arancini</t>
  </si>
  <si>
    <t>28 Dec 2025 22:37:46</t>
  </si>
  <si>
    <t>Dine In (priyanshi)</t>
  </si>
  <si>
    <t>Classic Hot Chocolate, Cream Of Chicken &amp; Leek, Thukpa Vegan</t>
  </si>
  <si>
    <t>28 Dec 2025 22:32:48</t>
  </si>
  <si>
    <t>28 Dec 2025 22:31:54</t>
  </si>
  <si>
    <t>Dine In (ARPITA)</t>
  </si>
  <si>
    <t>28 Dec 2025 22:29:25</t>
  </si>
  <si>
    <t>Classic Hot Chocolate, Hot Americano</t>
  </si>
  <si>
    <t>28 Dec 2025 22:24:43</t>
  </si>
  <si>
    <t>Dine In (RITIKA)</t>
  </si>
  <si>
    <t>28 Dec 2025 22:18:34</t>
  </si>
  <si>
    <t>Cafe Latte, Pesto Sandwich</t>
  </si>
  <si>
    <t>28 Dec 2025 22:02:56</t>
  </si>
  <si>
    <t>Dine In (jatin)</t>
  </si>
  <si>
    <t>Aglio Olio</t>
  </si>
  <si>
    <t>28 Dec 2025 21:58:59</t>
  </si>
  <si>
    <t>Dine In (yash)</t>
  </si>
  <si>
    <t>28 Dec 2025 21:58:31</t>
  </si>
  <si>
    <t>Lebanese Chicken Pizza</t>
  </si>
  <si>
    <t>28 Dec 2025 21:57:27</t>
  </si>
  <si>
    <t>Dine In (COFFE DROP SHOOT)</t>
  </si>
  <si>
    <t>drop shot</t>
  </si>
  <si>
    <t>Espresso</t>
  </si>
  <si>
    <t>28 Dec 2025 21:51:28</t>
  </si>
  <si>
    <t>Dine In (manthan)</t>
  </si>
  <si>
    <t>Classic Crispy Scouts</t>
  </si>
  <si>
    <t>28 Dec 2025 21:32:59</t>
  </si>
  <si>
    <t>Aglio Olio, Cappuccino, Peri Peri Wrdges Warriors, Rainbow Roll Pizza</t>
  </si>
  <si>
    <t>28 Dec 2025 21:14:11</t>
  </si>
  <si>
    <t>Cappuccino, Classic Vanilla Waffles, London Fog</t>
  </si>
  <si>
    <t>28 Dec 2025 21:13:04</t>
  </si>
  <si>
    <t>28 Dec 2025 20:40:21</t>
  </si>
  <si>
    <t>28 Dec 2025 20:08:19</t>
  </si>
  <si>
    <t>28 Dec 2025 19:46:45</t>
  </si>
  <si>
    <t>Dine In (SHAKSHI)</t>
  </si>
  <si>
    <t>Brown Butter Latte, Classic Hot Chocolate, Classic Margherita Pizza, Truffle And Parmesan Crispy Scouts</t>
  </si>
  <si>
    <t>28 Dec 2025 17:31:41</t>
  </si>
  <si>
    <t>Cappuccino, Secret Mocha, Vanilla And Cocoa Marble Teacakes</t>
  </si>
  <si>
    <t>28 Dec 2025 17:27:24</t>
  </si>
  <si>
    <t>Avocado Vanguard, Rainbow Roll Pizza</t>
  </si>
  <si>
    <t>28 Dec 2025 17:24:25</t>
  </si>
  <si>
    <t>28 Dec 2025 17:10:34</t>
  </si>
  <si>
    <t>Burnt Garlic &amp; Cauliflower, Classic Margherita Pizza, Classic Scrambled Eggs, Espresso Tiramisu, Mushroom Alfredo</t>
  </si>
  <si>
    <t>28 Dec 2025 17:09:05</t>
  </si>
  <si>
    <t>Classic Lemon Ice Tea, Crimson Hex, Rainbow Roll Pizza, The Bruschetta Bards</t>
  </si>
  <si>
    <t>28 Dec 2025 17:03:48</t>
  </si>
  <si>
    <t>Cream Of Chicken &amp; Leek, Wild Berry Waffles</t>
  </si>
  <si>
    <t>28 Dec 2025 16:43:31</t>
  </si>
  <si>
    <t>Phoenix Berry, Rainbow Roll Pizza</t>
  </si>
  <si>
    <t>28 Dec 2025 16:26:10</t>
  </si>
  <si>
    <t>Dine In (ARJUN)</t>
  </si>
  <si>
    <t>Brown Butter Latte, Secret Mocha</t>
  </si>
  <si>
    <t>28 Dec 2025 16:26:08</t>
  </si>
  <si>
    <t>Asian Bowl Hot Garlic Stir Fry Bean Curd, Claasic Cold Coffee, Tex-Mex Bowl With Cottage Cheese (V)</t>
  </si>
  <si>
    <t>28 Dec 2025 16:22:20</t>
  </si>
  <si>
    <t>28 Dec 2025 15:11:49</t>
  </si>
  <si>
    <t>London Fog</t>
  </si>
  <si>
    <t>27 Dec 2025 23:10:20</t>
  </si>
  <si>
    <t>Classic Bombay Maestro Sandwich, Peri Peri Crispy Scouts</t>
  </si>
  <si>
    <t>27 Dec 2025 23:07:45</t>
  </si>
  <si>
    <t>Espresso Tiramisu</t>
  </si>
  <si>
    <t>27 Dec 2025 23:03:42</t>
  </si>
  <si>
    <t>Brown Butter Latte, Iced Mocha, Pinefire, Pistachio Latte</t>
  </si>
  <si>
    <t>27 Dec 2025 22:57:55</t>
  </si>
  <si>
    <t>Iced Americano</t>
  </si>
  <si>
    <t>27 Dec 2025 22:53:35</t>
  </si>
  <si>
    <t>Avocado Vanguard, Classic Hot Chocolate, Ice Latte</t>
  </si>
  <si>
    <t>27 Dec 2025 22:53:32</t>
  </si>
  <si>
    <t>Dine In (vikas sir)</t>
  </si>
  <si>
    <t>Brownie With Ice Cream, Cappuccino</t>
  </si>
  <si>
    <t>27 Dec 2025 22:52:24</t>
  </si>
  <si>
    <t>Dine In (radhika maa)</t>
  </si>
  <si>
    <t>Classic Hot Chocolate, Classic Vanilla Stuffed French Toast, Grilled Meaty Maverick, Matcha Latte</t>
  </si>
  <si>
    <t>27 Dec 2025 22:51:52</t>
  </si>
  <si>
    <t>Asian Bowl Hot Garlic Stir Fry Chicken, Cappuccino, Egg French Omelette, Extra Sourdough Bread, Iced Americano</t>
  </si>
  <si>
    <t>27 Dec 2025 22:51:19</t>
  </si>
  <si>
    <t>Arrabbiata Ambush, Claasic Cold Coffee, Peri Peri Crispy Scouts, Pinefire</t>
  </si>
  <si>
    <t>Total : 1166.00</t>
  </si>
  <si>
    <t>27 Dec 2025 21:57:10</t>
  </si>
  <si>
    <t>Asian Bowl Hot Garlic Stir Fry Bean Curd, Brownie With Ice Cream, Rainbow Roll Pizza, The Full House Nachos (Veg), Water Bottle</t>
  </si>
  <si>
    <t>27 Dec 2025 21:19:20</t>
  </si>
  <si>
    <t>Burnt Garlic &amp; Cauliflower, Rainbow Roll Pizza</t>
  </si>
  <si>
    <t>27 Dec 2025 20:42:15</t>
  </si>
  <si>
    <t>Claasic Cold Coffee, Classic Crispy Scouts, Rainbow Roll Pizza, Thukpa Vegan</t>
  </si>
  <si>
    <t>27 Dec 2025 20:34:14</t>
  </si>
  <si>
    <t>Brown Butter Latte</t>
  </si>
  <si>
    <t>27 Dec 2025 20:23:21</t>
  </si>
  <si>
    <t>Middle-East Meetup, Rainbow Roll Pizza, Sour Cream And Onion Crispy Scouts, Spicy Chicken Tenders, The Melty Mischief</t>
  </si>
  <si>
    <t>27 Dec 2025 20:06:03</t>
  </si>
  <si>
    <t>Aurora Engine, Lebanese Chicken Pizza, Peri Peri Crispy Scouts, Spicy Chicken Tenders, Water Bottle</t>
  </si>
  <si>
    <t>27 Dec 2025 19:52:47</t>
  </si>
  <si>
    <t>Claasic Cold Coffee, Classic Bombay Maestro Sandwich, Rainbow Roll Pizza, Thukpa Vegan</t>
  </si>
  <si>
    <t>27 Dec 2025 19:51:45</t>
  </si>
  <si>
    <t>Claasic Cold Coffee, Classic Garlic Gambit, Classic Wrdges Warriors</t>
  </si>
  <si>
    <t>27 Dec 2025 19:22:27</t>
  </si>
  <si>
    <t>Cappuccino, Extra Garlic Bread, Flat White, Masala Egg Bhurji, Turn Over</t>
  </si>
  <si>
    <t>27 Dec 2025 18:59:30</t>
  </si>
  <si>
    <t>Cinnamon Hot Chocolate, The Catalyst</t>
  </si>
  <si>
    <t>27 Dec 2025 18:52:36</t>
  </si>
  <si>
    <t>Avocado Vanguard, Espresso</t>
  </si>
  <si>
    <t>27 Dec 2025 18:42:29</t>
  </si>
  <si>
    <t>Extra Dip, The Catalyst, The Full House Nachos (Veg), The Melty Mischief</t>
  </si>
  <si>
    <t>27 Dec 2025 17:55:09</t>
  </si>
  <si>
    <t>Cinnamon Hot Chocolate, Classic Hot Chocolate, Hot Americano, Iced Americano, Iced Mocha, Middle-East Meetup</t>
  </si>
  <si>
    <t>27 Dec 2025 17:45:10</t>
  </si>
  <si>
    <t>Cappuccino, Tex-Mex Bowl With Cottage Cheese (V)</t>
  </si>
  <si>
    <t>27 Dec 2025 17:40:16</t>
  </si>
  <si>
    <t>Chicken Conqueror Burger, Flat White, Grilled Chicken</t>
  </si>
  <si>
    <t>27 Dec 2025 17:23:58</t>
  </si>
  <si>
    <t>Avacado Dip, Classic Lemon Ice Tea, Extra Dip, Tex-Mex Bowl Grilled Chicken, Truffle Mushroom Arancini</t>
  </si>
  <si>
    <t>27 Dec 2025 17:14:23</t>
  </si>
  <si>
    <t>Asian Bowl Hot Garlic Stir Fry Chicken, Ginger Cookie, Spicy Chicken Tenders</t>
  </si>
  <si>
    <t>27 Dec 2025 16:46:38</t>
  </si>
  <si>
    <t>Cappuccino, Roasted Tomato &amp; Basil</t>
  </si>
  <si>
    <t>27 Dec 2025 16:13:56</t>
  </si>
  <si>
    <t>Roasted Tomato &amp; Basil</t>
  </si>
  <si>
    <t>27 Dec 2025 15:42:26</t>
  </si>
  <si>
    <t>Classic Lemon Ice Tea, Iced Americano, Truffle And Parmesan Crispy Scouts</t>
  </si>
  <si>
    <t>27 Dec 2025 15:03:07</t>
  </si>
  <si>
    <t>Avocado Vanguard, Banana Walnut Teacakes, Cappuccino, Extra Sourdough Bread, Masala Egg Bhurji</t>
  </si>
  <si>
    <t>27 Dec 2025 14:14:49</t>
  </si>
  <si>
    <t>Classic Bombay Maestro Sandwich, Grilled Chicken, Matcha Latte, Thukpa Chicken</t>
  </si>
  <si>
    <t>27 Dec 2025 13:26:40</t>
  </si>
  <si>
    <t>Espresso Tiramisu, New York Baked Cheese Cake</t>
  </si>
  <si>
    <t>26 Dec 2025 23:11:41</t>
  </si>
  <si>
    <t>Avocado Vanguard, Classical Chicken Stroganoff</t>
  </si>
  <si>
    <t>26 Dec 2025 23:09:08</t>
  </si>
  <si>
    <t>26 Dec 2025 23:07:16</t>
  </si>
  <si>
    <t>Brown Butter Latte, Chicken &amp; Cheese On Toast, Spicy Chicken Tenders, The Chlorophyll Mage</t>
  </si>
  <si>
    <t>26 Dec 2025 22:59:12</t>
  </si>
  <si>
    <t>Butter Garlic Prawns With Sourdough, Cappuccino, Egg French Omelette, Grilled Chicken</t>
  </si>
  <si>
    <t>26 Dec 2025 22:57:33</t>
  </si>
  <si>
    <t>26 Dec 2025 22:54:39</t>
  </si>
  <si>
    <t>Dine In (SANCHIT)</t>
  </si>
  <si>
    <t>Burnt Garlic &amp; Cauliflower, Cappuccino, Creamy Pesto</t>
  </si>
  <si>
    <t>26 Dec 2025 22:49:29</t>
  </si>
  <si>
    <t>Dine In (LAKSHIT)</t>
  </si>
  <si>
    <t>Creamy Pesto, Salsa Rose, Stained Sagrada</t>
  </si>
  <si>
    <t>26 Dec 2025 22:48:54</t>
  </si>
  <si>
    <t>Classic Bombay Maestro Sandwich, Gaming Charges (1_hr), Golden Tiramisu, Mana Mint, Mushroom Alfredo</t>
  </si>
  <si>
    <t>26 Dec 2025 22:45:48</t>
  </si>
  <si>
    <t>Middle-East Meetup</t>
  </si>
  <si>
    <t>26 Dec 2025 22:44:37</t>
  </si>
  <si>
    <t>The Bruschetta Bards</t>
  </si>
  <si>
    <t>26 Dec 2025 22:43:57</t>
  </si>
  <si>
    <t>Gaming Charges (1_hr)</t>
  </si>
  <si>
    <t>26 Dec 2025 22:40:08</t>
  </si>
  <si>
    <t>Dine In (pranab)</t>
  </si>
  <si>
    <t>pranab</t>
  </si>
  <si>
    <t>Gaming Charges (1_hr), Mushroom Alfredo</t>
  </si>
  <si>
    <t>26 Dec 2025 22:37:05</t>
  </si>
  <si>
    <t>Cappuccino, New York Baked Cheese Cake</t>
  </si>
  <si>
    <t>26 Dec 2025 22:29:37</t>
  </si>
  <si>
    <t>Dine In (JAY)</t>
  </si>
  <si>
    <t>Extra Garlic Bread, Secret Mocha, Turn Over</t>
  </si>
  <si>
    <t>26 Dec 2025 22:26:03</t>
  </si>
  <si>
    <t>Dine In (adit)</t>
  </si>
  <si>
    <t>adit</t>
  </si>
  <si>
    <t>Classic Wrdges Warriors, Gaming Charges (1_hr), Rainbow Roll Pizza, The Full House Nachos (Veg)</t>
  </si>
  <si>
    <t>26 Dec 2025 22:24:24</t>
  </si>
  <si>
    <t>Dine In (RANJEET)</t>
  </si>
  <si>
    <t>Cafe Latte, Grilled Chicken</t>
  </si>
  <si>
    <t>26 Dec 2025 22:24:10</t>
  </si>
  <si>
    <t>26 Dec 2025 22:21:14</t>
  </si>
  <si>
    <t>26 Dec 2025 22:21:12</t>
  </si>
  <si>
    <t>Dine In (TANIKSHA)</t>
  </si>
  <si>
    <t>Classic Margherita Pizza, London Fog, Peri Peri Crispy Scouts</t>
  </si>
  <si>
    <t>26 Dec 2025 22:01:45</t>
  </si>
  <si>
    <t>Burrata Baron Pizza, Cappuccino</t>
  </si>
  <si>
    <t>26 Dec 2025 21:27:47</t>
  </si>
  <si>
    <t>26 Dec 2025 18:56:42</t>
  </si>
  <si>
    <t>Avocado Vanguard, Classic Hot Chocolate, London Fog, Pesto Sandwich, Tiramisu Hot Chocolate, Water Bottle</t>
  </si>
  <si>
    <t>26 Dec 2025 18:40:47</t>
  </si>
  <si>
    <t>26 Dec 2025 18:39:16</t>
  </si>
  <si>
    <t>Avocado Vanguard, Thukpa Vegan</t>
  </si>
  <si>
    <t>26 Dec 2025 18:34:34</t>
  </si>
  <si>
    <t>Banana Walnut Teacakes, Cafe Latte, Iced Mocha</t>
  </si>
  <si>
    <t>26 Dec 2025 18:30:21</t>
  </si>
  <si>
    <t>Aglio Olio, Mushroom Marauders Bruschetta, Tex-Mex Bowl With Cottage Cheese (V)</t>
  </si>
  <si>
    <t>26 Dec 2025 18:29:42</t>
  </si>
  <si>
    <t>Cafe Latte, Classic Margherita Pizza, Classic Pancakes</t>
  </si>
  <si>
    <t>26 Dec 2025 18:08:42</t>
  </si>
  <si>
    <t>26 Dec 2025 17:27:41</t>
  </si>
  <si>
    <t>Cafe Latte, Mushroom Alfredo, Rainbow Roll Pizza</t>
  </si>
  <si>
    <t>26 Dec 2025 17:17:43</t>
  </si>
  <si>
    <t>Claasic Cold Coffee, Tex-Mex Bowl With Cottage Cheese (V)</t>
  </si>
  <si>
    <t>26 Dec 2025 16:57:02</t>
  </si>
  <si>
    <t>Brownie With Ice Cream, Crimson Hex, Grilled Chicken, Water Bottle</t>
  </si>
  <si>
    <t>26 Dec 2025 16:27:54</t>
  </si>
  <si>
    <t>Creamy Pesto, Middle-East Meetup, Pinefire, Truffle Mushroom Arancini</t>
  </si>
  <si>
    <t>26 Dec 2025 16:04:02</t>
  </si>
  <si>
    <t>Creamy Pesto, Mushroom Alfredo, Tex-Mex Bowl With Cottage Cheese (V), Truffle And Parmesan Crispy Scouts</t>
  </si>
  <si>
    <t>26 Dec 2025 15:56:50</t>
  </si>
  <si>
    <t>Golden Tiramisu, Mushroom Alfredo, Tokyo Godzilla Frappe, Truffle And Parmesan Crispy Scouts</t>
  </si>
  <si>
    <t>26 Dec 2025 15:48:37</t>
  </si>
  <si>
    <t>Egg French Omelette, Roasted Tomato &amp; Basil</t>
  </si>
  <si>
    <t>26 Dec 2025 15:46:11</t>
  </si>
  <si>
    <t>Cafe Latte, Cafe Mocha, Cappuccino, Grilled Fish</t>
  </si>
  <si>
    <t>26 Dec 2025 14:56:40</t>
  </si>
  <si>
    <t>Hot Americano, Iced Americano, Spicy Chicken Tenders</t>
  </si>
  <si>
    <t>26 Dec 2025 14:39:36</t>
  </si>
  <si>
    <t>25 Dec 2025 23:24:14</t>
  </si>
  <si>
    <t>Dine In (radhika mem)</t>
  </si>
  <si>
    <t>Cottage Cheese Steak</t>
  </si>
  <si>
    <t>25 Dec 2025 23:19:09</t>
  </si>
  <si>
    <t>Dine In (VISAKHA)</t>
  </si>
  <si>
    <t>VISAKHA</t>
  </si>
  <si>
    <t>Avocado Vanguard, Cinnamon Hot Chocolate, Rainbow Roll Pizza, Salsa Rose, Tex-Mex Bowl Grilled Chicken</t>
  </si>
  <si>
    <t>25 Dec 2025 23:18:56</t>
  </si>
  <si>
    <t>25 Dec 2025 23:17:25</t>
  </si>
  <si>
    <t>Dine In (FOOD BLOGGER)</t>
  </si>
  <si>
    <t>PHOTO SURT</t>
  </si>
  <si>
    <t>Honey Cinnamon Cold Brew, Ratatouille Bunny Chow</t>
  </si>
  <si>
    <t>25 Dec 2025 23:17:15</t>
  </si>
  <si>
    <t>Dine In (MR sidhart sir)</t>
  </si>
  <si>
    <t>MR sidhart sir</t>
  </si>
  <si>
    <t>Chicken &amp; Cheese On Toast, Chicken Stroganoff Bunnychow, Honey Cinnamon Cold Brew, Iced Americano, Salsa Rose, Stained Sagrada, The Full House Nachos (Veg)</t>
  </si>
  <si>
    <t>25 Dec 2025 23:15:47</t>
  </si>
  <si>
    <t>Aglio Olio, Avocado Vanguard, Classic Wrdges Warriors, Honey Cinnamon Cold Brew, New York Baked Cheese Cake, The Feta Scribe</t>
  </si>
  <si>
    <t>25 Dec 2025 23:13:45</t>
  </si>
  <si>
    <t>Dine In (arpit)</t>
  </si>
  <si>
    <t>Mana Mint</t>
  </si>
  <si>
    <t>25 Dec 2025 23:09:54</t>
  </si>
  <si>
    <t>Dine In (dhruv)</t>
  </si>
  <si>
    <t>Peri Peri Crispy Scouts</t>
  </si>
  <si>
    <t>25 Dec 2025 23:09:51</t>
  </si>
  <si>
    <t>25 Dec 2025 23:07:54</t>
  </si>
  <si>
    <t>Arrabbiata Ambush, Classical Chicken Stroganoff, Creamy Pesto, Crimson Hex, Pinefire</t>
  </si>
  <si>
    <t>25 Dec 2025 23:02:09</t>
  </si>
  <si>
    <t>Avocado Vanguard, Brown Butter Latte, Hot Americano, Water Bottle</t>
  </si>
  <si>
    <t>25 Dec 2025 22:53:36</t>
  </si>
  <si>
    <t>Dine In (rishab)</t>
  </si>
  <si>
    <t>25 Dec 2025 22:41:30</t>
  </si>
  <si>
    <t>Dine In (LAKSHAY)</t>
  </si>
  <si>
    <t>Creamy Pesto, Oink Oink  (pepperoni ) Pizza, Stained Sagrada</t>
  </si>
  <si>
    <t>25 Dec 2025 22:38:58</t>
  </si>
  <si>
    <t>Dine In (TRIPTI)</t>
  </si>
  <si>
    <t>Thukpa Chicken</t>
  </si>
  <si>
    <t>25 Dec 2025 22:36:58</t>
  </si>
  <si>
    <t>Dine In (megha)</t>
  </si>
  <si>
    <t>25 Dec 2025 22:34:10</t>
  </si>
  <si>
    <t>Dine In (jay)</t>
  </si>
  <si>
    <t>Cappuccino, Middle-East Meetup</t>
  </si>
  <si>
    <t>25 Dec 2025 22:32:13</t>
  </si>
  <si>
    <t>Dine In (rakesh)</t>
  </si>
  <si>
    <t>25 Dec 2025 22:30:16</t>
  </si>
  <si>
    <t>Chicken Stroganoff Bunnychow, Cream Of Chicken &amp; Leek</t>
  </si>
  <si>
    <t>25 Dec 2025 22:25:44</t>
  </si>
  <si>
    <t>Dine In (TARAN)</t>
  </si>
  <si>
    <t>Classic Lemon Ice Tea, Sour Cream And Onion Crispy Scouts</t>
  </si>
  <si>
    <t>25 Dec 2025 22:16:08</t>
  </si>
  <si>
    <t>Dine In (YES)</t>
  </si>
  <si>
    <t>25 Dec 2025 22:06:14</t>
  </si>
  <si>
    <t>Classic Margherita Pizza</t>
  </si>
  <si>
    <t>25 Dec 2025 22:01:05</t>
  </si>
  <si>
    <t>Dine In (KARAN)</t>
  </si>
  <si>
    <t>Arrabbiata Ambush</t>
  </si>
  <si>
    <t>25 Dec 2025 21:57:59</t>
  </si>
  <si>
    <t>Dine In (VIKASH)</t>
  </si>
  <si>
    <t>25 Dec 2025 21:49:20</t>
  </si>
  <si>
    <t>Claasic Cold Coffee, Classic Crispy Scouts, Mushroom Alfredo, Rainbow Roll Pizza</t>
  </si>
  <si>
    <t>25 Dec 2025 21:40:32</t>
  </si>
  <si>
    <t>Dine In (paaras)</t>
  </si>
  <si>
    <t>Biscoff Shake</t>
  </si>
  <si>
    <t>25 Dec 2025 21:38:54</t>
  </si>
  <si>
    <t>Dine In (krish)</t>
  </si>
  <si>
    <t>Cappuccino, Grilled Fish, Pesto Sandwich</t>
  </si>
  <si>
    <t>25 Dec 2025 21:21:04</t>
  </si>
  <si>
    <t>Dine In (sivangi)</t>
  </si>
  <si>
    <t>sivangi</t>
  </si>
  <si>
    <t>Classic Crispy Scouts, Classic Hot Chocolate, Mushroom Alfredo</t>
  </si>
  <si>
    <t>25 Dec 2025 21:08:49</t>
  </si>
  <si>
    <t>Jackfruit Jester Burger, Mushroom Alfredo, Tex-Mex Bowl With Cottage Cheese (V)</t>
  </si>
  <si>
    <t>25 Dec 2025 20:59:56</t>
  </si>
  <si>
    <t>Dine In (bahar ka order)</t>
  </si>
  <si>
    <t>Chicken &amp; Cheese On Toast, Claasic Cold Coffee, Classic Margherita Pizza</t>
  </si>
  <si>
    <t>25 Dec 2025 20:50:41</t>
  </si>
  <si>
    <t>Dine In (SHRUTI)</t>
  </si>
  <si>
    <t>Classic Bombay Maestro Sandwich, Classic Garlic Gambit, Classic Hot Chocolate, Middle-East Meetup, Secret Mocha</t>
  </si>
  <si>
    <t>25 Dec 2025 20:45:23</t>
  </si>
  <si>
    <t>Dine In (ranjeet)</t>
  </si>
  <si>
    <t>ranjeet</t>
  </si>
  <si>
    <t>Cafe Latte, Grilled Fish</t>
  </si>
  <si>
    <t>25 Dec 2025 20:43:44</t>
  </si>
  <si>
    <t>Dine In (aakash)</t>
  </si>
  <si>
    <t>Cappuccino, Mushroom Alfredo, Pesto Sandwich</t>
  </si>
  <si>
    <t>25 Dec 2025 20:30:17</t>
  </si>
  <si>
    <t>Dine In (NEHA)</t>
  </si>
  <si>
    <t>Cafe Latte</t>
  </si>
  <si>
    <t>25 Dec 2025 20:28:14</t>
  </si>
  <si>
    <t>Dine In (tapan)</t>
  </si>
  <si>
    <t>25 Dec 2025 20:23:48</t>
  </si>
  <si>
    <t>Espresso Tiramisu, New Classic Hot Chocolate, Thukpa Vegan, Vanilla And Cocoa Marble Teacakes</t>
  </si>
  <si>
    <t>25 Dec 2025 20:03:47</t>
  </si>
  <si>
    <t>Classic Bombay Maestro Sandwich, Peri Peri Cottage Cheese Pizza, Phoenix Berry, Salsa Rose, The Bruschetta Bards, Truffle Mushroom Arancini</t>
  </si>
  <si>
    <t>25 Dec 2025 19:52:13</t>
  </si>
  <si>
    <t>Dine In (akshay)</t>
  </si>
  <si>
    <t>25 Dec 2025 19:50:02</t>
  </si>
  <si>
    <t>Banana Caramel Waffles, Captain Fish Fingers, Crimson Hex, Hot Americano, Pistachio Latte, Sour Cream And Onion Wrdges Warriors, The Catalyst, Thukpa Chicken</t>
  </si>
  <si>
    <t>25 Dec 2025 19:46:46</t>
  </si>
  <si>
    <t>Aglio Olio, Sour Cream And Onion Crispy Scouts</t>
  </si>
  <si>
    <t>25 Dec 2025 19:46:34</t>
  </si>
  <si>
    <t>Buffalo Chicken Wings With Ranch Dip, Captain Fish Fingers, Classic Hot Chocolate, North Sea Storm, Peri Peri Crispy Scouts</t>
  </si>
  <si>
    <t>25 Dec 2025 19:24:05</t>
  </si>
  <si>
    <t>Aglio Olio, Claasic Cold Coffee</t>
  </si>
  <si>
    <t>25 Dec 2025 19:14:02</t>
  </si>
  <si>
    <t>Burnt Garlic &amp; Cauliflower, Truffle Mushroom Arancini</t>
  </si>
  <si>
    <t>25 Dec 2025 19:13:28</t>
  </si>
  <si>
    <t>Cafe Mocha, Mushroom Marauders Bruschetta</t>
  </si>
  <si>
    <t>25 Dec 2025 19:05:41</t>
  </si>
  <si>
    <t>Dine In (GEETIKA)</t>
  </si>
  <si>
    <t>Mushroom Alfredo, Semolina And Pistachio Teacakes, Sour Cream And Onion Crispy Scouts</t>
  </si>
  <si>
    <t>25 Dec 2025 18:37:05</t>
  </si>
  <si>
    <t>Biscoff Shake, Secret Mocha</t>
  </si>
  <si>
    <t>25 Dec 2025 17:58:11</t>
  </si>
  <si>
    <t>Classic Hot Chocolate, Peri Peri Crispy Scouts, Rainbow Roll Pizza, Roasted Tomato &amp; Basil</t>
  </si>
  <si>
    <t>25 Dec 2025 17:52:27</t>
  </si>
  <si>
    <t>Captain Fish Fingers, Classic Garlic Gambit, Classic Hot Chocolate, Egg French Omelette, Ice Latte, Iced Mocha</t>
  </si>
  <si>
    <t>25 Dec 2025 17:49:56</t>
  </si>
  <si>
    <t>Dine In (9)</t>
  </si>
  <si>
    <t>Cappuccino, Lebanese Chicken Pizza</t>
  </si>
  <si>
    <t>25 Dec 2025 17:46:45</t>
  </si>
  <si>
    <t>Cappuccino, Chicken &amp; Cheese On Toast, Cream Of Chicken &amp; Leek</t>
  </si>
  <si>
    <t>25 Dec 2025 17:42:27</t>
  </si>
  <si>
    <t>Cappuccino, Classic Garlic Gambit, Iced Coconut Oat Matcha Latte</t>
  </si>
  <si>
    <t>25 Dec 2025 17:03:20</t>
  </si>
  <si>
    <t>Dine In (garden)</t>
  </si>
  <si>
    <t>Hot Americano, Secret Mocha</t>
  </si>
  <si>
    <t>25 Dec 2025 16:36:43</t>
  </si>
  <si>
    <t>New Classic Hot Chocolate, Rainbow Roll Pizza, Tiramisu Hot Chocolate</t>
  </si>
  <si>
    <t>25 Dec 2025 16:27:34</t>
  </si>
  <si>
    <t>Dine In (sinilika)</t>
  </si>
  <si>
    <t>sinilika</t>
  </si>
  <si>
    <t>Cappuccino, Rainbow Roll Pizza, Tiramisu Hot Chocolate, Water Bottle</t>
  </si>
  <si>
    <t>25 Dec 2025 16:26:46</t>
  </si>
  <si>
    <t>Mushroom Alfredo</t>
  </si>
  <si>
    <t>25 Dec 2025 16:21:06</t>
  </si>
  <si>
    <t>Cappuccino, Grilled Meaty Maverick, Peri Peri Cottage Cheese Pizza</t>
  </si>
  <si>
    <t>25 Dec 2025 16:14:50</t>
  </si>
  <si>
    <t>Phoenix Berry, Salsa Rose</t>
  </si>
  <si>
    <t>25 Dec 2025 16:12:31</t>
  </si>
  <si>
    <t>Classic Hot Chocolate, Garlic Pepper Chicken Pizza, Spicy Chicken Tenders</t>
  </si>
  <si>
    <t>25 Dec 2025 16:07:09</t>
  </si>
  <si>
    <t>25 Dec 2025 16:02:45</t>
  </si>
  <si>
    <t>Creamy Pesto, Pesto Sandwich</t>
  </si>
  <si>
    <t>25 Dec 2025 15:31:50</t>
  </si>
  <si>
    <t>Dine In (unati)</t>
  </si>
  <si>
    <t>unati</t>
  </si>
  <si>
    <t>Roasted Tomato &amp; Basil, Salsa Rose, Veg Quesadilla</t>
  </si>
  <si>
    <t>25 Dec 2025 15:20:23</t>
  </si>
  <si>
    <t>Cafe Mocha, Crimson Hex, Peri Peri Crispy Scouts, Salsa Rose, The Bruschetta Bards</t>
  </si>
  <si>
    <t>25 Dec 2025 14:57:40</t>
  </si>
  <si>
    <t>Brown Butter Latte, Captain Fish Fingers, Egg French Omelette, Jackfruit Jester Burger, Mana Mint, Red Knight</t>
  </si>
  <si>
    <t>25 Dec 2025 14:38:56</t>
  </si>
  <si>
    <t>Dine In (umesh)</t>
  </si>
  <si>
    <t>umesh</t>
  </si>
  <si>
    <t>Cafe Mocha, Middle-East Meetup</t>
  </si>
  <si>
    <t>25 Dec 2025 14:29:43</t>
  </si>
  <si>
    <t>Aurora Engine, Buffalo Chicken Wings With Ranch Dip, Grilled Chicken, Iced Americano, Iced Mocha</t>
  </si>
  <si>
    <t>25 Dec 2025 14:19:05</t>
  </si>
  <si>
    <t>Aglio Olio, Brown Butter Latte, Classic Hot Chocolate, Classic Margherita Pizza, Lebanese Chicken Pizza, Pinefire</t>
  </si>
  <si>
    <t>25 Dec 2025 14:10:41</t>
  </si>
  <si>
    <t>Total : 5082.00</t>
  </si>
  <si>
    <t>25 Dec 2025 14:03:38</t>
  </si>
  <si>
    <t>Cappuccino, Classic Hot Chocolate, Extra Prawns, Grilled Chicken</t>
  </si>
  <si>
    <t>24 Dec 2025 23:32:20</t>
  </si>
  <si>
    <t>Classic Hot Chocolate, Mushroom Marauders Bruschetta</t>
  </si>
  <si>
    <t>24 Dec 2025 23:31:24</t>
  </si>
  <si>
    <t>Cappuccino, Classic Hot Chocolate, Cookies - Cookie Of The Week, Extra Prawns, Ginger Cookie, Grilled Chicken</t>
  </si>
  <si>
    <t>24 Dec 2025 23:25:33</t>
  </si>
  <si>
    <t>Brown Butter Latte, Grilled Meaty Maverick, Mushroom Alfredo</t>
  </si>
  <si>
    <t>24 Dec 2025 23:14:27</t>
  </si>
  <si>
    <t>24 Dec 2025 23:13:57</t>
  </si>
  <si>
    <t>Brownie With Ice Cream, Chicken Stroganoff Bunnychow, Grilled Chicken, Roasted Tomato &amp; Basil, Thukpa Chicken</t>
  </si>
  <si>
    <t>24 Dec 2025 23:08:08</t>
  </si>
  <si>
    <t>Dine In (PARTIK)</t>
  </si>
  <si>
    <t>New Classic Hot Chocolate</t>
  </si>
  <si>
    <t>24 Dec 2025 23:07:27</t>
  </si>
  <si>
    <t>Cappuccino, Peri Peri Crispy Scouts</t>
  </si>
  <si>
    <t>24 Dec 2025 23:07:24</t>
  </si>
  <si>
    <t>24 Dec 2025 23:04:04</t>
  </si>
  <si>
    <t>24 Dec 2025 23:03:45</t>
  </si>
  <si>
    <t>Dine In (NIKHIL)</t>
  </si>
  <si>
    <t>Secret Mocha</t>
  </si>
  <si>
    <t>24 Dec 2025 22:57:59</t>
  </si>
  <si>
    <t>Dine In (SNEHA)</t>
  </si>
  <si>
    <t>Cream Of Chicken &amp; Leek</t>
  </si>
  <si>
    <t>24 Dec 2025 22:57:47</t>
  </si>
  <si>
    <t>24 Dec 2025 22:44:18</t>
  </si>
  <si>
    <t>24 Dec 2025 22:26:56</t>
  </si>
  <si>
    <t>Aglio Olio, Burrata Baron Pizza, Classic Hot Chocolate, Middle-East Meetup</t>
  </si>
  <si>
    <t>24 Dec 2025 22:25:40</t>
  </si>
  <si>
    <t>24 Dec 2025 22:21:05</t>
  </si>
  <si>
    <t>Aglio Olio, Chicken Conqueror Burger, Roasted Tomato &amp; Basil</t>
  </si>
  <si>
    <t>24 Dec 2025 22:17:16</t>
  </si>
  <si>
    <t>Dine In (SHAKHINA)</t>
  </si>
  <si>
    <t>Mushroom Alfredo, Tex-Mex Bowl Grilled Chicken</t>
  </si>
  <si>
    <t>24 Dec 2025 21:42:15</t>
  </si>
  <si>
    <t>Classic Hot Chocolate, The Bruschetta Bards, Tiramisu Hot Chocolate, Veg Quesadilla</t>
  </si>
  <si>
    <t>24 Dec 2025 21:33:19</t>
  </si>
  <si>
    <t>Ginger Cookie, Pistachio Latte, The Full House Nachos (Veg)</t>
  </si>
  <si>
    <t>24 Dec 2025 20:50:03</t>
  </si>
  <si>
    <t>Classic Margherita Pizza, Ginger Cookie, New Classic Hot Chocolate</t>
  </si>
  <si>
    <t>24 Dec 2025 20:30:58</t>
  </si>
  <si>
    <t>Dine In (anurag)</t>
  </si>
  <si>
    <t>Classic, Classic Bombay Maestro Sandwich, Extra Sourdough Bread, Spicy Chicken Tenders</t>
  </si>
  <si>
    <t>24 Dec 2025 20:24:34</t>
  </si>
  <si>
    <t>mr ankit m3m</t>
  </si>
  <si>
    <t>Avocado Vanguard, Classic Crispy Scouts, Grilled Meaty Maverick</t>
  </si>
  <si>
    <t>24 Dec 2025 19:51:40</t>
  </si>
  <si>
    <t>Avocado Vanguard, Brown Butter Latte, The Catalyst</t>
  </si>
  <si>
    <t>24 Dec 2025 19:34:43</t>
  </si>
  <si>
    <t>Brown Butter Latte, Cappuccino, Classic Margherita Pizza, Truffle And Parmesan Crispy Scouts</t>
  </si>
  <si>
    <t>24 Dec 2025 16:29:25</t>
  </si>
  <si>
    <t>Dine In (35)</t>
  </si>
  <si>
    <t>Cappuccino, Extra Dip, Peri Peri Crispy Scouts, Pistachio Latte, The Full House Nachos (Veg)</t>
  </si>
  <si>
    <t>24 Dec 2025 14:25:06</t>
  </si>
  <si>
    <t>Grilled Meaty Maverick, Pistachio Latte</t>
  </si>
  <si>
    <t>24 Dec 2025 12:25:00</t>
  </si>
  <si>
    <t>Phoenix Berry</t>
  </si>
  <si>
    <t>23 Dec 2025 23:07:54</t>
  </si>
  <si>
    <t>Brownie With Ice Cream, Coconut Noir, New York Baked Cheese Cake, Tex-Mex Bowl Grilled Chicken</t>
  </si>
  <si>
    <t>23 Dec 2025 23:07:28</t>
  </si>
  <si>
    <t>Creamy Pesto, Grilled Meaty Maverick</t>
  </si>
  <si>
    <t>23 Dec 2025 23:06:30</t>
  </si>
  <si>
    <t>Dine In (SIDHANT SIR)</t>
  </si>
  <si>
    <t>Chicken &amp; Cheese On Toast, Extra Prawns, Grilled Chicken, Wild Berry Stuffed French Toast</t>
  </si>
  <si>
    <t>23 Dec 2025 23:02:19</t>
  </si>
  <si>
    <t>Dine In (dev chef)</t>
  </si>
  <si>
    <t>Extra Chicken, Ginger Cookie, Semolina And Pistachio Teacakes, Super Green Risotto</t>
  </si>
  <si>
    <t>23 Dec 2025 22:51:59</t>
  </si>
  <si>
    <t>Classic Hot Chocolate, New York Baked Cheese Cake</t>
  </si>
  <si>
    <t>23 Dec 2025 22:36:51</t>
  </si>
  <si>
    <t>Dine In (avind)</t>
  </si>
  <si>
    <t>Chicken Stroganoff Bunnychow, Crimson Hex, Tex-Mex Bowl With Cottage Cheese (V)</t>
  </si>
  <si>
    <t>23 Dec 2025 22:35:12</t>
  </si>
  <si>
    <t>Dine In (anmol)</t>
  </si>
  <si>
    <t>23 Dec 2025 22:34:31</t>
  </si>
  <si>
    <t>23 Dec 2025 22:34:07</t>
  </si>
  <si>
    <t>Brown Butter Latte, Gaming Charges (1_hr)</t>
  </si>
  <si>
    <t>23 Dec 2025 22:33:45</t>
  </si>
  <si>
    <t>Cappuccino, Chicken &amp; Cheese On Toast, Chicken Stroganoff Bunnychow, Cinnamon Hot Chocolate, Peri Peri Crispy Scouts</t>
  </si>
  <si>
    <t>23 Dec 2025 21:57:22</t>
  </si>
  <si>
    <t>23 Dec 2025 21:55:00</t>
  </si>
  <si>
    <t>Extra Dip, Extra Vegetables, Jackfruit Jester Burger, Peri Peri Crispy Scouts, Salsa Rose, Veg Quesadilla</t>
  </si>
  <si>
    <t>Total : 1850.00</t>
  </si>
  <si>
    <t>23 Dec 2025 21:13:36</t>
  </si>
  <si>
    <t>Espresso Tiramisu, Thukpa Vegan</t>
  </si>
  <si>
    <t>23 Dec 2025 20:36:48</t>
  </si>
  <si>
    <t>Dine In (20)</t>
  </si>
  <si>
    <t>Chicken &amp; Cheese On Toast, Classic Hot Chocolate, Peri Peri Crispy Scouts</t>
  </si>
  <si>
    <t>23 Dec 2025 20:30:46</t>
  </si>
  <si>
    <t>Cafe Mocha, Grilled Chicken, Mushroom Alfredo, Rainbow Roll Pizza, Truffle Mushroom Arancini</t>
  </si>
  <si>
    <t>23 Dec 2025 19:38:02</t>
  </si>
  <si>
    <t>Dine In (8)</t>
  </si>
  <si>
    <t>Captain Fish Fingers, Lebanese Chicken Pizza</t>
  </si>
  <si>
    <t>23 Dec 2025 19:08:52</t>
  </si>
  <si>
    <t>Burnt Garlic &amp; Cauliflower</t>
  </si>
  <si>
    <t>23 Dec 2025 18:34:27</t>
  </si>
  <si>
    <t>Semolina And Pistachio Teacakes, Sour Cream And Onion Crispy Scouts, Tex-Mex Bowl With Cottage Cheese (V), Thukpa Vegan</t>
  </si>
  <si>
    <t>23 Dec 2025 17:51:59</t>
  </si>
  <si>
    <t>Cafe Mocha, Espresso, Ice Latte, Mushroom Alfredo, Rainbow Roll Pizza</t>
  </si>
  <si>
    <t>23 Dec 2025 15:09:07</t>
  </si>
  <si>
    <t>Classic Lemon Ice Tea, Oink Oink  (pepperoni ) Pizza</t>
  </si>
  <si>
    <t>23 Dec 2025 14:07:25</t>
  </si>
  <si>
    <t>Banana Caramel Stuffed French Toast, Cappuccino, Extra Chicken, Extra Vegetables, Ginger Cookie, Grilled Chicken</t>
  </si>
  <si>
    <t>22 Dec 2025 23:05:44</t>
  </si>
  <si>
    <t>Cinnamon Hot Chocolate, New Classic Hot Chocolate, Peri Peri Crispy Scouts</t>
  </si>
  <si>
    <t>22 Dec 2025 23:03:47</t>
  </si>
  <si>
    <t>Aurora Engine, Brown Butter Latte, Claasic Cold Coffee, Grilled Chicken, Water Bottle</t>
  </si>
  <si>
    <t>22 Dec 2025 23:02:19</t>
  </si>
  <si>
    <t>Classic Hot Chocolate, Classic Vanilla Stuffed French Toast, Grilled Chicken, Pistachio Latte</t>
  </si>
  <si>
    <t>22 Dec 2025 23:01:50</t>
  </si>
  <si>
    <t>22 Dec 2025 23:01:09</t>
  </si>
  <si>
    <t>Pinefire, Stained Sagrada, Truffle Mushroom Arancini</t>
  </si>
  <si>
    <t>22 Dec 2025 21:58:03</t>
  </si>
  <si>
    <t>Classic Margherita Pizza, Extra Burrata, Tex-Mex Bowl With Cottage Cheese (V)</t>
  </si>
  <si>
    <t>22 Dec 2025 21:33:30</t>
  </si>
  <si>
    <t>22 Dec 2025 20:09:02</t>
  </si>
  <si>
    <t>Brown Butter Latte, Classic Bombay Maestro Sandwich, Golden Tiramisu, Iced Americano, Roasted Tomato &amp; Basil</t>
  </si>
  <si>
    <t>22 Dec 2025 19:55:58</t>
  </si>
  <si>
    <t>Avocado Vanguard, Roasted Tomato &amp; Basil, Salsa Rose, The Full House Nachos (Veg)</t>
  </si>
  <si>
    <t>22 Dec 2025 19:53:08</t>
  </si>
  <si>
    <t>Cafe Latte, Hot Americano</t>
  </si>
  <si>
    <t>22 Dec 2025 18:28:51</t>
  </si>
  <si>
    <t>Cafe Latte, Flat White, Pesto Sandwich</t>
  </si>
  <si>
    <t>22 Dec 2025 18:23:49</t>
  </si>
  <si>
    <t>Flat White, The Bruschetta Bards</t>
  </si>
  <si>
    <t>22 Dec 2025 18:01:14</t>
  </si>
  <si>
    <t>Aurora Engine, Brown Butter Latte, Chicken &amp; Cheese On Toast</t>
  </si>
  <si>
    <t>22 Dec 2025 17:50:39</t>
  </si>
  <si>
    <t>Buffalo Chicken Wings With Ranch Dip, Classic Lemon Ice Tea, Golden Tiramisu, Mushroom Alfredo</t>
  </si>
  <si>
    <t>22 Dec 2025 16:38:32</t>
  </si>
  <si>
    <t>21 Dec 2025 23:04:51</t>
  </si>
  <si>
    <t>Dine In (SIDHANT)</t>
  </si>
  <si>
    <t>Cappuccino, Sour Cream And Onion Crispy Scouts</t>
  </si>
  <si>
    <t>21 Dec 2025 23:03:24</t>
  </si>
  <si>
    <t>Buffalo Chicken Wings With Ranch Dip</t>
  </si>
  <si>
    <t>21 Dec 2025 23:02:25</t>
  </si>
  <si>
    <t>Classic Hot Chocolate, Classic Vanilla Stuffed French Toast, Extra Chicken, Pesto Sandwich</t>
  </si>
  <si>
    <t>21 Dec 2025 23:02:05</t>
  </si>
  <si>
    <t>Dine In (2KRISSH)</t>
  </si>
  <si>
    <t>Classic Hot Chocolate, Classical Chicken Stroganoff, Peri Peri Crispy Scouts, Tex-Mex Bowl With Cottage Cheese (V)</t>
  </si>
  <si>
    <t>21 Dec 2025 23:01:25</t>
  </si>
  <si>
    <t>21 Dec 2025 22:58:41</t>
  </si>
  <si>
    <t>Classic Lemon Ice Tea, Egg French Omelette</t>
  </si>
  <si>
    <t>21 Dec 2025 22:58:35</t>
  </si>
  <si>
    <t>Dine In (AAYUSH)</t>
  </si>
  <si>
    <t>Thukpa Vegan</t>
  </si>
  <si>
    <t>21 Dec 2025 22:56:53</t>
  </si>
  <si>
    <t>VIPUL</t>
  </si>
  <si>
    <t>21 Dec 2025 22:54:22</t>
  </si>
  <si>
    <t>Dine In (HARSIT)</t>
  </si>
  <si>
    <t>21 Dec 2025 22:51:38</t>
  </si>
  <si>
    <t>Dine In (apurva)</t>
  </si>
  <si>
    <t>Cafe Latte, Roasted Tomato &amp; Basil</t>
  </si>
  <si>
    <t>21 Dec 2025 22:49:49</t>
  </si>
  <si>
    <t>Dine In (3arshita)</t>
  </si>
  <si>
    <t>21 Dec 2025 22:35:31</t>
  </si>
  <si>
    <t>Dine In (gagan)</t>
  </si>
  <si>
    <t>Cappuccino, The Full House Nachos (Veg)</t>
  </si>
  <si>
    <t>21 Dec 2025 22:08:59</t>
  </si>
  <si>
    <t>Dine In (AKANSHA)</t>
  </si>
  <si>
    <t>Brown Butter Latte, Pesto Sandwich</t>
  </si>
  <si>
    <t>21 Dec 2025 21:57:07</t>
  </si>
  <si>
    <t>Dine In (sakashi)</t>
  </si>
  <si>
    <t>21 Dec 2025 21:17:44</t>
  </si>
  <si>
    <t>Dine In (pertham)</t>
  </si>
  <si>
    <t>Peri Peri Crispy Scouts, Sour Cream And Onion Wrdges Warriors</t>
  </si>
  <si>
    <t>21 Dec 2025 21:07:24</t>
  </si>
  <si>
    <t>Dine In (mayur)</t>
  </si>
  <si>
    <t>Burnt Garlic &amp; Cauliflower, Mushroom Alfredo, Roasted Tomato &amp; Basil</t>
  </si>
  <si>
    <t>21 Dec 2025 21:05:17</t>
  </si>
  <si>
    <t>Dine In (Soham)</t>
  </si>
  <si>
    <t>soham</t>
  </si>
  <si>
    <t>Wild Berry Stuffed French Toast</t>
  </si>
  <si>
    <t>21 Dec 2025 20:52:04</t>
  </si>
  <si>
    <t>Brownie With Ice Cream, Cafe Mocha</t>
  </si>
  <si>
    <t>21 Dec 2025 20:08:48</t>
  </si>
  <si>
    <t>The Catalyst</t>
  </si>
  <si>
    <t>21 Dec 2025 19:52:36</t>
  </si>
  <si>
    <t>Dine In (sruthi)</t>
  </si>
  <si>
    <t>sruthi</t>
  </si>
  <si>
    <t>Grilled Vegetables, Peri Peri Wrdges Warriors, Secret Mocha, Tokyo Godzilla Frappe</t>
  </si>
  <si>
    <t>21 Dec 2025 19:34:25</t>
  </si>
  <si>
    <t>Dine In (SONALI)</t>
  </si>
  <si>
    <t>Cafe Mocha, Sour Cream And Onion Crispy Scouts</t>
  </si>
  <si>
    <t>21 Dec 2025 19:14:35</t>
  </si>
  <si>
    <t>Dine In (rajen)</t>
  </si>
  <si>
    <t>rajen</t>
  </si>
  <si>
    <t>Banana Walnut Teacakes, Cappuccino, Classic Lemon Ice Tea, Secret Mocha</t>
  </si>
  <si>
    <t>21 Dec 2025 19:07:59</t>
  </si>
  <si>
    <t>Dine In (abhijeet)</t>
  </si>
  <si>
    <t>Brown Butter Latte, Cappuccino, Classic Lemon Ice Tea</t>
  </si>
  <si>
    <t>21 Dec 2025 18:57:42</t>
  </si>
  <si>
    <t>Cafe Mocha, Peri Peri Wrdges Warriors</t>
  </si>
  <si>
    <t>21 Dec 2025 18:57:13</t>
  </si>
  <si>
    <t>Dine In (richa)</t>
  </si>
  <si>
    <t>Banana Caramel Waffles, Burnt Garlic &amp; Cauliflower, Middle-East Meetup</t>
  </si>
  <si>
    <t>21 Dec 2025 18:35:00</t>
  </si>
  <si>
    <t>Brown Butter Latte, The Bruschetta Bards, The Full House Nachos (Veg)</t>
  </si>
  <si>
    <t>21 Dec 2025 18:15:55</t>
  </si>
  <si>
    <t>Claasic Cold Coffee</t>
  </si>
  <si>
    <t>21 Dec 2025 18:14:14</t>
  </si>
  <si>
    <t>Dine In (POOJA)</t>
  </si>
  <si>
    <t>POOJA</t>
  </si>
  <si>
    <t>Banana Walnut Teacakes, Brown Butter Latte, Secret Mocha</t>
  </si>
  <si>
    <t>21 Dec 2025 17:28:33</t>
  </si>
  <si>
    <t>Dine In (VIVEK)</t>
  </si>
  <si>
    <t>VIVEK</t>
  </si>
  <si>
    <t>Cappuccino, Egg French Omelette</t>
  </si>
  <si>
    <t>21 Dec 2025 17:25:13</t>
  </si>
  <si>
    <t>Cappuccino, Classic Crispy Scouts, Classic Garlic Gambit, Tiramisu Hot Chocolate</t>
  </si>
  <si>
    <t>21 Dec 2025 17:04:14</t>
  </si>
  <si>
    <t>21 Dec 2025 16:43:36</t>
  </si>
  <si>
    <t>Dine In (AISHAN)</t>
  </si>
  <si>
    <t>AISHAN</t>
  </si>
  <si>
    <t>Brown Butter Latte, Buffalo Chicken Wings With Ranch Dip, Chicken Conqueror Burger, Classic Lemon Ice Tea</t>
  </si>
  <si>
    <t>21 Dec 2025 16:41:35</t>
  </si>
  <si>
    <t>Avocado Vanguard, Secret Mocha, The Catalyst</t>
  </si>
  <si>
    <t>21 Dec 2025 16:40:38</t>
  </si>
  <si>
    <t>Dine In (SONAL)</t>
  </si>
  <si>
    <t>21 Dec 2025 16:15:24</t>
  </si>
  <si>
    <t>Dine In (ANUBHAV)</t>
  </si>
  <si>
    <t>21 Dec 2025 16:07:12</t>
  </si>
  <si>
    <t>Dine In (BIRTHDAY PARTY)</t>
  </si>
  <si>
    <t>Birthday Game Charge, Biscoff Shake, Cappuccino, Jackfruit Jester Burger, Middle-East Meetup, Party Menu 65, Water Bottle</t>
  </si>
  <si>
    <t>21 Dec 2025 15:21:04</t>
  </si>
  <si>
    <t>Cappuccino, Chicken Quesadilla, Mushroom Alfredo, Peri Peri Cottage Cheese Pizza, Thukpa Chicken, Tiramisu Hot Chocolate</t>
  </si>
  <si>
    <t>21 Dec 2025 14:01:12</t>
  </si>
  <si>
    <t>Hot Americano, Roasted Tomato &amp; Basil</t>
  </si>
  <si>
    <t>21 Dec 2025 13:15:38</t>
  </si>
  <si>
    <t>Brown Butter Latte, Egg French Omelette, Extra Oat Milk</t>
  </si>
  <si>
    <t>21 Dec 2025 13:02:42</t>
  </si>
  <si>
    <t>Banana Walnut Teacakes, Classic Hot Chocolate, Espresso Tiramisu, Masala Egg Bhurji</t>
  </si>
  <si>
    <t>20 Dec 2025 23:40:30</t>
  </si>
  <si>
    <t>Banana Caramel Waffles, Hot Americano</t>
  </si>
  <si>
    <t>20 Dec 2025 23:38:58</t>
  </si>
  <si>
    <t>Avocado Vanguard, Brownie With Ice Cream</t>
  </si>
  <si>
    <t>20 Dec 2025 23:37:56</t>
  </si>
  <si>
    <t>Classic Lemon Ice Tea, Grilled Meaty Maverick</t>
  </si>
  <si>
    <t>20 Dec 2025 23:34:17</t>
  </si>
  <si>
    <t>Classic Hot Chocolate, Garlic Pepper Chicken Pizza, Iced Coconut Oat Matcha Latte, Red Knight</t>
  </si>
  <si>
    <t>20 Dec 2025 23:33:14</t>
  </si>
  <si>
    <t>Butter Garlic Prawns With Sourdough, Cafe Latte, Cafe Mocha, Cappuccino, Chicken &amp; Cheese On Toast, Classic Hot Chocolate</t>
  </si>
  <si>
    <t>20 Dec 2025 23:31:33</t>
  </si>
  <si>
    <t>Cream Of Chicken &amp; Leek, Peri Peri Wrdges Warriors, Roasted Tomato &amp; Basil</t>
  </si>
  <si>
    <t>20 Dec 2025 23:21:10</t>
  </si>
  <si>
    <t>Dine In (ARPIT)</t>
  </si>
  <si>
    <t>Burnt Garlic &amp; Cauliflower, Ginger Cookie, Middle-East Meetup, Peri Peri Crispy Scouts</t>
  </si>
  <si>
    <t>20 Dec 2025 23:19:11</t>
  </si>
  <si>
    <t>Dine In (DAV)</t>
  </si>
  <si>
    <t>DAV</t>
  </si>
  <si>
    <t>Ginger Cookie, Tex-Mex Bowl Grilled Chicken</t>
  </si>
  <si>
    <t>20 Dec 2025 23:16:09</t>
  </si>
  <si>
    <t>Dine In (ANIRUDH)</t>
  </si>
  <si>
    <t>Peri Peri Wrdges Warriors</t>
  </si>
  <si>
    <t>20 Dec 2025 23:14:45</t>
  </si>
  <si>
    <t>Dine In (SOHAM)</t>
  </si>
  <si>
    <t>Classical Chicken Stroganoff</t>
  </si>
  <si>
    <t>20 Dec 2025 23:13:12</t>
  </si>
  <si>
    <t>Dine In (ANMOL)</t>
  </si>
  <si>
    <t>Chicken Conqueror Burger</t>
  </si>
  <si>
    <t>20 Dec 2025 23:09:39</t>
  </si>
  <si>
    <t>JATIN</t>
  </si>
  <si>
    <t>20 Dec 2025 23:01:51</t>
  </si>
  <si>
    <t>Chicken Conqueror Burger, Chicken Stroganoff Bunnychow</t>
  </si>
  <si>
    <t>20 Dec 2025 23:00:02</t>
  </si>
  <si>
    <t>Dine In (ABHAS)</t>
  </si>
  <si>
    <t>ABHAS</t>
  </si>
  <si>
    <t>Caesar Commander</t>
  </si>
  <si>
    <t>20 Dec 2025 22:58:22</t>
  </si>
  <si>
    <t>YES</t>
  </si>
  <si>
    <t>20 Dec 2025 22:51:21</t>
  </si>
  <si>
    <t>Dine In (nikhil)</t>
  </si>
  <si>
    <t>nikhil</t>
  </si>
  <si>
    <t>Chicken Stroganoff Bunnychow</t>
  </si>
  <si>
    <t>20 Dec 2025 22:51:16</t>
  </si>
  <si>
    <t>Dine In (RONAK)</t>
  </si>
  <si>
    <t>20 Dec 2025 22:45:42</t>
  </si>
  <si>
    <t>Brown Butter Latte, Mushroom Marauders Bruschetta, Peri Peri Crispy Scouts, Thukpa Vegan</t>
  </si>
  <si>
    <t>20 Dec 2025 22:32:41</t>
  </si>
  <si>
    <t>ARPIT</t>
  </si>
  <si>
    <t>Brown Butter Latte, Peri Peri Crispy Scouts, Rainbow Roll Pizza</t>
  </si>
  <si>
    <t>20 Dec 2025 22:09:55</t>
  </si>
  <si>
    <t>Dine In (KIRTNA)</t>
  </si>
  <si>
    <t>20 Dec 2025 22:03:17</t>
  </si>
  <si>
    <t>Dine In (reva)</t>
  </si>
  <si>
    <t>Aglio Olio, Burnt Garlic &amp; Cauliflower, Sour Cream And Onion Crispy Scouts</t>
  </si>
  <si>
    <t>20 Dec 2025 21:36:26</t>
  </si>
  <si>
    <t>Dine In (venit)</t>
  </si>
  <si>
    <t>Classic Bombay Maestro Sandwich, Mushroom Alfredo, Thukpa Vegan</t>
  </si>
  <si>
    <t>20 Dec 2025 21:29:05</t>
  </si>
  <si>
    <t>Burnt Garlic &amp; Cauliflower, Creamy Pesto, Rainbow Roll Pizza</t>
  </si>
  <si>
    <t>20 Dec 2025 21:21:49</t>
  </si>
  <si>
    <t>Lebanese Chicken Pizza, Spicy Chicken Tenders, Truffle And Parmesan Crispy Scouts</t>
  </si>
  <si>
    <t>Total : 1087.00</t>
  </si>
  <si>
    <t>20 Dec 2025 21:04:02</t>
  </si>
  <si>
    <t>Dine In (SHANIYA)</t>
  </si>
  <si>
    <t>Rainbow Roll Pizza, Truffle Mushroom Arancini</t>
  </si>
  <si>
    <t>20 Dec 2025 20:41:12</t>
  </si>
  <si>
    <t>Dine In (PARTH)</t>
  </si>
  <si>
    <t>Egg French Omelette</t>
  </si>
  <si>
    <t>20 Dec 2025 20:36:48</t>
  </si>
  <si>
    <t>Dine In (RAHUL)</t>
  </si>
  <si>
    <t>RAHUL</t>
  </si>
  <si>
    <t>Brown Butter Latte, Pinefire</t>
  </si>
  <si>
    <t>20 Dec 2025 20:24:38</t>
  </si>
  <si>
    <t>Dine In (AAKASH)</t>
  </si>
  <si>
    <t>Ratatouille Bunny Chow, Thukpa Vegan, Truffle Mushroom Arancini</t>
  </si>
  <si>
    <t>20 Dec 2025 19:17:06</t>
  </si>
  <si>
    <t>Tex-Mex Bowl Grilled Chicken, The Full House Nachos (Veg)</t>
  </si>
  <si>
    <t>20 Dec 2025 18:58:50</t>
  </si>
  <si>
    <t>KRISSH</t>
  </si>
  <si>
    <t>Butter Garlic Prawns With Sourdough, Cappuccino, Grilled Chicken</t>
  </si>
  <si>
    <t>20 Dec 2025 18:42:03</t>
  </si>
  <si>
    <t>Dine In (SUTHI)</t>
  </si>
  <si>
    <t>SUTHI</t>
  </si>
  <si>
    <t>Cafe Mocha, Chicken &amp; Cheese On Toast</t>
  </si>
  <si>
    <t>20 Dec 2025 18:18:17</t>
  </si>
  <si>
    <t>Dine In (GOUTUM)</t>
  </si>
  <si>
    <t>GOUTUM</t>
  </si>
  <si>
    <t>20 Dec 2025 18:15:52</t>
  </si>
  <si>
    <t>sruti</t>
  </si>
  <si>
    <t>20 Dec 2025 18:15:10</t>
  </si>
  <si>
    <t>20 Dec 2025 18:10:42</t>
  </si>
  <si>
    <t>Dine In (dheeraj)</t>
  </si>
  <si>
    <t>Aglio Olio, Carbonated Water, Classic Margherita Pizza, Grilled Meaty Maverick</t>
  </si>
  <si>
    <t>20 Dec 2025 17:51:11</t>
  </si>
  <si>
    <t>Dine In (GAURAV)</t>
  </si>
  <si>
    <t>GAURAV</t>
  </si>
  <si>
    <t>Avocado Vanguard, Chicken &amp; Cheese On Toast, Cream Of Chicken &amp; Leek, Garlic Pepper Chicken Pizza, Roasted Tomato &amp; Basil</t>
  </si>
  <si>
    <t>20 Dec 2025 17:37:25</t>
  </si>
  <si>
    <t>Dine In (KUSH)</t>
  </si>
  <si>
    <t>KUSH</t>
  </si>
  <si>
    <t>Brown Butter Latte, Buffalo Chicken Wings With Ranch Dip, Chicken Quesadilla, New Classic Hot Chocolate, Peri Peri Crispy Scouts</t>
  </si>
  <si>
    <t>20 Dec 2025 17:27:00</t>
  </si>
  <si>
    <t>Dine In (RAJ)</t>
  </si>
  <si>
    <t>Classic Lemon Ice Tea, Classic Margherita Pizza, Mushroom Marauders Bruschetta, Thukpa Chicken</t>
  </si>
  <si>
    <t>20 Dec 2025 17:21:00</t>
  </si>
  <si>
    <t>20 Dec 2025 16:45:22</t>
  </si>
  <si>
    <t>Cappuccino, Classic Garlic Gambit, Classic Hot Chocolate</t>
  </si>
  <si>
    <t>20 Dec 2025 16:42:00</t>
  </si>
  <si>
    <t>Dine In (PRIYANSHI)</t>
  </si>
  <si>
    <t>PRITANSHI</t>
  </si>
  <si>
    <t>Rainbow Roll Pizza, Water Bottle</t>
  </si>
  <si>
    <t>20 Dec 2025 16:35:02</t>
  </si>
  <si>
    <t>Dine In (SWATI)</t>
  </si>
  <si>
    <t>SWATI</t>
  </si>
  <si>
    <t>Chicken Conqueror Burger, Chicken Quesadilla, Phoenix Berry, Pinefire, Rainbow Roll Pizza</t>
  </si>
  <si>
    <t>20 Dec 2025 16:34:14</t>
  </si>
  <si>
    <t>20 Dec 2025 16:27:50</t>
  </si>
  <si>
    <t>Classic Crispy Scouts, Classic Hot Chocolate, Lebanese Chicken Pizza</t>
  </si>
  <si>
    <t>20 Dec 2025 15:18:54</t>
  </si>
  <si>
    <t>Classic, Extra Sourdough Bread, Thukpa Vegan</t>
  </si>
  <si>
    <t>20 Dec 2025 15:10:13</t>
  </si>
  <si>
    <t>Dine In (dipali)</t>
  </si>
  <si>
    <t>dipali</t>
  </si>
  <si>
    <t>Buffalo Chicken Wings With Ranch Dip, Cafe Latte, Thukpa Chicken</t>
  </si>
  <si>
    <t>20 Dec 2025 14:50:51</t>
  </si>
  <si>
    <t>Avocado Vanguard, Brown Butter Latte, Cappuccino, Classic Hot Chocolate, Grilled Meaty Maverick, Water Bottle</t>
  </si>
  <si>
    <t>20 Dec 2025 14:47:44</t>
  </si>
  <si>
    <t>Flat White, Pesto Sandwich, Ratatouille Bunny Chow, Sunny Side Up</t>
  </si>
  <si>
    <t>20 Dec 2025 14:46:23</t>
  </si>
  <si>
    <t>19 Dec 2025 23:13:41</t>
  </si>
  <si>
    <t>Chicken Sausages (Nv) 2, Classic Hot Chocolate, Creamy Pesto, Egg French Omelette, Espresso Tiramisu, Extra Garlic Bread, Grilled Meaty Maverick, Ice Latte</t>
  </si>
  <si>
    <t>19 Dec 2025 23:13:30</t>
  </si>
  <si>
    <t>Salsa Rose</t>
  </si>
  <si>
    <t>19 Dec 2025 23:12:23</t>
  </si>
  <si>
    <t>Espresso Tiramisu, Vanilla And Cocoa Marble Teacakes</t>
  </si>
  <si>
    <t>Total : 562.00</t>
  </si>
  <si>
    <t>19 Dec 2025 22:36:03</t>
  </si>
  <si>
    <t>Pesto Sandwich, Thukpa Chicken</t>
  </si>
  <si>
    <t>19 Dec 2025 22:09:04</t>
  </si>
  <si>
    <t>Iced Coconut Oat Matcha Latte</t>
  </si>
  <si>
    <t>19 Dec 2025 22:08:35</t>
  </si>
  <si>
    <t>19 Dec 2025 21:53:38</t>
  </si>
  <si>
    <t>19 Dec 2025 21:01:55</t>
  </si>
  <si>
    <t>Butter Garlic Prawns With Sourdough, Red Knight, Salsa Rose, Truffle And Parmesan Crispy Scouts</t>
  </si>
  <si>
    <t>19 Dec 2025 20:04:11</t>
  </si>
  <si>
    <t>Mushroom Alfredo, Pesto Sandwich, Thukpa Vegan, Water Bottle</t>
  </si>
  <si>
    <t>19 Dec 2025 19:16:05</t>
  </si>
  <si>
    <t>19 Dec 2025 18:27:19</t>
  </si>
  <si>
    <t>Biscoff Shake, Cafe Mocha, Classical Chicken Stroganoff, Rainbow Roll Pizza</t>
  </si>
  <si>
    <t>19 Dec 2025 18:02:11</t>
  </si>
  <si>
    <t>19 Dec 2025 17:36:10</t>
  </si>
  <si>
    <t>Avacado Dip, Cappuccino, Classic Hot Chocolate, London Fog, Pesto Sandwich, The Full House Nachos (Veg)</t>
  </si>
  <si>
    <t>19 Dec 2025 17:29:24</t>
  </si>
  <si>
    <t>19 Dec 2025 17:16:00</t>
  </si>
  <si>
    <t>Burnt Garlic &amp; Cauliflower, Roasted Tomato &amp; Basil</t>
  </si>
  <si>
    <t>19 Dec 2025 15:26:41</t>
  </si>
  <si>
    <t>19 Dec 2025 14:52:29</t>
  </si>
  <si>
    <t>19 Dec 2025 14:34:13</t>
  </si>
  <si>
    <t>Avocado Vanguard, Brown Butter Latte, Cafe Latte, Ice Latte, Masala Egg Bhurji, Red Dust Frappe, Secret Mocha, The Bruschetta Bards, The Catalyst</t>
  </si>
  <si>
    <t>19 Dec 2025 13:54:42</t>
  </si>
  <si>
    <t>Dine In (bunny)</t>
  </si>
  <si>
    <t>Classic Lemon Ice Tea, Flat White, The Full House Nachos (Veg), Water Bottle</t>
  </si>
  <si>
    <t>18 Dec 2025 23:21:59</t>
  </si>
  <si>
    <t>Classic Bombay Maestro Sandwich, Classic Hot Chocolate, Masala Egg Bhurji</t>
  </si>
  <si>
    <t>18 Dec 2025 23:13:30</t>
  </si>
  <si>
    <t>Brownie With Ice Cream, Carbonara</t>
  </si>
  <si>
    <t>18 Dec 2025 23:12:46</t>
  </si>
  <si>
    <t>Dine In (sunny)</t>
  </si>
  <si>
    <t>sunny</t>
  </si>
  <si>
    <t>Secret Mocha, The Bruschetta Bards</t>
  </si>
  <si>
    <t>18 Dec 2025 23:06:40</t>
  </si>
  <si>
    <t>Dine In (alokit)</t>
  </si>
  <si>
    <t>Garlic Pepper Chicken Pizza</t>
  </si>
  <si>
    <t>18 Dec 2025 23:06:11</t>
  </si>
  <si>
    <t>Banana Walnut Teacakes</t>
  </si>
  <si>
    <t>18 Dec 2025 23:04:04</t>
  </si>
  <si>
    <t>Dine In (jogi)</t>
  </si>
  <si>
    <t>18 Dec 2025 22:32:05</t>
  </si>
  <si>
    <t>Cappuccino, Classic Hot Chocolate, Creamy Pesto, Extra Oat Milk, Oink Oink  (pepperoni ) Pizza, Stained Sagrada</t>
  </si>
  <si>
    <t>18 Dec 2025 22:28:12</t>
  </si>
  <si>
    <t>Dine In (sulab)</t>
  </si>
  <si>
    <t>Stained Sagrada</t>
  </si>
  <si>
    <t>18 Dec 2025 22:20:17</t>
  </si>
  <si>
    <t>Dine In (kartik)</t>
  </si>
  <si>
    <t>Classic Lemon Ice Tea, Espresso Tiramisu, Stained Sagrada</t>
  </si>
  <si>
    <t>18 Dec 2025 22:19:44</t>
  </si>
  <si>
    <t>Dine In (taniya)</t>
  </si>
  <si>
    <t>Classic, Extra Oat Milk, Grilled Vegetables, London Fog</t>
  </si>
  <si>
    <t>18 Dec 2025 21:26:23</t>
  </si>
  <si>
    <t>Cafe Latte, Cafe Mocha, Peri Peri Wrdges Warriors</t>
  </si>
  <si>
    <t>18 Dec 2025 20:46:32</t>
  </si>
  <si>
    <t>Cinnamon Hot Chocolate</t>
  </si>
  <si>
    <t>18 Dec 2025 20:43:28</t>
  </si>
  <si>
    <t>Dine In (DAXITA)</t>
  </si>
  <si>
    <t>DAXITA</t>
  </si>
  <si>
    <t>Classic Hot Chocolate, Peri Peri Wrdges Warriors, Truffle And Parmesan Crispy Scouts, Truffle Mushroom Arancini</t>
  </si>
  <si>
    <t>18 Dec 2025 20:22:13</t>
  </si>
  <si>
    <t>Arrabbiata Ambush, Asian Bowl Hot Garlic Stir Fry Bean Curd, Extra Vegetables</t>
  </si>
  <si>
    <t>18 Dec 2025 20:00:30</t>
  </si>
  <si>
    <t>Captain Fish Fingers, Lebanese Chicken Pizza, Pinefire, Red Knight, Spicy Chicken Tenders, Stained Sagrada</t>
  </si>
  <si>
    <t>18 Dec 2025 19:52:13</t>
  </si>
  <si>
    <t>Avocado Vanguard, Classic Hot Chocolate, Flat White</t>
  </si>
  <si>
    <t>18 Dec 2025 19:26:26</t>
  </si>
  <si>
    <t>Butter Garlic Prawns With Sourdough, Cappuccino, Extra Dip, New Classic Hot Chocolate, Spicy Chicken Tenders, Truffle And Parmesan Crispy Scouts</t>
  </si>
  <si>
    <t>18 Dec 2025 19:01:37</t>
  </si>
  <si>
    <t>Brown Butter Latte, Cappuccino, The Full House Nachos (Veg), Truffle Mushroom Arancini</t>
  </si>
  <si>
    <t>18 Dec 2025 18:54:44</t>
  </si>
  <si>
    <t>Iced Coconut Oat Matcha Latte, North Sea Storm, Water Bottle</t>
  </si>
  <si>
    <t>18 Dec 2025 18:53:31</t>
  </si>
  <si>
    <t>18 Dec 2025 16:03:25</t>
  </si>
  <si>
    <t>18 Dec 2025 15:25:51</t>
  </si>
  <si>
    <t>Tex-Mex Bowl Grilled Chicken</t>
  </si>
  <si>
    <t>18 Dec 2025 13:53:48</t>
  </si>
  <si>
    <t>Chicken &amp; Cheese On Toast, Ginger Cookies, Grilled Meaty Maverick, Honey Cinnamon Cold Brew</t>
  </si>
  <si>
    <t>17 Dec 2025 23:13:03</t>
  </si>
  <si>
    <t>Dine In (soham)</t>
  </si>
  <si>
    <t>Cookies - Cookie Of The Week, The Full House Nachos (Veg)</t>
  </si>
  <si>
    <t>17 Dec 2025 23:12:26</t>
  </si>
  <si>
    <t>Dine In (radhika)</t>
  </si>
  <si>
    <t>radhika</t>
  </si>
  <si>
    <t>Chicken Conqueror Burger, Classic Hot Chocolate, Iced Coconut Oat Matcha Latte</t>
  </si>
  <si>
    <t>17 Dec 2025 23:10:48</t>
  </si>
  <si>
    <t>Dine In (Girisha)</t>
  </si>
  <si>
    <t>girisha</t>
  </si>
  <si>
    <t>Creamy Pesto, Espresso Tiramisu, Ice Latte, Stained Sagrada, The Full House Nachos (Chicken)</t>
  </si>
  <si>
    <t>17 Dec 2025 23:09:43</t>
  </si>
  <si>
    <t>Grilled Meaty Maverick</t>
  </si>
  <si>
    <t>17 Dec 2025 22:56:11</t>
  </si>
  <si>
    <t>Jackfruit Jester Burger, Thukpa Vegan</t>
  </si>
  <si>
    <t>17 Dec 2025 22:26:56</t>
  </si>
  <si>
    <t>Dine In (dharna)</t>
  </si>
  <si>
    <t>Avocado Vanguard, Classic Crispy Scouts, Rainbow Roll Pizza, Salsa Rose, The Bruschetta Bards, The Full House Nachos (Veg)</t>
  </si>
  <si>
    <t>17 Dec 2025 22:26:53</t>
  </si>
  <si>
    <t>Dine In (avinash)</t>
  </si>
  <si>
    <t>avinash</t>
  </si>
  <si>
    <t>Banana Walnut Teacakes, Rainbow Roll Pizza</t>
  </si>
  <si>
    <t>17 Dec 2025 21:52:16</t>
  </si>
  <si>
    <t>Dine In (khushal)</t>
  </si>
  <si>
    <t>khushal</t>
  </si>
  <si>
    <t>Sour Cream And Onion Wrdges Warriors</t>
  </si>
  <si>
    <t>17 Dec 2025 21:20:27</t>
  </si>
  <si>
    <t>Dine In (RISHAB)</t>
  </si>
  <si>
    <t>Cappuccino, Classic Lemon Ice Tea</t>
  </si>
  <si>
    <t>17 Dec 2025 21:19:05</t>
  </si>
  <si>
    <t>Dine In (sanjana)</t>
  </si>
  <si>
    <t>sanjana</t>
  </si>
  <si>
    <t>17 Dec 2025 18:45:11</t>
  </si>
  <si>
    <t>Extra Chicken, Grilled Meaty Maverick, Tex-Mex Bowl Grilled Chicken</t>
  </si>
  <si>
    <t>17 Dec 2025 18:18:52</t>
  </si>
  <si>
    <t>Chicken Sausages (Nv) 2, Classic, Extra Sourdough Bread</t>
  </si>
  <si>
    <t>Total : 574.00</t>
  </si>
  <si>
    <t>17 Dec 2025 17:51:50</t>
  </si>
  <si>
    <t>Dine In (nikita)</t>
  </si>
  <si>
    <t>nikita</t>
  </si>
  <si>
    <t>Brown Butter Latte, Salsa Rose, Secret Mocha, Truffle Mushroom Arancini</t>
  </si>
  <si>
    <t>17 Dec 2025 17:10:22</t>
  </si>
  <si>
    <t>Dine In (23)</t>
  </si>
  <si>
    <t>Banana Caramel Stuffed French Toast, Cappuccino, Espresso Tiramisu, Extra Oat Milk</t>
  </si>
  <si>
    <t>17 Dec 2025 17:03:19</t>
  </si>
  <si>
    <t>Burnt Garlic &amp; Cauliflower, Rainbow Roll Pizza, Sour Cream And Onion Wrdges Warriors</t>
  </si>
  <si>
    <t>17 Dec 2025 16:22:33</t>
  </si>
  <si>
    <t>Cappuccino, Ginger Cookies, Grilled Fish, Iced Americano</t>
  </si>
  <si>
    <t>16 Dec 2025 23:03:24</t>
  </si>
  <si>
    <t>Captain Fish Fingers, Peri Peri Crispy Scouts</t>
  </si>
  <si>
    <t>16 Dec 2025 22:54:45</t>
  </si>
  <si>
    <t>Buffalo Chicken Wings With Ranch Dip, Chicken Stroganoff Bunnychow</t>
  </si>
  <si>
    <t>16 Dec 2025 22:54:39</t>
  </si>
  <si>
    <t>Carbonara, Extra Bacon, Spicy Chicken Tenders</t>
  </si>
  <si>
    <t>16 Dec 2025 22:54:33</t>
  </si>
  <si>
    <t>Dine In (radikha)</t>
  </si>
  <si>
    <t>Classic, Classic Hot Chocolate, Espresso Tiramisu, Grilled Meaty Maverick, Iced Coconut Oat Matcha Latte, Matcha Latte</t>
  </si>
  <si>
    <t>16 Dec 2025 22:43:39</t>
  </si>
  <si>
    <t>Dine In (divanshu)</t>
  </si>
  <si>
    <t>Chicken Stroganoff Bunnychow, Secret Mocha</t>
  </si>
  <si>
    <t>16 Dec 2025 22:25:04</t>
  </si>
  <si>
    <t>Chicken Stroganoff Bunnychow, Hot Americano, Iced Americano, Pesto Sandwich</t>
  </si>
  <si>
    <t>16 Dec 2025 22:19:44</t>
  </si>
  <si>
    <t>16 Dec 2025 21:10:21</t>
  </si>
  <si>
    <t>Dine In (photo shoot)</t>
  </si>
  <si>
    <t>photo shoot</t>
  </si>
  <si>
    <t>Cinnamon Hot Chocolate, Classic Garlic Gambit</t>
  </si>
  <si>
    <t>16 Dec 2025 20:36:33</t>
  </si>
  <si>
    <t>Matcha Latte</t>
  </si>
  <si>
    <t>16 Dec 2025 20:33:03</t>
  </si>
  <si>
    <t>Cafe Latte, Cafe Mocha, Cream Of Chicken &amp; Leek, Creamy Pesto, Espresso Tiramisu, Secret Mocha, Tex-Mex Bowl With Cottage Cheese (V), Veg Quesadilla</t>
  </si>
  <si>
    <t>16 Dec 2025 19:54:27</t>
  </si>
  <si>
    <t>Classic Garlic Gambit, Espresso, Iced Coconut Oat Matcha Latte</t>
  </si>
  <si>
    <t>16 Dec 2025 19:01:45</t>
  </si>
  <si>
    <t>Classic Hot Chocolate, Ice Latte, Veg Quesadilla</t>
  </si>
  <si>
    <t>16 Dec 2025 18:53:09</t>
  </si>
  <si>
    <t>Dine In (disha)</t>
  </si>
  <si>
    <t>Classic Lemon Ice Tea, Pinefire, Stained Sagrada</t>
  </si>
  <si>
    <t>16 Dec 2025 18:19:31</t>
  </si>
  <si>
    <t>anandya</t>
  </si>
  <si>
    <t>16 Dec 2025 15:03:21</t>
  </si>
  <si>
    <t>neha</t>
  </si>
  <si>
    <t>16 Dec 2025 13:19:09</t>
  </si>
  <si>
    <t>sidhant sir</t>
  </si>
  <si>
    <t>Chicken &amp; Cheese On Toast, Ginger Cookies, Iced Americano</t>
  </si>
  <si>
    <t>15 Dec 2025 23:13:56</t>
  </si>
  <si>
    <t>Arrabbiata Ambush, Creamy Pesto, Tex-Mex Bowl Grilled Chicken</t>
  </si>
  <si>
    <t>15 Dec 2025 23:05:27</t>
  </si>
  <si>
    <t>Espresso Tiramisu, Matcha Latte, Pistachio Latte</t>
  </si>
  <si>
    <t>15 Dec 2025 23:05:01</t>
  </si>
  <si>
    <t>Avocado Vanguard, Espresso Tiramisu, Mana Mint</t>
  </si>
  <si>
    <t>15 Dec 2025 22:23:58</t>
  </si>
  <si>
    <t>Dine In (aman)</t>
  </si>
  <si>
    <t>aman</t>
  </si>
  <si>
    <t>Banana Walnut Teacakes, Classic Crispy Scouts, Classic Vanilla Waffles, Pistachio Latte, Sunny Side Up</t>
  </si>
  <si>
    <t>15 Dec 2025 19:37:14</t>
  </si>
  <si>
    <t>Dine In (smriti)</t>
  </si>
  <si>
    <t>smriti</t>
  </si>
  <si>
    <t>Aglio Olio, Cafe Latte, Chicken Stroganoff Bunnychow, Phoenix Berry</t>
  </si>
  <si>
    <t>15 Dec 2025 19:09:10</t>
  </si>
  <si>
    <t>Dine In (sanjna)</t>
  </si>
  <si>
    <t>sanjna</t>
  </si>
  <si>
    <t>Classic Lemon Ice Tea, Roasted Tomato &amp; Basil, Truffle And Parmesan Wrdges Warriors</t>
  </si>
  <si>
    <t>15 Dec 2025 18:58:43</t>
  </si>
  <si>
    <t>Mushroom Marauders Bruschetta, Rainbow Roll Pizza</t>
  </si>
  <si>
    <t>15 Dec 2025 17:58:25</t>
  </si>
  <si>
    <t>Dine In (uttkars)</t>
  </si>
  <si>
    <t>UTKARS</t>
  </si>
  <si>
    <t>Cappuccino, Flat White</t>
  </si>
  <si>
    <t>15 Dec 2025 17:45:58</t>
  </si>
  <si>
    <t>Banana Walnut Teacakes, Cappuccino, Claasic Cold Coffee</t>
  </si>
  <si>
    <t>15 Dec 2025 16:01:32</t>
  </si>
  <si>
    <t>Dine In (shubhi)</t>
  </si>
  <si>
    <t>shubi</t>
  </si>
  <si>
    <t>Cafe Latte, Claasic Cold Coffee, Flat White, Peri Peri Crispy Scouts, Rainbow Roll Pizza, Truffle Mushroom Arancini</t>
  </si>
  <si>
    <t>15 Dec 2025 15:23:59</t>
  </si>
  <si>
    <t>Dine In (virendra)</t>
  </si>
  <si>
    <t>virendra</t>
  </si>
  <si>
    <t>Egg French Omelette, Flat White, Tex-Mex Bowl Grilled Chicken</t>
  </si>
  <si>
    <t>15 Dec 2025 15:07:54</t>
  </si>
  <si>
    <t>Dine In (ankita)</t>
  </si>
  <si>
    <t>ankita</t>
  </si>
  <si>
    <t>15 Dec 2025 13:26:58</t>
  </si>
  <si>
    <t>15 Dec 2025 13:04:22</t>
  </si>
  <si>
    <t>Chicken Conqueror Burger, Peri Peri Crispy Scouts, Tex-Mex Bowl With Cottage Cheese (V), Thukpa Vegan, Veg Quesadilla</t>
  </si>
  <si>
    <t>14 Dec 2025 23:26:20</t>
  </si>
  <si>
    <t>14 Dec 2025 23:24:38</t>
  </si>
  <si>
    <t>Dine In (Lady Radhika)</t>
  </si>
  <si>
    <t>Lady Radhika</t>
  </si>
  <si>
    <t>Iced Coconut Oat Matcha Latte, Mushroom Marauders Bruschetta, Rainbow Roll Pizza</t>
  </si>
  <si>
    <t>14 Dec 2025 23:09:15</t>
  </si>
  <si>
    <t>Chicken Stroganoff Bunnychow, Classic Lemon Ice Tea, Masala Egg Bhurji, New Classic Hot Chocolate, Pesto Sandwich</t>
  </si>
  <si>
    <t>14 Dec 2025 23:08:12</t>
  </si>
  <si>
    <t>Cafe Latte, Classic Margherita Pizza, Jackfruit Jester Burger, Rainbow Roll Pizza, Salsa Rose, Spicy Chicken Tenders, Truffle Mushroom Arancini</t>
  </si>
  <si>
    <t>14 Dec 2025 22:51:05</t>
  </si>
  <si>
    <t>Grilled Meaty Maverick, Iced Mocha, Peri Peri Crispy Scouts</t>
  </si>
  <si>
    <t>14 Dec 2025 22:16:48</t>
  </si>
  <si>
    <t>Asian Bowl Hot Garlic Stir Fry Bean Curd, Chicken &amp; Cheese On Toast, Claasic Cold Coffee</t>
  </si>
  <si>
    <t>14 Dec 2025 21:52:26</t>
  </si>
  <si>
    <t>Dine In (ANURAG)</t>
  </si>
  <si>
    <t>Classic Bombay Maestro Sandwich, Ratatouille Bunny Chow</t>
  </si>
  <si>
    <t>14 Dec 2025 21:40:12</t>
  </si>
  <si>
    <t>Dine In (RIDHIKA)</t>
  </si>
  <si>
    <t>Cafe Latte, Peri Peri Crispy Scouts</t>
  </si>
  <si>
    <t>14 Dec 2025 21:37:18</t>
  </si>
  <si>
    <t>Dine In (BRATIKA)</t>
  </si>
  <si>
    <t>Brown Butter Latte, Classic Hot Chocolate, Classic Vanilla Stuffed French Toast</t>
  </si>
  <si>
    <t>14 Dec 2025 21:05:33</t>
  </si>
  <si>
    <t>Coconut Noir, Jackfruit Jester Burger, Secret Mocha</t>
  </si>
  <si>
    <t>14 Dec 2025 20:41:29</t>
  </si>
  <si>
    <t>Cream Of Chicken &amp; Leek, Iced Americano, Spicy Chicken Tenders</t>
  </si>
  <si>
    <t>14 Dec 2025 20:38:12</t>
  </si>
  <si>
    <t>Dine In (SONAM)</t>
  </si>
  <si>
    <t>SONAM</t>
  </si>
  <si>
    <t>14 Dec 2025 20:33:34</t>
  </si>
  <si>
    <t>Dine In (KHUSHOO)</t>
  </si>
  <si>
    <t>KHUSHBOO</t>
  </si>
  <si>
    <t>Asian Bowl Hot Garlic Stir Fry Bean Curd, Classic Lemon Ice Tea, Lebanese Chicken Pizza, Secret Mocha, Stained Sagrada, The Melty Mischief</t>
  </si>
  <si>
    <t>14 Dec 2025 19:56:34</t>
  </si>
  <si>
    <t>Cafe Mocha, Cappuccino, Mushroom Marauders Bruschetta</t>
  </si>
  <si>
    <t>14 Dec 2025 19:51:14</t>
  </si>
  <si>
    <t>Dine In (SANJANA)</t>
  </si>
  <si>
    <t>Cafe Mocha, Peri Peri Crispy Scouts, Truffle Mushroom Arancini</t>
  </si>
  <si>
    <t>14 Dec 2025 19:45:39</t>
  </si>
  <si>
    <t>Cappuccino, Mushroom Marauders Bruschetta</t>
  </si>
  <si>
    <t>14 Dec 2025 19:37:38</t>
  </si>
  <si>
    <t>Classic Wrdges Warriors, Iced Americano</t>
  </si>
  <si>
    <t>14 Dec 2025 19:31:09</t>
  </si>
  <si>
    <t>Vanilla And Cocoa Marble Teacakes</t>
  </si>
  <si>
    <t>14 Dec 2025 19:24:15</t>
  </si>
  <si>
    <t>Dine In (RISHITA)</t>
  </si>
  <si>
    <t>Cappuccino, Classic Lemon Ice Tea, Creamy Pesto, Mushroom Marauders Bruschetta</t>
  </si>
  <si>
    <t>14 Dec 2025 18:37:13</t>
  </si>
  <si>
    <t>Dine In (MARK)</t>
  </si>
  <si>
    <t>Bacon Strips, Butter Garlic Prawns With Sourdough, Classic Hot Chocolate, Grilled Meaty Maverick, Spicy Chicken Tenders, Tokyo Godzilla Frappe</t>
  </si>
  <si>
    <t>14 Dec 2025 18:04:49</t>
  </si>
  <si>
    <t>Dine In (IQRA)</t>
  </si>
  <si>
    <t>Asian Bowl Hot Garlic Stir Fry Chicken, Banana Caramel Stuffed French Toast, Classic Crispy Scouts</t>
  </si>
  <si>
    <t>14 Dec 2025 17:57:05</t>
  </si>
  <si>
    <t>Dine In (ANAM)</t>
  </si>
  <si>
    <t>ANAM</t>
  </si>
  <si>
    <t>Arrabbiata Ambush, Thukpa Chicken</t>
  </si>
  <si>
    <t>14 Dec 2025 17:56:16</t>
  </si>
  <si>
    <t>Dine In (KRISH)</t>
  </si>
  <si>
    <t>Avocado Vanguard, Classic Crispy Scouts, Golden Tiramisu, Thukpa Vegan</t>
  </si>
  <si>
    <t>14 Dec 2025 17:53:55</t>
  </si>
  <si>
    <t>Dine In (richi)</t>
  </si>
  <si>
    <t>14 Dec 2025 17:49:38</t>
  </si>
  <si>
    <t>Dine In (JYOSHNA)</t>
  </si>
  <si>
    <t>JYOSHNA</t>
  </si>
  <si>
    <t>Gaming Charge, Gaming Charges (1_hr)</t>
  </si>
  <si>
    <t>14 Dec 2025 17:48:38</t>
  </si>
  <si>
    <t>Dine In (MR sidhart sira)</t>
  </si>
  <si>
    <t>Avocado Vanguard, Buffalo Chicken Wings With Ranch Dip, Cappuccino, Cinnamon Hot Chocolate, Grilled Fish, Iced Americano</t>
  </si>
  <si>
    <t>14 Dec 2025 17:44:15</t>
  </si>
  <si>
    <t>Dine In (SRIKHLA)</t>
  </si>
  <si>
    <t>Brown Butter Latte, Classic Lemon Ice Tea, Mushroom Marauders Bruschetta</t>
  </si>
  <si>
    <t>14 Dec 2025 17:41:39</t>
  </si>
  <si>
    <t>Dine In (RASHMI)</t>
  </si>
  <si>
    <t>Extra Dip, Peri Peri Crispy Scouts, Secret Mocha</t>
  </si>
  <si>
    <t>14 Dec 2025 17:35:18</t>
  </si>
  <si>
    <t>Dine In (SURENDAR)</t>
  </si>
  <si>
    <t>SURENDAR</t>
  </si>
  <si>
    <t>Extra Dip, Tex-Mex Bowl With Cottage Cheese (V)</t>
  </si>
  <si>
    <t>14 Dec 2025 17:28:04</t>
  </si>
  <si>
    <t>Captain Fish Fingers, Classic Lemon Ice Tea, Masala Egg Bhurji, Tex-Mex Bowl With Cottage Cheese (V)</t>
  </si>
  <si>
    <t>14 Dec 2025 17:22:14</t>
  </si>
  <si>
    <t>Dine In (ANJALI)</t>
  </si>
  <si>
    <t>14 Dec 2025 16:02:22</t>
  </si>
  <si>
    <t>Banana Walnut Teacakes, Classic Lemon Ice Tea, North Sea Storm, Peri Peri Crispy Scouts</t>
  </si>
  <si>
    <t>14 Dec 2025 15:20:14</t>
  </si>
  <si>
    <t>Dine In (bhavya)</t>
  </si>
  <si>
    <t>bhavya</t>
  </si>
  <si>
    <t>Sunny Side Up, The Full House Nachos (Veg), Vanilla And Cocoa Marble Teacakes</t>
  </si>
  <si>
    <t>14 Dec 2025 14:54:59</t>
  </si>
  <si>
    <t>Dine In (rajat)</t>
  </si>
  <si>
    <t>rajat</t>
  </si>
  <si>
    <t>Classic Bombay Maestro Sandwich, Classic Margherita Pizza, Grilled Meaty Maverick</t>
  </si>
  <si>
    <t>14 Dec 2025 14:17:03</t>
  </si>
  <si>
    <t>kartik</t>
  </si>
  <si>
    <t>14 Dec 2025 13:27:34</t>
  </si>
  <si>
    <t>14 Dec 2025 13:11:23</t>
  </si>
  <si>
    <t>Dine In (33)</t>
  </si>
  <si>
    <t>13 Dec 2025 23:34:56</t>
  </si>
  <si>
    <t>Dine In (34)</t>
  </si>
  <si>
    <t>13 Dec 2025 23:34:46</t>
  </si>
  <si>
    <t>13 Dec 2025 23:34:34</t>
  </si>
  <si>
    <t>ANMOL</t>
  </si>
  <si>
    <t>13 Dec 2025 23:11:29</t>
  </si>
  <si>
    <t>Rainbow Roll Pizza</t>
  </si>
  <si>
    <t>13 Dec 2025 23:11:26</t>
  </si>
  <si>
    <t>Grilled Fish, Secret Mocha</t>
  </si>
  <si>
    <t>13 Dec 2025 23:11:17</t>
  </si>
  <si>
    <t>Dine In (ridhika ma.am)</t>
  </si>
  <si>
    <t>ridhika ma.am</t>
  </si>
  <si>
    <t>Classic Hot Chocolate, Grilled Chicken, Tex-Mex Bowl Grilled Chicken</t>
  </si>
  <si>
    <t>13 Dec 2025 23:10:56</t>
  </si>
  <si>
    <t>13 Dec 2025 23:10:25</t>
  </si>
  <si>
    <t>Pinefire</t>
  </si>
  <si>
    <t>13 Dec 2025 23:10:03</t>
  </si>
  <si>
    <t>Dine In (amol)</t>
  </si>
  <si>
    <t>amol</t>
  </si>
  <si>
    <t>13 Dec 2025 23:07:20</t>
  </si>
  <si>
    <t>Dine In (pujita)</t>
  </si>
  <si>
    <t>pujita</t>
  </si>
  <si>
    <t>Classic Hot Chocolate, Truffle And Parmesan Crispy Scouts</t>
  </si>
  <si>
    <t>13 Dec 2025 23:06:44</t>
  </si>
  <si>
    <t>Dine In (vishaka maam)</t>
  </si>
  <si>
    <t>vishaka maam</t>
  </si>
  <si>
    <t>Cappuccino, Classic Bombay Maestro Sandwich, Tex-Mex Bowl With Cottage Cheese (V)</t>
  </si>
  <si>
    <t>13 Dec 2025 23:06:15</t>
  </si>
  <si>
    <t>Dine In (sidhart)</t>
  </si>
  <si>
    <t>sidhart</t>
  </si>
  <si>
    <t>Espresso Tiramisu, Peri Peri Wrdges Warriors</t>
  </si>
  <si>
    <t>13 Dec 2025 23:04:29</t>
  </si>
  <si>
    <t>Dine In (mehak)</t>
  </si>
  <si>
    <t>Classic Hot Chocolate, Veg Quesadilla</t>
  </si>
  <si>
    <t>13 Dec 2025 22:56:08</t>
  </si>
  <si>
    <t>Dine In (annu)</t>
  </si>
  <si>
    <t>annu</t>
  </si>
  <si>
    <t>13 Dec 2025 22:39:36</t>
  </si>
  <si>
    <t>Dine In (CHARMYE)</t>
  </si>
  <si>
    <t>13 Dec 2025 22:28:49</t>
  </si>
  <si>
    <t>Dine In (pankaj)</t>
  </si>
  <si>
    <t>Avocado Vanguard, Egg French Omelette, Grilled Vegetables, Ice Latte, Matcha Latte</t>
  </si>
  <si>
    <t>13 Dec 2025 22:19:38</t>
  </si>
  <si>
    <t>Dine In (jyotsaina)</t>
  </si>
  <si>
    <t>jyotsaina</t>
  </si>
  <si>
    <t>Classic Garlic Gambit, Peri Peri Cottage Cheese Pizza</t>
  </si>
  <si>
    <t>13 Dec 2025 22:09:07</t>
  </si>
  <si>
    <t>akshay</t>
  </si>
  <si>
    <t>Aglio Olio, Classic Hot Chocolate, Cottage Cheese Steak</t>
  </si>
  <si>
    <t>13 Dec 2025 22:01:22</t>
  </si>
  <si>
    <t>Dine In (nikhita)</t>
  </si>
  <si>
    <t>nikhita</t>
  </si>
  <si>
    <t>Cappuccino, Classic Hot Chocolate, Peri Peri Crispy Scouts, Rainbow Roll Pizza</t>
  </si>
  <si>
    <t>13 Dec 2025 20:59:27</t>
  </si>
  <si>
    <t>amit</t>
  </si>
  <si>
    <t>Banana Walnut Teacakes, Cafe Mocha, Cappuccino, Creamy Pesto, Tex-Mex Bowl With Cottage Cheese (V)</t>
  </si>
  <si>
    <t>13 Dec 2025 20:25:06</t>
  </si>
  <si>
    <t>Captain Fish Fingers, Chicken &amp; Cheese On Toast, Phoenix Berry, Spicy Chicken Tenders</t>
  </si>
  <si>
    <t>13 Dec 2025 20:12:57</t>
  </si>
  <si>
    <t>Dine In (PRIYA)</t>
  </si>
  <si>
    <t>PRIYA</t>
  </si>
  <si>
    <t>Spicy Chicken Tenders, Tex-Mex Bowl Grilled Chicken</t>
  </si>
  <si>
    <t>13 Dec 2025 19:12:57</t>
  </si>
  <si>
    <t>Dine In (SUPRIYA)</t>
  </si>
  <si>
    <t>SUPRIYA</t>
  </si>
  <si>
    <t>Claasic Cold Coffee, Extra Vegetables, Mushroom Alfredo, Rainbow Roll Pizza</t>
  </si>
  <si>
    <t>13 Dec 2025 19:08:02</t>
  </si>
  <si>
    <t>Dine In (shruti)</t>
  </si>
  <si>
    <t>shruti</t>
  </si>
  <si>
    <t>13 Dec 2025 19:04:12</t>
  </si>
  <si>
    <t>Dine In (gautam)</t>
  </si>
  <si>
    <t>gautam</t>
  </si>
  <si>
    <t>New York Baked Cheese Cake</t>
  </si>
  <si>
    <t>13 Dec 2025 19:03:50</t>
  </si>
  <si>
    <t>Dine In (priyanka)</t>
  </si>
  <si>
    <t>priyanka</t>
  </si>
  <si>
    <t>Peri Peri Wrdges Warriors, Secret Mocha</t>
  </si>
  <si>
    <t>13 Dec 2025 18:52:50</t>
  </si>
  <si>
    <t>Dine In (Bhaghavi)</t>
  </si>
  <si>
    <t>Bhaghavi</t>
  </si>
  <si>
    <t>13 Dec 2025 18:46:36</t>
  </si>
  <si>
    <t>Dine In (chirag)</t>
  </si>
  <si>
    <t>chirag</t>
  </si>
  <si>
    <t>Carbonara, The Melty Mischief</t>
  </si>
  <si>
    <t>13 Dec 2025 18:36:09</t>
  </si>
  <si>
    <t>Dine In (vidhant)</t>
  </si>
  <si>
    <t>vidhant</t>
  </si>
  <si>
    <t>Golden Tiramisu, Thukpa Vegan</t>
  </si>
  <si>
    <t>13 Dec 2025 18:17:25</t>
  </si>
  <si>
    <t>Dine In (dr gulati)</t>
  </si>
  <si>
    <t>dr gulati</t>
  </si>
  <si>
    <t>Cappuccino, Secret Mocha, Truffle And Parmesan Crispy Scouts</t>
  </si>
  <si>
    <t>13 Dec 2025 18:01:01</t>
  </si>
  <si>
    <t>Dine In (vabhav)</t>
  </si>
  <si>
    <t>vabhav</t>
  </si>
  <si>
    <t>Americano, Brown Butter Latte, Honey Cinnamon Cold Brew, Veg Quesadilla</t>
  </si>
  <si>
    <t>13 Dec 2025 17:41:21</t>
  </si>
  <si>
    <t>Dine In (daliya)</t>
  </si>
  <si>
    <t>daliya</t>
  </si>
  <si>
    <t>Avocado Vanguard, Cream Of Chicken &amp; Leek, Grilled Meaty Maverick, Ice Latte, Truffle And Parmesan Crispy Scouts</t>
  </si>
  <si>
    <t>13 Dec 2025 17:26:03</t>
  </si>
  <si>
    <t>Dine In (neetu)</t>
  </si>
  <si>
    <t>Cappuccino, Classic Garlic Gambit, Classic Hot Chocolate, Classic Margherita Pizza, Ice Latte</t>
  </si>
  <si>
    <t>13 Dec 2025 16:17:51</t>
  </si>
  <si>
    <t>13 Dec 2025 15:48:38</t>
  </si>
  <si>
    <t>Peri Peri Crispy Scouts, Rainbow Roll Pizza</t>
  </si>
  <si>
    <t>13 Dec 2025 15:22:54</t>
  </si>
  <si>
    <t>Dine In (shradha)</t>
  </si>
  <si>
    <t>sharadha</t>
  </si>
  <si>
    <t>Chicken Quesadilla, Claasic Cold Coffee, Classic Lemon Ice Tea, Creamy Pesto, Ice Latte, Rainbow Roll Pizza, The Full House Nachos (Veg)</t>
  </si>
  <si>
    <t>13 Dec 2025 14:38:17</t>
  </si>
  <si>
    <t>Americano, Cappuccino, The Bruschetta Bards</t>
  </si>
  <si>
    <t>13 Dec 2025 14:30:33</t>
  </si>
  <si>
    <t>Dine In (simona)</t>
  </si>
  <si>
    <t>simona</t>
  </si>
  <si>
    <t>Peri Peri Crispy Scouts, Tex-Mex Bowl With Cottage Cheese (V)</t>
  </si>
  <si>
    <t>13 Dec 2025 14:28:47</t>
  </si>
  <si>
    <t>Ice Latte, Iced Coconut Oat Matcha Latte, Tex-Mex Bowl With Cottage Cheese (V)</t>
  </si>
  <si>
    <t>13 Dec 2025 14:08:10</t>
  </si>
  <si>
    <t>Dine In (astosh)</t>
  </si>
  <si>
    <t>astosh</t>
  </si>
  <si>
    <t>13 Dec 2025 13:55:22</t>
  </si>
  <si>
    <t>Cafe Latte, Cafe Mocha, Classic Hot Chocolate, The Bruschetta Bards, The Full House Nachos (Veg)</t>
  </si>
  <si>
    <t>13 Dec 2025 13:34:38</t>
  </si>
  <si>
    <t>Brown Butter Latte, Iced Mocha, Vanilla And Cocoa Marble Teacakes</t>
  </si>
  <si>
    <t>13 Dec 2025 13:08:15</t>
  </si>
  <si>
    <t>Buffalo Chicken Wings With Ranch Dip, Classic Lemon Ice Tea</t>
  </si>
  <si>
    <t>13 Dec 2025 12:58:04</t>
  </si>
  <si>
    <t>upi</t>
  </si>
  <si>
    <t>13 Dec 2025 12:20:02</t>
  </si>
  <si>
    <t>12 Dec 2025 23:45:04</t>
  </si>
  <si>
    <t>Dine In (sahil)</t>
  </si>
  <si>
    <t>Grilled Chicken, Mushroom Alfredo, Red Knight</t>
  </si>
  <si>
    <t>12 Dec 2025 23:43:32</t>
  </si>
  <si>
    <t>Dine In (vishaka mam)</t>
  </si>
  <si>
    <t>vishaka</t>
  </si>
  <si>
    <t>Masala Egg Bhurji, Salsa Rose, The Full House Nachos (Veg)</t>
  </si>
  <si>
    <t>12 Dec 2025 23:39:21</t>
  </si>
  <si>
    <t>Dine In (radhika ma am)</t>
  </si>
  <si>
    <t>radhika ma am</t>
  </si>
  <si>
    <t>Classic</t>
  </si>
  <si>
    <t>12 Dec 2025 23:38:18</t>
  </si>
  <si>
    <t>SIDHANT</t>
  </si>
  <si>
    <t>Cappuccino, Grilled Meaty Maverick</t>
  </si>
  <si>
    <t>12 Dec 2025 23:38:00</t>
  </si>
  <si>
    <t>rahul</t>
  </si>
  <si>
    <t>Tex-Mex Bowl With Cottage Cheese (V), Thukpa Vegan</t>
  </si>
  <si>
    <t>12 Dec 2025 23:14:48</t>
  </si>
  <si>
    <t>Pistachio Latte</t>
  </si>
  <si>
    <t>12 Dec 2025 23:14:15</t>
  </si>
  <si>
    <t>12 Dec 2025 23:04:48</t>
  </si>
  <si>
    <t>Dine In (dibisis)</t>
  </si>
  <si>
    <t>dibaisis</t>
  </si>
  <si>
    <t>Avocado Vanguard, Banana Walnut Teacakes</t>
  </si>
  <si>
    <t>12 Dec 2025 23:02:32</t>
  </si>
  <si>
    <t>Dine In (anirudh)</t>
  </si>
  <si>
    <t>anirudh</t>
  </si>
  <si>
    <t>Truffle And Parmesan Crispy Scouts</t>
  </si>
  <si>
    <t>12 Dec 2025 23:01:55</t>
  </si>
  <si>
    <t>Dine In (shubam)</t>
  </si>
  <si>
    <t>shubam</t>
  </si>
  <si>
    <t>Egg French Omelette, Flat White, Peri Peri Cottage Cheese Pizza, Wild Berry Waffles</t>
  </si>
  <si>
    <t>12 Dec 2025 22:39:52</t>
  </si>
  <si>
    <t>Dine In (ashish)</t>
  </si>
  <si>
    <t>ashish</t>
  </si>
  <si>
    <t>12 Dec 2025 22:10:51</t>
  </si>
  <si>
    <t>Cappuccino, Vanilla And Cocoa Marble Teacakes</t>
  </si>
  <si>
    <t>12 Dec 2025 22:00:25</t>
  </si>
  <si>
    <t>Dine In (gourab)</t>
  </si>
  <si>
    <t>gourab</t>
  </si>
  <si>
    <t>Classic Garlic Gambit, Espresso Tiramisu, Golden Tiramisu, Rainbow Roll Pizza, Stained Sagrada</t>
  </si>
  <si>
    <t>12 Dec 2025 21:57:59</t>
  </si>
  <si>
    <t>ANKIT</t>
  </si>
  <si>
    <t>Cappuccino, Extra Vegetables, Garlic Pepper Chicken Pizza, Thukpa Chicken</t>
  </si>
  <si>
    <t>12 Dec 2025 21:38:59</t>
  </si>
  <si>
    <t>Claasic Cold Coffee, The Melty Mischief, Thukpa Vegan</t>
  </si>
  <si>
    <t>12 Dec 2025 16:24:36</t>
  </si>
  <si>
    <t>12 Dec 2025 16:20:46</t>
  </si>
  <si>
    <t>Dine In (MAYANK)</t>
  </si>
  <si>
    <t>MAYANK</t>
  </si>
  <si>
    <t>12 Dec 2025 15:49:06</t>
  </si>
  <si>
    <t>Avocado Vanguard, The Catalyst</t>
  </si>
  <si>
    <t>12 Dec 2025 15:16:57</t>
  </si>
  <si>
    <t>Captain Fish Fingers, Lebanese Chicken Pizza, Mushroom Alfredo, Pinefire, Red Knight, Salsa Rose</t>
  </si>
  <si>
    <t>12 Dec 2025 14:52:21</t>
  </si>
  <si>
    <t>Claasic Cold Coffee, Egg French Omelette</t>
  </si>
  <si>
    <t>12 Dec 2025 14:02:31</t>
  </si>
  <si>
    <t>Burrata Baron Pizza, Thukpa Vegan</t>
  </si>
  <si>
    <t>11 Dec 2025 23:17:00</t>
  </si>
  <si>
    <t>vikash sir</t>
  </si>
  <si>
    <t>11 Dec 2025 23:15:22</t>
  </si>
  <si>
    <t>Classic Bombay Maestro Sandwich, Classic Margherita Pizza, Roasted Tomato &amp; Basil, The Full House Nachos (Veg), Thukpa Vegan</t>
  </si>
  <si>
    <t>11 Dec 2025 23:12:48</t>
  </si>
  <si>
    <t>Dine In (vishaka)</t>
  </si>
  <si>
    <t>Cappuccino, Classic Hot Chocolate, Cottage Cheese Steak, Espresso Tiramisu, The Full House Nachos (Veg)</t>
  </si>
  <si>
    <t>11 Dec 2025 22:56:28</t>
  </si>
  <si>
    <t>Dine In (radika)</t>
  </si>
  <si>
    <t>Radhika</t>
  </si>
  <si>
    <t>11 Dec 2025 22:53:44</t>
  </si>
  <si>
    <t>11 Dec 2025 21:25:20</t>
  </si>
  <si>
    <t>11 Dec 2025 21:16:04</t>
  </si>
  <si>
    <t>Dine In (JYOTSHI)</t>
  </si>
  <si>
    <t>JYOTSHI</t>
  </si>
  <si>
    <t>11 Dec 2025 20:47:16</t>
  </si>
  <si>
    <t>yash</t>
  </si>
  <si>
    <t>Aglio Olio, Classic Margherita Pizza, Phoenix Berry</t>
  </si>
  <si>
    <t>11 Dec 2025 20:43:48</t>
  </si>
  <si>
    <t>Cafe Mocha</t>
  </si>
  <si>
    <t>11 Dec 2025 18:40:15</t>
  </si>
  <si>
    <t>Brown Butter Latte, Cappuccino, Pistachio Latte, Secret Mocha</t>
  </si>
  <si>
    <t>11 Dec 2025 18:30:35</t>
  </si>
  <si>
    <t>Dine In (RAKSHET)</t>
  </si>
  <si>
    <t>RAKSHET</t>
  </si>
  <si>
    <t>Aurora Engine, The Full House Nachos (Veg)</t>
  </si>
  <si>
    <t>11 Dec 2025 18:05:25</t>
  </si>
  <si>
    <t>Dine In (parvinder)</t>
  </si>
  <si>
    <t>parvinder</t>
  </si>
  <si>
    <t>Coconut Noir, Mushroom Alfredo, Secret Mocha, Veg Quesadilla</t>
  </si>
  <si>
    <t>11 Dec 2025 16:07:20</t>
  </si>
  <si>
    <t>Dine In (kriti)</t>
  </si>
  <si>
    <t>kriti</t>
  </si>
  <si>
    <t>Chicken &amp; Cheese On Toast, Claasic Cold Coffee, Grilled Chicken</t>
  </si>
  <si>
    <t>11 Dec 2025 15:31:52</t>
  </si>
  <si>
    <t>Dine In (sidhant)</t>
  </si>
  <si>
    <t>sidhant</t>
  </si>
  <si>
    <t>Cafe Mocha, Grilled Chicken</t>
  </si>
  <si>
    <t>11 Dec 2025 15:28:48</t>
  </si>
  <si>
    <t>Dine In (khushi)</t>
  </si>
  <si>
    <t>khushi</t>
  </si>
  <si>
    <t>Caesar Commander, Golden Tiramisu, Iced Coconut Oat Matcha Latte, The Full House Nachos (Chicken)</t>
  </si>
  <si>
    <t>11 Dec 2025 15:10:31</t>
  </si>
  <si>
    <t>Egg French Omelette, Iced Mocha, The Catalyst</t>
  </si>
  <si>
    <t>11 Dec 2025 13:55:51</t>
  </si>
  <si>
    <t>Banana Walnut Teacakes, Truffle And Parmesan Crispy Scouts</t>
  </si>
  <si>
    <t>11 Dec 2025 12:05:18</t>
  </si>
  <si>
    <t>10 Dec 2025 23:29:19</t>
  </si>
  <si>
    <t>10 Dec 2025 23:29:12</t>
  </si>
  <si>
    <t>10 Dec 2025 23:29:05</t>
  </si>
  <si>
    <t>10 Dec 2025 23:21:25</t>
  </si>
  <si>
    <t>Classic Wrdges Warriors, Middle-East Meetup, Secret Mocha</t>
  </si>
  <si>
    <t>10 Dec 2025 23:19:04</t>
  </si>
  <si>
    <t>Dine In (VISHAKA MAAM)</t>
  </si>
  <si>
    <t>VISHAKA MAAM</t>
  </si>
  <si>
    <t>Mushroom Marauders Bruschetta, Super Green Risotto, Tex-Mex Bowl With Cottage Cheese (V)</t>
  </si>
  <si>
    <t>10 Dec 2025 23:18:55</t>
  </si>
  <si>
    <t>Avocado Vanguard, Chicken &amp; Cheese On Toast</t>
  </si>
  <si>
    <t>10 Dec 2025 23:17:10</t>
  </si>
  <si>
    <t>Dine In (mukhrji)</t>
  </si>
  <si>
    <t>mukhrji</t>
  </si>
  <si>
    <t>Avocado Vanguard, Buffalo Chicken Wings With Ranch Dip, Peri Peri Crispy Scouts</t>
  </si>
  <si>
    <t>10 Dec 2025 23:16:26</t>
  </si>
  <si>
    <t>Dine In (priyansh)</t>
  </si>
  <si>
    <t>priyansh</t>
  </si>
  <si>
    <t>Classic Bombay Maestro Sandwich</t>
  </si>
  <si>
    <t>10 Dec 2025 23:15:02</t>
  </si>
  <si>
    <t>Dine In (dharmender)</t>
  </si>
  <si>
    <t>dharmender</t>
  </si>
  <si>
    <t>10 Dec 2025 23:12:34</t>
  </si>
  <si>
    <t>Coke Can</t>
  </si>
  <si>
    <t>10 Dec 2025 23:09:02</t>
  </si>
  <si>
    <t>Dine In (ankur)</t>
  </si>
  <si>
    <t>ankur</t>
  </si>
  <si>
    <t>Gaming Charges (1_hr), Phoenix Berry, Sour Cream And Onion Wrdges Warriors</t>
  </si>
  <si>
    <t>10 Dec 2025 23:03:59</t>
  </si>
  <si>
    <t>Dine In (asmit)</t>
  </si>
  <si>
    <t>asmit</t>
  </si>
  <si>
    <t>10 Dec 2025 22:57:25</t>
  </si>
  <si>
    <t>Dine In (aashish)</t>
  </si>
  <si>
    <t>Add Paneer, Cappuccino, Rainbow Roll Pizza</t>
  </si>
  <si>
    <t>10 Dec 2025 20:45:48</t>
  </si>
  <si>
    <t>Dine In (BIRTHDAY  PARTY)</t>
  </si>
  <si>
    <t>BIRTHDAY  PARTY</t>
  </si>
  <si>
    <t>10 Dec 2025 20:40:06</t>
  </si>
  <si>
    <t>Burnt Garlic &amp; Cauliflower, Classic Bombay Maestro Sandwich, Espresso Tiramisu, Mushroom Alfredo, Ratatouille Bunny Chow</t>
  </si>
  <si>
    <t>10 Dec 2025 19:49:58</t>
  </si>
  <si>
    <t>Dine In (NITIN)</t>
  </si>
  <si>
    <t>NITIN</t>
  </si>
  <si>
    <t>Matcha Latte, Semolina And Pistachio Teacakes</t>
  </si>
  <si>
    <t>10 Dec 2025 18:19:18</t>
  </si>
  <si>
    <t>Dine In (visakha)</t>
  </si>
  <si>
    <t>visakha</t>
  </si>
  <si>
    <t>Buffalo Chicken Wings With Ranch Dip, Classic Hot Chocolate, Classic Vanilla Stuffed French Toast, Ratatouille Bunny Chow</t>
  </si>
  <si>
    <t>9 Dec 2025 23:55:39</t>
  </si>
  <si>
    <t>Classic Bombay Maestro Sandwich, Tokyo Godzilla Frappe</t>
  </si>
  <si>
    <t>9 Dec 2025 23:54:50</t>
  </si>
  <si>
    <t>Banana Caramel Waffles, Cottage Cheese Steak</t>
  </si>
  <si>
    <t>9 Dec 2025 23:43:27</t>
  </si>
  <si>
    <t>Dine In (steven)</t>
  </si>
  <si>
    <t>steven</t>
  </si>
  <si>
    <t>Cafe Latte, Classic Bombay Maestro Sandwich, The Full House Nachos (Chicken)</t>
  </si>
  <si>
    <t>9 Dec 2025 23:35:00</t>
  </si>
  <si>
    <t>Dine In (simran)</t>
  </si>
  <si>
    <t>simran</t>
  </si>
  <si>
    <t>Avocado Vanguard</t>
  </si>
  <si>
    <t>9 Dec 2025 22:56:36</t>
  </si>
  <si>
    <t>Dine In (sali)</t>
  </si>
  <si>
    <t>sali</t>
  </si>
  <si>
    <t>9 Dec 2025 22:54:40</t>
  </si>
  <si>
    <t>Dine In (jotseyana)</t>
  </si>
  <si>
    <t>jotseyana</t>
  </si>
  <si>
    <t>Gaming Charges (1_hr), The Catalyst, The Chlorophyll Mage</t>
  </si>
  <si>
    <t>9 Dec 2025 22:53:46</t>
  </si>
  <si>
    <t>Dine In (mrigank)</t>
  </si>
  <si>
    <t>mrigank</t>
  </si>
  <si>
    <t>Iced Americano, Sour Cream And Onion Crispy Scouts</t>
  </si>
  <si>
    <t>9 Dec 2025 22:52:54</t>
  </si>
  <si>
    <t>Dine In (Rohit)</t>
  </si>
  <si>
    <t>Rohit</t>
  </si>
  <si>
    <t>9 Dec 2025 22:33:28</t>
  </si>
  <si>
    <t>Dine In (tra)</t>
  </si>
  <si>
    <t>tra</t>
  </si>
  <si>
    <t>9 Dec 2025 17:47:49</t>
  </si>
  <si>
    <t>Cappuccino, Matcha Latte, Super Green Risotto</t>
  </si>
  <si>
    <t>9 Dec 2025 17:21:26</t>
  </si>
  <si>
    <t>9 Dec 2025 16:40:46</t>
  </si>
  <si>
    <t>Grilled Chicken, Spicy Chicken Tenders, Thukpa Chicken</t>
  </si>
  <si>
    <t>9 Dec 2025 15:32:13</t>
  </si>
  <si>
    <t>Honey Cinnamon Cold Brew, Rainbow Roll Pizza, The Full House Nachos (Veg)</t>
  </si>
  <si>
    <t>9 Dec 2025 15:12:59</t>
  </si>
  <si>
    <t>9 Dec 2025 13:52:33</t>
  </si>
  <si>
    <t>Dine In (vishakha)</t>
  </si>
  <si>
    <t>vishakha</t>
  </si>
  <si>
    <t>Avocado Vanguard, Brown Butter Latte, Peri Peri Crispy Scouts</t>
  </si>
  <si>
    <t>8 Dec 2025 23:30:27</t>
  </si>
  <si>
    <t>Chicken Stroganoff Bunnychow, Classic Hot Chocolate, Espresso Tiramisu</t>
  </si>
  <si>
    <t>8 Dec 2025 23:26:59</t>
  </si>
  <si>
    <t>Buffalo Chicken Wings With Ranch Dip, Butter Garlic Prawns With Sourdough, Cafe Mocha</t>
  </si>
  <si>
    <t>8 Dec 2025 22:04:46</t>
  </si>
  <si>
    <t>Cappuccino, Classic Hot Chocolate, Extra Nachos, The Full House Nachos (Veg)</t>
  </si>
  <si>
    <t>8 Dec 2025 20:41:51</t>
  </si>
  <si>
    <t>Dine In (hridya)</t>
  </si>
  <si>
    <t>hridya</t>
  </si>
  <si>
    <t>8 Dec 2025 20:07:25</t>
  </si>
  <si>
    <t>Dine In (sikha)</t>
  </si>
  <si>
    <t>sikha</t>
  </si>
  <si>
    <t>Classic Garlic Gambit, Classic Hot Chocolate, Rainbow Roll Pizza</t>
  </si>
  <si>
    <t>8 Dec 2025 20:07:09</t>
  </si>
  <si>
    <t>Dine In (sapna)</t>
  </si>
  <si>
    <t>sapna</t>
  </si>
  <si>
    <t>Asian Bowl Hot Garlic Stir Fry Bean Curd, Creamy Pesto</t>
  </si>
  <si>
    <t>8 Dec 2025 19:42:33</t>
  </si>
  <si>
    <t>Dine In (abhichak)</t>
  </si>
  <si>
    <t>abhichak</t>
  </si>
  <si>
    <t>Matcha Latte, Secret Mocha</t>
  </si>
  <si>
    <t>8 Dec 2025 19:13:10</t>
  </si>
  <si>
    <t>Claasic Cold Coffee, Ice Latte, Semolina And Pistachio Teacakes</t>
  </si>
  <si>
    <t>8 Dec 2025 16:13:16</t>
  </si>
  <si>
    <t>Dine In (vikash)</t>
  </si>
  <si>
    <t>mr vikash sir</t>
  </si>
  <si>
    <t>Arrabbiata Ambush, Tex-Mex Bowl Grilled Chicken</t>
  </si>
  <si>
    <t>7 Dec 2025 23:15:05</t>
  </si>
  <si>
    <t>7 Dec 2025 23:05:44</t>
  </si>
  <si>
    <t>Gaming Charges (1_hr), The Full House Nachos (Chicken), Truffle Mushroom Arancini</t>
  </si>
  <si>
    <t>7 Dec 2025 22:59:20</t>
  </si>
  <si>
    <t>subham</t>
  </si>
  <si>
    <t>7 Dec 2025 22:35:55</t>
  </si>
  <si>
    <t>Golden Tiramisu, Mushroom Alfredo, New York Baked Cheese Cake, Stained Sagrada</t>
  </si>
  <si>
    <t>7 Dec 2025 21:58:14</t>
  </si>
  <si>
    <t>Dine In (subhanker)</t>
  </si>
  <si>
    <t>subhanker</t>
  </si>
  <si>
    <t>Biscoff Shake, Classic Bombay Maestro Sandwich</t>
  </si>
  <si>
    <t>7 Dec 2025 21:50:59</t>
  </si>
  <si>
    <t>Dine In (tanmay)</t>
  </si>
  <si>
    <t>tanmay</t>
  </si>
  <si>
    <t>Asian Bowl Hot Garlic Stir Fry Bean Curd, Grilled Chicken, Semolina And Pistachio Teacakes</t>
  </si>
  <si>
    <t>7 Dec 2025 21:50:07</t>
  </si>
  <si>
    <t>Dine In (adiya)</t>
  </si>
  <si>
    <t>adiya</t>
  </si>
  <si>
    <t>Sour Cream And Onion Wrdges Warriors, Stained Sagrada</t>
  </si>
  <si>
    <t>7 Dec 2025 21:26:49</t>
  </si>
  <si>
    <t>Dine In (subham)</t>
  </si>
  <si>
    <t>Mushroom Alfredo, Stained Sagrada</t>
  </si>
  <si>
    <t>7 Dec 2025 21:23:24</t>
  </si>
  <si>
    <t>7 Dec 2025 21:14:59</t>
  </si>
  <si>
    <t>manthan</t>
  </si>
  <si>
    <t>Claasic Cold Coffee, Classic Crispy Scouts</t>
  </si>
  <si>
    <t>7 Dec 2025 21:13:17</t>
  </si>
  <si>
    <t>Arrabbiata Ambush, New York Baked Cheese Cake, Roasted Tomato &amp; Basil</t>
  </si>
  <si>
    <t>7 Dec 2025 21:09:29</t>
  </si>
  <si>
    <t>Dine In (archna)</t>
  </si>
  <si>
    <t>archna</t>
  </si>
  <si>
    <t>Espresso Tiramisu, Secret Mocha, Spicy Chicken Tenders, Tex-Mex Bowl With Cottage Cheese (V), Thukpa Chicken</t>
  </si>
  <si>
    <t>7 Dec 2025 20:50:54</t>
  </si>
  <si>
    <t>Dine In (naman)</t>
  </si>
  <si>
    <t>naman</t>
  </si>
  <si>
    <t>Cappuccino, Classic Hot Chocolate, Semolina And Pistachio Teacakes, Truffle Mushroom Arancini</t>
  </si>
  <si>
    <t>7 Dec 2025 20:20:04</t>
  </si>
  <si>
    <t>Garlic Pepper Chicken Pizza, Honey Cinnamon Cold Brew</t>
  </si>
  <si>
    <t>Total : 809.00</t>
  </si>
  <si>
    <t>7 Dec 2025 20:18:58</t>
  </si>
  <si>
    <t>Dine In (nidhi)</t>
  </si>
  <si>
    <t>nidhi</t>
  </si>
  <si>
    <t>Garlic Pepper Chicken Pizza, Golden Tiramisu</t>
  </si>
  <si>
    <t>7 Dec 2025 20:16:16</t>
  </si>
  <si>
    <t>Dine In (gurprit)</t>
  </si>
  <si>
    <t>gurprit</t>
  </si>
  <si>
    <t>Chicken Conqueror Burger, Flat White, Grilled Fish</t>
  </si>
  <si>
    <t>7 Dec 2025 20:03:39</t>
  </si>
  <si>
    <t>Classic Lemon Ice Tea, Masala Egg Bhurji, Pistachio Latte, Wild Berry Waffles</t>
  </si>
  <si>
    <t>7 Dec 2025 19:20:35</t>
  </si>
  <si>
    <t>7 Dec 2025 19:05:06</t>
  </si>
  <si>
    <t>Dine In (hunny)</t>
  </si>
  <si>
    <t>hunny</t>
  </si>
  <si>
    <t>Claasic Cold Coffee, Peri Peri Crispy Scouts, Pistachio Latte, Truffle Mushroom Arancini</t>
  </si>
  <si>
    <t>7 Dec 2025 19:03:27</t>
  </si>
  <si>
    <t>Dine In (namit)</t>
  </si>
  <si>
    <t>namit</t>
  </si>
  <si>
    <t>Classic Hot Chocolate, Semolina And Pistachio Teacakes, Tex-Mex Bowl With Cottage Cheese (V)</t>
  </si>
  <si>
    <t>7 Dec 2025 18:51:35</t>
  </si>
  <si>
    <t>Dine In (shakshi)</t>
  </si>
  <si>
    <t>shakshi</t>
  </si>
  <si>
    <t>Brown Butter Latte, Claasic Cold Coffee, Iced Americano</t>
  </si>
  <si>
    <t>7 Dec 2025 18:24:20</t>
  </si>
  <si>
    <t>Dine In (anuj)</t>
  </si>
  <si>
    <t>anuj</t>
  </si>
  <si>
    <t>7 Dec 2025 16:59:30</t>
  </si>
  <si>
    <t>Dine In (sweeta)</t>
  </si>
  <si>
    <t>sweeta</t>
  </si>
  <si>
    <t>Americano, Cappuccino, Classic Garlic Gambit</t>
  </si>
  <si>
    <t>7 Dec 2025 16:53:57</t>
  </si>
  <si>
    <t>Classic Lemon Ice Tea, Peri Peri Cottage Cheese Pizza, Stained Sagrada</t>
  </si>
  <si>
    <t>7 Dec 2025 16:51:55</t>
  </si>
  <si>
    <t>Dine In (mayank)</t>
  </si>
  <si>
    <t>mayank</t>
  </si>
  <si>
    <t>Asian Bowl Hot Garlic Stir Fry Bean Curd, Crimson Hex, Mushroom Alfredo, Tex-Mex Bowl With Cottage Cheese (V), The Feta Scribe</t>
  </si>
  <si>
    <t>7 Dec 2025 16:30:37</t>
  </si>
  <si>
    <t>Dine In (gaurav)</t>
  </si>
  <si>
    <t>gaurav</t>
  </si>
  <si>
    <t>7 Dec 2025 16:23:51</t>
  </si>
  <si>
    <t>Dine In (harshal)</t>
  </si>
  <si>
    <t>harshal</t>
  </si>
  <si>
    <t>Cappuccino, Espresso</t>
  </si>
  <si>
    <t>7 Dec 2025 15:55:03</t>
  </si>
  <si>
    <t>Dine In (rubasna)</t>
  </si>
  <si>
    <t>rubasna</t>
  </si>
  <si>
    <t>7 Dec 2025 15:38:29</t>
  </si>
  <si>
    <t>Dine In (rohit)</t>
  </si>
  <si>
    <t>rohit</t>
  </si>
  <si>
    <t>Aurora Engine, Classical Chicken Stroganoff, Creamy Pesto, Extra Vegetables, Pistachio Latte</t>
  </si>
  <si>
    <t>7 Dec 2025 15:34:05</t>
  </si>
  <si>
    <t>Dine In (stiven)</t>
  </si>
  <si>
    <t>stiven</t>
  </si>
  <si>
    <t>Crimson Hex</t>
  </si>
  <si>
    <t>7 Dec 2025 15:13:13</t>
  </si>
  <si>
    <t>Classic Hot Chocolate, Peri Peri Cottage Cheese Pizza</t>
  </si>
  <si>
    <t>6 Dec 2025 23:28:59</t>
  </si>
  <si>
    <t>vikas sir</t>
  </si>
  <si>
    <t>Espresso, Grilled Chicken</t>
  </si>
  <si>
    <t>6 Dec 2025 23:27:48</t>
  </si>
  <si>
    <t>Dine In (stivan)</t>
  </si>
  <si>
    <t>stivan</t>
  </si>
  <si>
    <t>Claasic Cold Coffee, Classic Lemon Ice Tea, The Full House Nachos (Veg)</t>
  </si>
  <si>
    <t>6 Dec 2025 23:22:45</t>
  </si>
  <si>
    <t>Dine In (samyea)</t>
  </si>
  <si>
    <t>samyea</t>
  </si>
  <si>
    <t>6 Dec 2025 23:20:00</t>
  </si>
  <si>
    <t>Dine In (yougesh)</t>
  </si>
  <si>
    <t>yougesh</t>
  </si>
  <si>
    <t>Avocado Vanguard, Cafe Mocha, Pistachio Latte</t>
  </si>
  <si>
    <t>6 Dec 2025 23:11:23</t>
  </si>
  <si>
    <t>Dine In (21)</t>
  </si>
  <si>
    <t>6 Dec 2025 23:09:32</t>
  </si>
  <si>
    <t>Golden Tiramisu</t>
  </si>
  <si>
    <t>6 Dec 2025 23:05:47</t>
  </si>
  <si>
    <t>Dine In (manish)</t>
  </si>
  <si>
    <t>manish</t>
  </si>
  <si>
    <t>Golden Tiramisu, New York Baked Cheese Cake</t>
  </si>
  <si>
    <t>6 Dec 2025 22:43:17</t>
  </si>
  <si>
    <t>Cafe Latte, Cappuccino</t>
  </si>
  <si>
    <t>6 Dec 2025 22:30:25</t>
  </si>
  <si>
    <t>Dine In (pranaf)</t>
  </si>
  <si>
    <t>prnaf</t>
  </si>
  <si>
    <t>Arrabbiata Ambush, Captain Fish Fingers</t>
  </si>
  <si>
    <t>6 Dec 2025 22:26:12</t>
  </si>
  <si>
    <t>Mushroom Alfredo, Roasted Tomato &amp; Basil</t>
  </si>
  <si>
    <t>6 Dec 2025 22:21:55</t>
  </si>
  <si>
    <t>Dine In (isita)</t>
  </si>
  <si>
    <t>isita</t>
  </si>
  <si>
    <t>6 Dec 2025 22:13:07</t>
  </si>
  <si>
    <t>6 Dec 2025 22:10:40</t>
  </si>
  <si>
    <t>Dine In (nukur)</t>
  </si>
  <si>
    <t>nukur</t>
  </si>
  <si>
    <t>Classic Margherita Pizza, Roasted Tomato &amp; Basil</t>
  </si>
  <si>
    <t>6 Dec 2025 22:03:07</t>
  </si>
  <si>
    <t>6 Dec 2025 21:48:06</t>
  </si>
  <si>
    <t>6 Dec 2025 21:17:28</t>
  </si>
  <si>
    <t>Dine In (daxita)</t>
  </si>
  <si>
    <t>daxita</t>
  </si>
  <si>
    <t>Claasic Cold Coffee, Classic Hot Chocolate, Peri Peri Crispy Scouts</t>
  </si>
  <si>
    <t>6 Dec 2025 21:13:41</t>
  </si>
  <si>
    <t>Dine In (manya)</t>
  </si>
  <si>
    <t>manya</t>
  </si>
  <si>
    <t>6 Dec 2025 19:34:21</t>
  </si>
  <si>
    <t>Dine In (himanhi)</t>
  </si>
  <si>
    <t>himanshi</t>
  </si>
  <si>
    <t>Avocado Vanguard, Chicken Stroganoff Bunnychow, Extra Chicken, Masala Egg Bhurji, Roasted Tomato &amp; Basil, Thukpa Chicken</t>
  </si>
  <si>
    <t>6 Dec 2025 18:55:46</t>
  </si>
  <si>
    <t>Dine In (samarth)</t>
  </si>
  <si>
    <t>samarth</t>
  </si>
  <si>
    <t>Chicken Quesadilla, Chicken Sausages (Nv) 2, Classic Bombay Maestro Sandwich, Extra Vegetables, Grilled Fish</t>
  </si>
  <si>
    <t>6 Dec 2025 18:36:08</t>
  </si>
  <si>
    <t>Dine In (kunicka)</t>
  </si>
  <si>
    <t>kunika</t>
  </si>
  <si>
    <t>Classic Crispy Scouts, Honey Cinnamon Cold Brew, Red Knight, Tex-Mex Bowl With Cottage Cheese (V)</t>
  </si>
  <si>
    <t>6 Dec 2025 18:27:56</t>
  </si>
  <si>
    <t>6 Dec 2025 17:25:28</t>
  </si>
  <si>
    <t>Aglio Olio, Americano, Claasic Cold Coffee, Classic Hot Chocolate, Peri Peri Crispy Scouts, Salsa Rose</t>
  </si>
  <si>
    <t>6 Dec 2025 16:57:14</t>
  </si>
  <si>
    <t>6 Dec 2025 13:59:31</t>
  </si>
  <si>
    <t>Dine In (shikha)</t>
  </si>
  <si>
    <t>shikha</t>
  </si>
  <si>
    <t>Classic Hot Chocolate, Peri Peri Crispy Scouts</t>
  </si>
  <si>
    <t>6 Dec 2025 12:12:23</t>
  </si>
  <si>
    <t>Tokyo Godzilla Frappe</t>
  </si>
  <si>
    <t>5 Dec 2025 22:58:34</t>
  </si>
  <si>
    <t>Dine In (VISHAKA)</t>
  </si>
  <si>
    <t>VISHAKA</t>
  </si>
  <si>
    <t>Classic Hot Chocolate, Cottage Cheese Steak, Mushroom Marauders Bruschetta, Pistachio Latte</t>
  </si>
  <si>
    <t>5 Dec 2025 22:50:34</t>
  </si>
  <si>
    <t>RADHIKA MAAM</t>
  </si>
  <si>
    <t>Middle-East Meetup, Pinefire</t>
  </si>
  <si>
    <t>5 Dec 2025 21:11:58</t>
  </si>
  <si>
    <t>Dine In (MANISH)</t>
  </si>
  <si>
    <t>MANISH</t>
  </si>
  <si>
    <t>Arrabbiata Ambush, Thukpa Vegan</t>
  </si>
  <si>
    <t>5 Dec 2025 20:51:45</t>
  </si>
  <si>
    <t>Dine In (AMRITA)</t>
  </si>
  <si>
    <t>AMRITA</t>
  </si>
  <si>
    <t>5 Dec 2025 20:19:26</t>
  </si>
  <si>
    <t>Dine In (DEKSHITA)</t>
  </si>
  <si>
    <t>DEKSHITA</t>
  </si>
  <si>
    <t>The Full House Nachos (Veg), Truffle Mushroom Arancini</t>
  </si>
  <si>
    <t>5 Dec 2025 19:42:52</t>
  </si>
  <si>
    <t>Americano, The Full House Nachos (Veg)</t>
  </si>
  <si>
    <t>5 Dec 2025 18:57:51</t>
  </si>
  <si>
    <t>5 Dec 2025 18:26:24</t>
  </si>
  <si>
    <t>Dine In (DIMPY)</t>
  </si>
  <si>
    <t>DIMPY</t>
  </si>
  <si>
    <t>Cafe Latte, Claasic Cold Coffee, Spicy Chicken Tenders, Thukpa Vegan</t>
  </si>
  <si>
    <t>5 Dec 2025 17:06:26</t>
  </si>
  <si>
    <t>SIDHANT SIR</t>
  </si>
  <si>
    <t>5 Dec 2025 15:53:49</t>
  </si>
  <si>
    <t>Chocolate Chip Pancakes, Middle-East Meetup</t>
  </si>
  <si>
    <t>4 Dec 2025 23:13:50</t>
  </si>
  <si>
    <t>Cappuccino, Classic Hot Chocolate, Tex-Mex Bowl With Cottage Cheese (V)</t>
  </si>
  <si>
    <t>4 Dec 2025 23:13:33</t>
  </si>
  <si>
    <t>radha</t>
  </si>
  <si>
    <t>4 Dec 2025 23:12:27</t>
  </si>
  <si>
    <t>Mushroom Marauders Bruschetta, Tex-Mex Bowl With Cottage Cheese (V)</t>
  </si>
  <si>
    <t>4 Dec 2025 23:10:17</t>
  </si>
  <si>
    <t>Dine In (RADHIKA MAM)</t>
  </si>
  <si>
    <t>Cappuccino, Classic Vanilla Stuffed French Toast, Matcha Latte, Mushroom Marauders Bruschetta, Secret Mocha</t>
  </si>
  <si>
    <t>4 Dec 2025 23:09:40</t>
  </si>
  <si>
    <t>Dine In (PRIYANSH)</t>
  </si>
  <si>
    <t>PRIYANSH</t>
  </si>
  <si>
    <t>Burnt Garlic &amp; Cauliflower, Secret Mocha</t>
  </si>
  <si>
    <t>4 Dec 2025 23:07:59</t>
  </si>
  <si>
    <t>Dine In (VABHIV)</t>
  </si>
  <si>
    <t>VABHIV</t>
  </si>
  <si>
    <t>Burnt Garlic &amp; Cauliflower, Flat White, Lebanese Chicken Pizza</t>
  </si>
  <si>
    <t>4 Dec 2025 23:05:50</t>
  </si>
  <si>
    <t>Dine In (STIVEN)</t>
  </si>
  <si>
    <t>STIVEN</t>
  </si>
  <si>
    <t>4 Dec 2025 22:29:10</t>
  </si>
  <si>
    <t>Dine In (GUNJAN)</t>
  </si>
  <si>
    <t>GUNJAN</t>
  </si>
  <si>
    <t>Roasted Tomato &amp; Basil, Salsa Rose</t>
  </si>
  <si>
    <t>4 Dec 2025 19:43:10</t>
  </si>
  <si>
    <t>Dine In (AGUSTA)</t>
  </si>
  <si>
    <t>AGUSTA</t>
  </si>
  <si>
    <t>4 Dec 2025 18:34:01</t>
  </si>
  <si>
    <t>VIKASH SIR</t>
  </si>
  <si>
    <t>Cappuccino, Classic Hot Chocolate, Jackfruit Jester Burger, Salsa Rose</t>
  </si>
  <si>
    <t>3 Dec 2025 23:17:46</t>
  </si>
  <si>
    <t>radhika maam</t>
  </si>
  <si>
    <t>Espresso Tiramisu, Garlic Pepper Chicken Pizza, Golden Tiramisu</t>
  </si>
  <si>
    <t>3 Dec 2025 23:17:00</t>
  </si>
  <si>
    <t>3 Dec 2025 23:14:01</t>
  </si>
  <si>
    <t>Cafe Mocha, Cappuccino, Classic Hot Chocolate, Grilled Meaty Maverick</t>
  </si>
  <si>
    <t>3 Dec 2025 23:10:44</t>
  </si>
  <si>
    <t>Dine In (shubankar)</t>
  </si>
  <si>
    <t>shubankar</t>
  </si>
  <si>
    <t>Brown Butter Latte, Creamy Pesto</t>
  </si>
  <si>
    <t>3 Dec 2025 23:07:48</t>
  </si>
  <si>
    <t>richi</t>
  </si>
  <si>
    <t>Classic Hot Chocolate, Creamy Pesto</t>
  </si>
  <si>
    <t>3 Dec 2025 23:07:27</t>
  </si>
  <si>
    <t>Classic Hot Chocolate, Salsa Rose</t>
  </si>
  <si>
    <t>3 Dec 2025 23:02:27</t>
  </si>
  <si>
    <t>Cappuccino, Mushroom Alfredo, Thukpa Vegan</t>
  </si>
  <si>
    <t>3 Dec 2025 22:53:22</t>
  </si>
  <si>
    <t>Dine In (harivansh)</t>
  </si>
  <si>
    <t>harivansh</t>
  </si>
  <si>
    <t>Mushroom Alfredo, Pinefire, Red Knight, Wild Berry Pancakes</t>
  </si>
  <si>
    <t>3 Dec 2025 21:58:35</t>
  </si>
  <si>
    <t>Americano, Captain Fish Fingers, The Chlorophyll Mage</t>
  </si>
  <si>
    <t>3 Dec 2025 21:20:57</t>
  </si>
  <si>
    <t>Dine In (ritu)</t>
  </si>
  <si>
    <t>ritu</t>
  </si>
  <si>
    <t>3 Dec 2025 20:04:50</t>
  </si>
  <si>
    <t>Dine In (rista)</t>
  </si>
  <si>
    <t>rista</t>
  </si>
  <si>
    <t>Aglio Olio, Avocado Vanguard</t>
  </si>
  <si>
    <t>3 Dec 2025 15:52:41</t>
  </si>
  <si>
    <t>Aglio Olio, Classic Wrdges Warriors, Garlic Pepper Chicken Pizza, Iced Mocha</t>
  </si>
  <si>
    <t>3 Dec 2025 14:04:44</t>
  </si>
  <si>
    <t>Caesar Commander, Cappuccino, Creamy Pesto, Crimson Hex, Grilled Fish, Semolina And Pistachio Teacakes, Tokyo Godzilla Frappe</t>
  </si>
  <si>
    <t>2 Dec 2025 22:53:30</t>
  </si>
  <si>
    <t>Dine In (Radhika mam)</t>
  </si>
  <si>
    <t>Radhika mam</t>
  </si>
  <si>
    <t>Espresso Tiramisu, Matcha Latte, Ratatouille Bunny Chow</t>
  </si>
  <si>
    <t>2 Dec 2025 22:53:11</t>
  </si>
  <si>
    <t>Dine In (ANUSHIKA)</t>
  </si>
  <si>
    <t>ANUSHIKA</t>
  </si>
  <si>
    <t>Ratatouille Bunny Chow</t>
  </si>
  <si>
    <t>2 Dec 2025 21:24:10</t>
  </si>
  <si>
    <t>Dine In (CHETAN)</t>
  </si>
  <si>
    <t>CHETAN</t>
  </si>
  <si>
    <t>Cappuccino, Rainbow Roll Pizza</t>
  </si>
  <si>
    <t>2 Dec 2025 21:18:13</t>
  </si>
  <si>
    <t>RISHAB</t>
  </si>
  <si>
    <t>2 Dec 2025 19:58:36</t>
  </si>
  <si>
    <t>Dine In (SIDH)</t>
  </si>
  <si>
    <t>SIDH</t>
  </si>
  <si>
    <t>Classic Lemon Ice Tea, Extra Chicken, Tex-Mex Bowl Grilled Chicken</t>
  </si>
  <si>
    <t>2 Dec 2025 19:58:10</t>
  </si>
  <si>
    <t>Dine In (RANA)</t>
  </si>
  <si>
    <t>RANA</t>
  </si>
  <si>
    <t>Americano</t>
  </si>
  <si>
    <t>2 Dec 2025 19:17:29</t>
  </si>
  <si>
    <t>ANIRUDH</t>
  </si>
  <si>
    <t>Classic Lemon Ice Tea, Classic Margherita Pizza, Salsa Rose</t>
  </si>
  <si>
    <t>2 Dec 2025 19:00:33</t>
  </si>
  <si>
    <t>Dine In (TIMPY)</t>
  </si>
  <si>
    <t>TIMPY</t>
  </si>
  <si>
    <t>Avocado Vanguard, Burnt Garlic &amp; Cauliflower, Espresso Tiramisu, Mushroom Marauders Bruschetta, Thukpa Vegan</t>
  </si>
  <si>
    <t>2 Dec 2025 18:40:13</t>
  </si>
  <si>
    <t>Brown Butter Latte, Classic Crispy Scouts</t>
  </si>
  <si>
    <t>2 Dec 2025 18:08:29</t>
  </si>
  <si>
    <t>KRISH</t>
  </si>
  <si>
    <t>Chicken Conqueror Burger, Extra Chicken, Tex-Mex Bowl Grilled Chicken</t>
  </si>
  <si>
    <t>2 Dec 2025 17:56:28</t>
  </si>
  <si>
    <t>Brown Butter Latte, Secret Mocha, Vanilla And Cocoa Marble Teacakes</t>
  </si>
  <si>
    <t>2 Dec 2025 17:47:28</t>
  </si>
  <si>
    <t>Dine In (kashish)</t>
  </si>
  <si>
    <t>kashish</t>
  </si>
  <si>
    <t>2 Dec 2025 14:23:33</t>
  </si>
  <si>
    <t>Dine In (VABHAV)</t>
  </si>
  <si>
    <t>VABHAV</t>
  </si>
  <si>
    <t>1 Dec 2025 23:09:25</t>
  </si>
  <si>
    <t>1 Dec 2025 23:03:52</t>
  </si>
  <si>
    <t>Classic Hot Chocolate, Egg French Omelette</t>
  </si>
  <si>
    <t>1 Dec 2025 23:02:53</t>
  </si>
  <si>
    <t>Dine In (radhika mam)</t>
  </si>
  <si>
    <t>radhika mam</t>
  </si>
  <si>
    <t>1 Dec 2025 23:02:25</t>
  </si>
  <si>
    <t>Cappuccino, Mushroom Alfredo</t>
  </si>
  <si>
    <t>1 Dec 2025 21:54:12</t>
  </si>
  <si>
    <t>Dine In (16)</t>
  </si>
  <si>
    <t>1 Dec 2025 21:43:54</t>
  </si>
  <si>
    <t>Dine In (Ravi)</t>
  </si>
  <si>
    <t>Ravi</t>
  </si>
  <si>
    <t>Arrabbiata Ambush, Cappuccino</t>
  </si>
  <si>
    <t>1 Dec 2025 21:36:53</t>
  </si>
  <si>
    <t>Dine In (RIDHIMA)</t>
  </si>
  <si>
    <t>RIDHIMA</t>
  </si>
  <si>
    <t>Avocado Vanguard, Iced Coconut Oat Matcha Latte</t>
  </si>
  <si>
    <t>1 Dec 2025 21:31:19</t>
  </si>
  <si>
    <t>Dine In (VASHNAV)</t>
  </si>
  <si>
    <t>VASHNAV</t>
  </si>
  <si>
    <t>Mushroom Marauders Bruschetta</t>
  </si>
  <si>
    <t>1 Dec 2025 21:30:39</t>
  </si>
  <si>
    <t>PARTH</t>
  </si>
  <si>
    <t>Chicken &amp; Cheese On Toast, Classic Hot Chocolate</t>
  </si>
  <si>
    <t>1 Dec 2025 20:17:07</t>
  </si>
  <si>
    <t>Americano, Cappuccino</t>
  </si>
  <si>
    <t>1 Dec 2025 18:47:30</t>
  </si>
  <si>
    <t>Cappuccino, Chicken &amp; Cheese On Toast, Masala Egg Bhurji</t>
  </si>
  <si>
    <t>1 Dec 2025 16:50:11</t>
  </si>
  <si>
    <t>Dine In (puran)</t>
  </si>
  <si>
    <t>puran</t>
  </si>
  <si>
    <t>Americano, Classic Hot Chocolate</t>
  </si>
  <si>
    <t>1 Dec 2025 15:27:56</t>
  </si>
  <si>
    <t>Dine In (sudeep)</t>
  </si>
  <si>
    <t>sudeep</t>
  </si>
  <si>
    <t>Asian Bowl Hot Garlic Stir Fry Bean Curd, Avocado Vanguard, Extra Vegetables, Grilled Fish, Grilled Vegetables, Pistachio Latte, Rainbow Roll Pizza</t>
  </si>
  <si>
    <t>1 Dec 2025 14:49:07</t>
  </si>
  <si>
    <t>1 Dec 2025 14:19:57</t>
  </si>
  <si>
    <t>Cinnamon Hot Chocolate, Classic Bombay Maestro Sandwich, Golden Tiramisu, Peri Peri Crispy Scouts, Pinefire, Rainbow Roll Pizza, Salsa Rose, Truffle Mushroom Arancini, Veg Quesadilla</t>
  </si>
  <si>
    <t>Brown Butter Latte, Cinnamon Hot Chocolate, Classic Bombay Maestro Sandwich, New Classic Hot Chocolate, Peri Peri Crispy Scouts, Rainbow Roll Pizza, The Full House Nachos (Veg), Tokyo Godzilla Frappe</t>
  </si>
  <si>
    <t>Chicken Conqueror Burger, Claasic Cold Coffee, London Fog, Pinefire, Roasted Tomato &amp; Basil, The Full House Nachos (Veg), Tiramisu Hot Chocolate, Water Bottle, Wild Berry Pancakes</t>
  </si>
  <si>
    <t>Biscoff Shake, Cappuccino, Classic Lemon Ice Tea, New Classic Hot Chocolate, Peri Peri Crispy Scouts, Salsa Rose, Spicy Chicken Tenders, The Full House Nachos (Veg), Truffle Mushroom Arancini</t>
  </si>
  <si>
    <t>Buffalo Chicken Wings With Ranch Dip, Cafe Mocha, Classic Hot Chocolate, Cream Of Chicken &amp; Leek, Mushroom Marauders Bruschetta, Peri Peri Cottage Cheese Pizza, Roasted Tomato &amp; Basil, Secret Mocha, Spicy Chicken Tenders, The Full House Nachos (Veg), Tiramisu Hot Chocolate, Veg Quesadilla</t>
  </si>
  <si>
    <t>Chicken Sausages (nv) 2, Classic Bombay Maestro Sandwich, Classic Hot Chocolate, Pistachio Latte, Roasted Tomato &amp; Basil, Secret Mocha, Spicy Chicken Tenders</t>
  </si>
  <si>
    <t>Brownie With Ice Cream, Burnt Garlic &amp; Cauliflower, Mushroom Alfredo, Peri Peri Cottage Cheese Pizza, Peri Peri Crispy Scouts, The Melty Mischief, Veg Quesadilla</t>
  </si>
  <si>
    <t>Brown Butter Latte, Claasic Cold Coffee, Classic Hot Chocolate, Jackfruit Jester Burger, New York Baked Cheese Cake, Peri Peri Crispy Scouts, Pinefire, Salsa Rose, Secret Mocha, Tex-Mex Bowl With Cottage Cheese (V), Veg Quesadilla</t>
  </si>
  <si>
    <t>Asian Bowl Hot Garlic Stir Fry Chicken, Brownie With Ice Cream, Caesar Commander, Cafe Mocha, Carbonara, Classic Garlic Gambit, Classic Lemon Ice Tea, Cream Of Chicken &amp; Leek, Garlic Pepper Chicken Pizza, Grilled Meaty Maverick, Peri Peri Crispy Scouts, The Full House Nachos (Chicken), Thukpa Chicken</t>
  </si>
  <si>
    <t>Cinnamon Hot Chocolate, Classic Margherita Pizza, Mushroom Alfredo, New Classic Hot Chocolate, Peri Peri Crispy Scouts, Pinefire, Rainbow Roll Pizza, Tiramisu Hot Chocolate, Veg Quesadilla, Water Bottle</t>
  </si>
  <si>
    <t>Brown Butter Latte, Classic Crispy Scouts, Extra Oat Milk, Middle-East Meetup, New York Baked Cheese Cake, Sunny Side Up, The Full House Nachos (Veg), Water Bottle</t>
  </si>
  <si>
    <t>Cappuccino, Chocolate Chip Pancakes, Claasic Cold Coffee, Classic Bombay Maestro Sandwich, Classic Scrambled Eggs, Cream Of Chicken &amp; Leek, Ratatouille Bunny Chow, Salsa Rose</t>
  </si>
  <si>
    <t>Chicken &amp; Cheese On Toast, Chicken Stroganoff Bunnychow, Grilled Chicken, Grilled Meaty Maverick, Hot Americano, New Classic Hot Chocolate, The Catalyst, Tokyo Godzilla Frappe</t>
  </si>
  <si>
    <t>Caesar Commander, Cafe Latte, Cafe Mocha, Chicken Conqueror Burger, Extra Dip, Rainbow Roll Pizza, Tex-Mex Bowl With Cottage Cheese (V), Vanilla And Cocoa Marble Teacakes, Water Bottle</t>
  </si>
  <si>
    <t>Birthday Game Charge, Cafe Mocha, Cappuccino, Claasic Cold Coffee, Classic Bombay Maestro Sandwich, Hot Americano, Non -veg-899, Peri Peri Cottage Cheese Pizza, Roasted Tomato &amp; Basil, The Full House Nachos (Veg), Veg- 799</t>
  </si>
  <si>
    <t>Avocado Vanguard, Chicken Conqueror Burger, Classic Crispy Scouts, Classic Lemon Ice Tea, Cookies - Cookie Of The Week, Semolina And Pistachio Teacakes, Tex-Mex Bowl With Cottage Cheese (V)</t>
  </si>
  <si>
    <t>Asian Bowl Hot Garlic Stir Fry Bean Curd, Brown Butter Latte, Claasic Cold Coffee, Classic Garlic Gambit, Creamy Pesto, Extra Cheese, Extra Dip, Iced Americano, Middle-East Meetup, Salsa Rose, Secret Mocha, The Bruschetta Bards, Veg Quesadilla</t>
  </si>
  <si>
    <t>Brown Butter Latte, Chicken &amp; Cheese On Toast, Classic Lemon Ice Tea, Masala Egg Bhurji, Rainbow Roll Pizza, Secret Mocha, The Full House Nachos (Veg), Water Bottle</t>
  </si>
  <si>
    <t>Cappuccino, Claasic Cold Coffee, Classic Lemon Ice Tea, Gaming Charge, Jackfruit Jester Burger, Peri Peri Cottage Cheese Pizza, Pinefire, Salsa Rose, The Bruschetta Bards</t>
  </si>
  <si>
    <t>Biscoff Shake, Chicken &amp; Cheese On Toast, Chicken Quesadilla, Hot Americano, Pistachio Latte, Rainbow Roll Pizza, Roasted Tomato &amp; Basil, Secret Mocha, Truffle And Parmesan Crispy Scouts</t>
  </si>
  <si>
    <t>Aglio Olio, Buffalo Chicken Wings With Ranch Dip, Creamy Pesto, Mushroom Alfredo, Peri Peri Cottage Cheese Pizza, Peri Peri Crispy Scouts, Rainbow Roll Pizza, The Full House Nachos (Veg)</t>
  </si>
  <si>
    <t>Buffalo Chicken Wings With Ranch Dip, Cappuccino, Chicken Conqueror Burger, Chicken Stroganoff Bunnychow, Espresso Tiramisu, Golden Tiramisu, Grilled Chicken, Mana Mint, New York Baked Cheese Cake, Rainbow Roll Pizza, Sour Cream And Onion Wrdges Warriors, Thukpa Chicken</t>
  </si>
  <si>
    <t>Chicken Quesadilla, Claasic Cold Coffee, Grilled Vegetables, Jackfruit Jester Burger, Middle-East Meetup, Peri Peri Crispy Scouts, Roasted Tomato &amp; Basil, Spicy Chicken Tenders, The Full House Nachos (Veg), Tokyo Godzilla Frappe</t>
  </si>
  <si>
    <t>Americano, Birthday Games, Cappuccino, Captain Fish Fingers, Classic Margherita Pizza, Grilled Meaty Maverick, Lebanese Chicken Pizza, Middle-East Meetup, Party Menu 65, Pinefire, Spicy Chicken Tenders, Stained Sagrada, Tex-Mex Bowl Grilled Chicken, Truffle Mushroom Arancini</t>
  </si>
  <si>
    <t>Captain Fish Fingers, Cream Of Chicken &amp; Leek, Garlic Pepper Chicken Pizza, Lebanese Chicken Pizza, Pistachio Latte, Secret Mocha, Sour Cream And Onion Crispy Scouts</t>
  </si>
  <si>
    <t>Aurora Engine, Butter Garlic Prawns With Sourdough, Claasic Cold Coffee, Golden Tiramisu, Honey Cinnamon Cold Brew, Lebanese Chicken Pizza, London Fog, Middle-East Meetup, Phoenix Berry, Spicy Chicken Tenders, Thukpa Chicken, Truffle And Parmesan Crispy Scouts, Water Bottle</t>
  </si>
  <si>
    <t>Asian Bowl Hot Garlic Stir Fry Shrimp, Biscoff Shake, Burnt Garlic &amp; Cauliflower, Classic Hot Chocolate, London Fog, Spicy Chicken Tenders, The Melty Mischief, Truffle &amp; Parmesan</t>
  </si>
  <si>
    <t>Arrabbiata Ambush, Mushroom Alfredo, Peri Peri Cottage Cheese Pizza, Pistachio Latte, Rainbow Roll Pizza, Sour Cream And Onion Crispy Scouts, The Full House Nachos (Veg)</t>
  </si>
  <si>
    <t>Cottage Cheese Steak, Middle-East Meetup, Semolina And Pistachio Teacakes, Super Green Risotto, The Bruschetta Bards, The Chlorophyll Mage, Tokyo Godzilla Frappe</t>
  </si>
  <si>
    <t>Cafe Mocha, Classic Hot Chocolate, Golden Tiramisu, Grilled Meaty Maverick, Lebanese Chicken Pizza, Mana Mint, Phoenix Berry, Rainbow Roll Pizza, Salsa Rose, Spicy Chicken Tenders, The Catalyst, Truffle And Parmesan Crispy Scouts, Truffle Mushroom Arancini</t>
  </si>
  <si>
    <t>Cafe Mocha, Classic Bombay Maestro Sandwich, Classic Hot Chocolate, Grilled Meaty Maverick, Matcha Latte, Truffle Mushroom Arancini, Vanilla And Cocoa Marble Teacakes</t>
  </si>
  <si>
    <t>Avocado Vanguard, Bacon (Nv) 2 Pieces, Captain Fish Fingers, Chocolate Chip Pancakes, Claasic Cold Coffee, Classic Hot Chocolate, Classic Lemon Ice Tea, Classic Wrdges Warriors, Coconut Noir, Egg French Omelette, Mana Mint, Mushroom Alfredo, Peri Peri Crispy Scouts, Pinefire, Pistachio Latte, Rainbow Roll Pizza, Salsa Rose, Stained Sagrada, Tex-Mex Bowl With Cottage Cheese (V), The Full House Nachos (Veg), The Melty Mischief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</si>
</sst>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 x14ac:knownFonts="1">
    <font>
      <sz val="10"/>
      <name val="Calibri"/>
      <family val="2"/>
    </font>
    <font>
      <b/>
      <sz val="10"/>
      <name val="Calibri"/>
      <family val="2"/>
    </font>
    <font>
      <sz val="10"/>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1" fillId="0" borderId="0" xfId="0" applyFont="1"/>
    <xf numFmtId="2" fontId="0" fillId="0" borderId="0" xfId="0" applyNumberFormat="1"/>
    <xf numFmtId="43" fontId="0" fillId="0" borderId="0" xfId="1" applyFont="1"/>
    <xf numFmtId="43" fontId="1" fillId="0" borderId="0" xfId="1" applyFont="1"/>
    <xf numFmtId="0" fontId="0" fillId="0" borderId="0" xfId="0" applyBorder="1"/>
    <xf numFmtId="0" fontId="1" fillId="0" borderId="0" xfId="0" applyFont="1" applyBorder="1"/>
    <xf numFmtId="2" fontId="0" fillId="0" borderId="0" xfId="0" applyNumberForma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803"/>
  <sheetViews>
    <sheetView tabSelected="1" topLeftCell="H764" workbookViewId="0">
      <selection activeCell="M791" sqref="M791"/>
    </sheetView>
  </sheetViews>
  <sheetFormatPr defaultRowHeight="13.8" x14ac:dyDescent="0.3"/>
  <cols>
    <col min="1" max="1" width="5" bestFit="1" customWidth="1"/>
    <col min="2" max="2" width="27" customWidth="1"/>
    <col min="3" max="3" width="15" customWidth="1"/>
    <col min="4" max="4" width="16" customWidth="1"/>
    <col min="5" max="5" width="15" customWidth="1"/>
    <col min="6" max="6" width="6" customWidth="1"/>
    <col min="7" max="7" width="17" customWidth="1"/>
    <col min="8" max="8" width="13" customWidth="1"/>
    <col min="9" max="9" width="20" customWidth="1"/>
    <col min="10" max="10" width="60" customWidth="1"/>
    <col min="11" max="11" width="14" style="3" customWidth="1"/>
    <col min="12" max="14" width="19" customWidth="1"/>
    <col min="15" max="15" width="14" style="5" customWidth="1"/>
    <col min="16" max="16" width="14" customWidth="1"/>
    <col min="17" max="17" width="16" customWidth="1"/>
    <col min="18" max="18" width="17" customWidth="1"/>
    <col min="19" max="19" width="20" customWidth="1"/>
    <col min="20" max="20" width="8" customWidth="1"/>
    <col min="21" max="21" width="21" customWidth="1"/>
    <col min="22" max="22" width="14" customWidth="1"/>
  </cols>
  <sheetData>
    <row r="1" spans="1:22" x14ac:dyDescent="0.3">
      <c r="A1" t="s">
        <v>0</v>
      </c>
    </row>
    <row r="2" spans="1:22" x14ac:dyDescent="0.3">
      <c r="A2" t="s">
        <v>1</v>
      </c>
    </row>
    <row r="3" spans="1:22" x14ac:dyDescent="0.3">
      <c r="A3" t="s">
        <v>2</v>
      </c>
    </row>
    <row r="5" spans="1:22" x14ac:dyDescent="0.3">
      <c r="A5" s="1" t="s">
        <v>3</v>
      </c>
      <c r="B5" s="1" t="s">
        <v>4</v>
      </c>
      <c r="C5" s="1" t="s">
        <v>5</v>
      </c>
      <c r="D5" s="1" t="s">
        <v>6</v>
      </c>
      <c r="E5" s="1" t="s">
        <v>7</v>
      </c>
      <c r="F5" s="1" t="s">
        <v>8</v>
      </c>
      <c r="G5" s="1" t="s">
        <v>9</v>
      </c>
      <c r="H5" s="1" t="s">
        <v>10</v>
      </c>
      <c r="I5" s="1" t="s">
        <v>11</v>
      </c>
      <c r="J5" s="1" t="s">
        <v>12</v>
      </c>
      <c r="K5" s="4" t="s">
        <v>13</v>
      </c>
      <c r="L5" s="1" t="s">
        <v>14</v>
      </c>
      <c r="M5" s="1"/>
      <c r="N5" s="1"/>
      <c r="O5" s="6" t="s">
        <v>15</v>
      </c>
      <c r="P5" s="1" t="s">
        <v>16</v>
      </c>
      <c r="Q5" s="1" t="s">
        <v>17</v>
      </c>
      <c r="R5" s="1" t="s">
        <v>18</v>
      </c>
      <c r="S5" s="1" t="s">
        <v>19</v>
      </c>
      <c r="T5" s="1" t="s">
        <v>20</v>
      </c>
      <c r="U5" s="1" t="s">
        <v>21</v>
      </c>
      <c r="V5" s="1" t="s">
        <v>22</v>
      </c>
    </row>
    <row r="6" spans="1:22" x14ac:dyDescent="0.3">
      <c r="A6">
        <v>331</v>
      </c>
      <c r="B6" t="s">
        <v>50</v>
      </c>
      <c r="C6" t="s">
        <v>24</v>
      </c>
      <c r="J6" t="s">
        <v>2019</v>
      </c>
      <c r="K6" s="3">
        <v>7340</v>
      </c>
      <c r="L6" s="2">
        <v>1101</v>
      </c>
      <c r="M6" s="2">
        <f>K6-L6</f>
        <v>6239</v>
      </c>
      <c r="N6" s="2">
        <f>M6*5%</f>
        <v>311.95000000000005</v>
      </c>
      <c r="O6" s="7">
        <v>311.95999999999998</v>
      </c>
      <c r="P6" s="2">
        <v>0.04</v>
      </c>
      <c r="Q6" s="2">
        <v>6551</v>
      </c>
      <c r="R6" t="s">
        <v>31</v>
      </c>
      <c r="T6" t="s">
        <v>27</v>
      </c>
      <c r="U6" t="s">
        <v>1987</v>
      </c>
    </row>
    <row r="7" spans="1:22" x14ac:dyDescent="0.3">
      <c r="A7">
        <v>332</v>
      </c>
      <c r="B7" t="s">
        <v>1983</v>
      </c>
      <c r="C7" t="s">
        <v>24</v>
      </c>
      <c r="D7" t="s">
        <v>1984</v>
      </c>
      <c r="J7" t="s">
        <v>1985</v>
      </c>
      <c r="K7" s="3">
        <v>3080</v>
      </c>
      <c r="L7" s="2">
        <v>0</v>
      </c>
      <c r="M7" s="2">
        <f t="shared" ref="M7:M70" si="0">K7-L7</f>
        <v>3080</v>
      </c>
      <c r="N7" s="2">
        <f t="shared" ref="N7:N70" si="1">M7*5%</f>
        <v>154</v>
      </c>
      <c r="O7" s="7">
        <v>148</v>
      </c>
      <c r="P7" s="2">
        <v>0</v>
      </c>
      <c r="Q7" s="2">
        <v>3228</v>
      </c>
      <c r="R7" t="s">
        <v>31</v>
      </c>
      <c r="T7" t="s">
        <v>27</v>
      </c>
      <c r="U7" t="s">
        <v>1986</v>
      </c>
    </row>
    <row r="8" spans="1:22" x14ac:dyDescent="0.3">
      <c r="A8">
        <v>333</v>
      </c>
      <c r="B8" t="s">
        <v>1979</v>
      </c>
      <c r="C8" t="s">
        <v>24</v>
      </c>
      <c r="D8" t="s">
        <v>1980</v>
      </c>
      <c r="J8" t="s">
        <v>1981</v>
      </c>
      <c r="K8" s="3">
        <v>545</v>
      </c>
      <c r="L8" s="2">
        <v>0</v>
      </c>
      <c r="M8" s="2">
        <f t="shared" si="0"/>
        <v>545</v>
      </c>
      <c r="N8" s="2">
        <f t="shared" si="1"/>
        <v>27.25</v>
      </c>
      <c r="O8" s="7">
        <v>27.26</v>
      </c>
      <c r="P8" s="2">
        <v>-0.26</v>
      </c>
      <c r="Q8" s="2">
        <v>572</v>
      </c>
      <c r="R8" t="s">
        <v>35</v>
      </c>
      <c r="T8" t="s">
        <v>27</v>
      </c>
      <c r="U8" t="s">
        <v>1982</v>
      </c>
    </row>
    <row r="9" spans="1:22" x14ac:dyDescent="0.3">
      <c r="A9">
        <v>334</v>
      </c>
      <c r="B9" t="s">
        <v>1736</v>
      </c>
      <c r="C9" t="s">
        <v>24</v>
      </c>
      <c r="D9" t="s">
        <v>1737</v>
      </c>
      <c r="J9" t="s">
        <v>1977</v>
      </c>
      <c r="K9" s="3">
        <v>920</v>
      </c>
      <c r="L9" s="2">
        <v>0</v>
      </c>
      <c r="M9" s="2">
        <f t="shared" si="0"/>
        <v>920</v>
      </c>
      <c r="N9" s="2">
        <f t="shared" si="1"/>
        <v>46</v>
      </c>
      <c r="O9" s="7">
        <v>46</v>
      </c>
      <c r="P9" s="2">
        <v>0</v>
      </c>
      <c r="Q9" s="2">
        <v>966</v>
      </c>
      <c r="R9" t="s">
        <v>31</v>
      </c>
      <c r="T9" t="s">
        <v>27</v>
      </c>
      <c r="U9" t="s">
        <v>1978</v>
      </c>
    </row>
    <row r="10" spans="1:22" x14ac:dyDescent="0.3">
      <c r="A10">
        <v>335</v>
      </c>
      <c r="B10" t="s">
        <v>1397</v>
      </c>
      <c r="C10" t="s">
        <v>24</v>
      </c>
      <c r="D10" t="s">
        <v>1398</v>
      </c>
      <c r="J10" t="s">
        <v>1975</v>
      </c>
      <c r="K10" s="3">
        <v>470</v>
      </c>
      <c r="L10" s="2">
        <v>0</v>
      </c>
      <c r="M10" s="2">
        <f t="shared" si="0"/>
        <v>470</v>
      </c>
      <c r="N10" s="2">
        <f t="shared" si="1"/>
        <v>23.5</v>
      </c>
      <c r="O10" s="7">
        <v>23.5</v>
      </c>
      <c r="P10" s="2">
        <v>0.5</v>
      </c>
      <c r="Q10" s="2">
        <v>494</v>
      </c>
      <c r="R10" t="s">
        <v>45</v>
      </c>
      <c r="T10" t="s">
        <v>27</v>
      </c>
      <c r="U10" t="s">
        <v>1976</v>
      </c>
    </row>
    <row r="11" spans="1:22" x14ac:dyDescent="0.3">
      <c r="A11">
        <v>336</v>
      </c>
      <c r="B11" t="s">
        <v>929</v>
      </c>
      <c r="C11" t="s">
        <v>24</v>
      </c>
      <c r="D11" t="s">
        <v>1972</v>
      </c>
      <c r="J11" t="s">
        <v>1973</v>
      </c>
      <c r="K11" s="3">
        <v>705</v>
      </c>
      <c r="L11" s="2">
        <v>0</v>
      </c>
      <c r="M11" s="2">
        <f t="shared" si="0"/>
        <v>705</v>
      </c>
      <c r="N11" s="2">
        <f t="shared" si="1"/>
        <v>35.25</v>
      </c>
      <c r="O11" s="7">
        <v>35.26</v>
      </c>
      <c r="P11" s="2">
        <v>-0.26</v>
      </c>
      <c r="Q11" s="2">
        <v>740</v>
      </c>
      <c r="R11" t="s">
        <v>45</v>
      </c>
      <c r="T11" t="s">
        <v>27</v>
      </c>
      <c r="U11" t="s">
        <v>1974</v>
      </c>
    </row>
    <row r="12" spans="1:22" x14ac:dyDescent="0.3">
      <c r="A12">
        <v>337</v>
      </c>
      <c r="B12" t="s">
        <v>1968</v>
      </c>
      <c r="C12" t="s">
        <v>24</v>
      </c>
      <c r="D12" t="s">
        <v>1969</v>
      </c>
      <c r="J12" t="s">
        <v>1970</v>
      </c>
      <c r="K12" s="3">
        <v>320</v>
      </c>
      <c r="L12" s="2">
        <v>0</v>
      </c>
      <c r="M12" s="2">
        <f t="shared" si="0"/>
        <v>320</v>
      </c>
      <c r="N12" s="2">
        <f t="shared" si="1"/>
        <v>16</v>
      </c>
      <c r="O12" s="7">
        <v>16</v>
      </c>
      <c r="P12" s="2">
        <v>0</v>
      </c>
      <c r="Q12" s="2">
        <v>336</v>
      </c>
      <c r="R12" t="s">
        <v>45</v>
      </c>
      <c r="T12" t="s">
        <v>27</v>
      </c>
      <c r="U12" t="s">
        <v>1971</v>
      </c>
    </row>
    <row r="13" spans="1:22" x14ac:dyDescent="0.3">
      <c r="A13">
        <v>338</v>
      </c>
      <c r="B13" t="s">
        <v>1964</v>
      </c>
      <c r="C13" t="s">
        <v>24</v>
      </c>
      <c r="D13" t="s">
        <v>1965</v>
      </c>
      <c r="J13" t="s">
        <v>1966</v>
      </c>
      <c r="K13" s="3">
        <v>695</v>
      </c>
      <c r="L13" s="2">
        <v>0</v>
      </c>
      <c r="M13" s="2">
        <f t="shared" si="0"/>
        <v>695</v>
      </c>
      <c r="N13" s="2">
        <f t="shared" si="1"/>
        <v>34.75</v>
      </c>
      <c r="O13" s="7">
        <v>34.76</v>
      </c>
      <c r="P13" s="2">
        <v>0.24</v>
      </c>
      <c r="Q13" s="2">
        <v>730</v>
      </c>
      <c r="R13" t="s">
        <v>45</v>
      </c>
      <c r="T13" t="s">
        <v>27</v>
      </c>
      <c r="U13" t="s">
        <v>1967</v>
      </c>
    </row>
    <row r="14" spans="1:22" x14ac:dyDescent="0.3">
      <c r="A14">
        <v>339</v>
      </c>
      <c r="B14" t="s">
        <v>1960</v>
      </c>
      <c r="C14" t="s">
        <v>24</v>
      </c>
      <c r="D14" t="s">
        <v>1961</v>
      </c>
      <c r="J14" t="s">
        <v>1962</v>
      </c>
      <c r="K14" s="3">
        <v>675</v>
      </c>
      <c r="L14" s="2">
        <v>0</v>
      </c>
      <c r="M14" s="2">
        <f t="shared" si="0"/>
        <v>675</v>
      </c>
      <c r="N14" s="2">
        <f t="shared" si="1"/>
        <v>33.75</v>
      </c>
      <c r="O14" s="7">
        <v>33.76</v>
      </c>
      <c r="P14" s="2">
        <v>0.24</v>
      </c>
      <c r="Q14" s="2">
        <v>709</v>
      </c>
      <c r="R14" t="s">
        <v>31</v>
      </c>
      <c r="T14" t="s">
        <v>27</v>
      </c>
      <c r="U14" t="s">
        <v>1963</v>
      </c>
    </row>
    <row r="15" spans="1:22" x14ac:dyDescent="0.3">
      <c r="A15">
        <v>340</v>
      </c>
      <c r="B15" t="s">
        <v>1958</v>
      </c>
      <c r="C15" t="s">
        <v>24</v>
      </c>
      <c r="J15" t="s">
        <v>328</v>
      </c>
      <c r="K15" s="3">
        <v>345</v>
      </c>
      <c r="L15" s="2">
        <v>0</v>
      </c>
      <c r="M15" s="2">
        <f t="shared" si="0"/>
        <v>345</v>
      </c>
      <c r="N15" s="2">
        <f t="shared" si="1"/>
        <v>17.25</v>
      </c>
      <c r="O15" s="7">
        <v>17.260000000000002</v>
      </c>
      <c r="P15" s="2">
        <v>-0.26</v>
      </c>
      <c r="Q15" s="2">
        <v>362</v>
      </c>
      <c r="R15" t="s">
        <v>35</v>
      </c>
      <c r="T15" t="s">
        <v>27</v>
      </c>
      <c r="U15" t="s">
        <v>1959</v>
      </c>
    </row>
    <row r="16" spans="1:22" x14ac:dyDescent="0.3">
      <c r="A16">
        <v>341</v>
      </c>
      <c r="B16" t="s">
        <v>23</v>
      </c>
      <c r="C16" t="s">
        <v>24</v>
      </c>
      <c r="J16" t="s">
        <v>1956</v>
      </c>
      <c r="K16" s="3">
        <v>925</v>
      </c>
      <c r="L16" s="2">
        <v>0</v>
      </c>
      <c r="M16" s="2">
        <f t="shared" si="0"/>
        <v>925</v>
      </c>
      <c r="N16" s="2">
        <f t="shared" si="1"/>
        <v>46.25</v>
      </c>
      <c r="O16" s="7">
        <v>46.26</v>
      </c>
      <c r="P16" s="2">
        <v>-0.26</v>
      </c>
      <c r="Q16" s="2">
        <v>971</v>
      </c>
      <c r="R16" t="s">
        <v>31</v>
      </c>
      <c r="T16" t="s">
        <v>27</v>
      </c>
      <c r="U16" t="s">
        <v>1957</v>
      </c>
    </row>
    <row r="17" spans="1:21" x14ac:dyDescent="0.3">
      <c r="A17">
        <v>342</v>
      </c>
      <c r="B17" t="s">
        <v>1953</v>
      </c>
      <c r="C17" t="s">
        <v>24</v>
      </c>
      <c r="D17" t="s">
        <v>1954</v>
      </c>
      <c r="J17" t="s">
        <v>2018</v>
      </c>
      <c r="K17" s="3">
        <v>0</v>
      </c>
      <c r="L17" s="2">
        <v>0</v>
      </c>
      <c r="M17" s="2">
        <f t="shared" si="0"/>
        <v>0</v>
      </c>
      <c r="N17" s="2">
        <f t="shared" si="1"/>
        <v>0</v>
      </c>
      <c r="O17" s="7">
        <v>0</v>
      </c>
      <c r="P17" s="2">
        <v>0</v>
      </c>
      <c r="Q17" s="2">
        <v>0</v>
      </c>
      <c r="R17" t="s">
        <v>35</v>
      </c>
      <c r="T17" t="s">
        <v>27</v>
      </c>
      <c r="U17" t="s">
        <v>1955</v>
      </c>
    </row>
    <row r="18" spans="1:21" x14ac:dyDescent="0.3">
      <c r="A18">
        <v>343</v>
      </c>
      <c r="B18" t="s">
        <v>37</v>
      </c>
      <c r="C18" t="s">
        <v>24</v>
      </c>
      <c r="D18" t="s">
        <v>1871</v>
      </c>
      <c r="J18" t="s">
        <v>1951</v>
      </c>
      <c r="K18" s="3">
        <v>0</v>
      </c>
      <c r="L18" s="2">
        <v>0</v>
      </c>
      <c r="M18" s="2">
        <f t="shared" si="0"/>
        <v>0</v>
      </c>
      <c r="N18" s="2">
        <f t="shared" si="1"/>
        <v>0</v>
      </c>
      <c r="O18" s="7">
        <v>0</v>
      </c>
      <c r="P18" s="2">
        <v>0</v>
      </c>
      <c r="Q18" s="2">
        <v>0</v>
      </c>
      <c r="R18" t="s">
        <v>35</v>
      </c>
      <c r="T18" t="s">
        <v>27</v>
      </c>
      <c r="U18" t="s">
        <v>1952</v>
      </c>
    </row>
    <row r="19" spans="1:21" x14ac:dyDescent="0.3">
      <c r="A19">
        <v>344</v>
      </c>
      <c r="B19" t="s">
        <v>64</v>
      </c>
      <c r="C19" t="s">
        <v>24</v>
      </c>
      <c r="J19" t="s">
        <v>129</v>
      </c>
      <c r="K19" s="3">
        <v>325</v>
      </c>
      <c r="L19" s="2">
        <v>0</v>
      </c>
      <c r="M19" s="2">
        <f t="shared" si="0"/>
        <v>325</v>
      </c>
      <c r="N19" s="2">
        <f t="shared" si="1"/>
        <v>16.25</v>
      </c>
      <c r="O19" s="7">
        <v>16.260000000000002</v>
      </c>
      <c r="P19" s="2">
        <v>-0.26</v>
      </c>
      <c r="Q19" s="2">
        <v>341</v>
      </c>
      <c r="R19" t="s">
        <v>35</v>
      </c>
      <c r="T19" t="s">
        <v>27</v>
      </c>
      <c r="U19" t="s">
        <v>1950</v>
      </c>
    </row>
    <row r="20" spans="1:21" x14ac:dyDescent="0.3">
      <c r="A20">
        <v>345</v>
      </c>
      <c r="B20" t="s">
        <v>1947</v>
      </c>
      <c r="C20" t="s">
        <v>24</v>
      </c>
      <c r="D20" t="s">
        <v>1948</v>
      </c>
      <c r="J20" t="s">
        <v>413</v>
      </c>
      <c r="K20" s="3">
        <v>122</v>
      </c>
      <c r="L20" s="2">
        <v>0</v>
      </c>
      <c r="M20" s="2">
        <f t="shared" si="0"/>
        <v>122</v>
      </c>
      <c r="N20" s="2">
        <f t="shared" si="1"/>
        <v>6.1000000000000005</v>
      </c>
      <c r="O20" s="7">
        <v>21.96</v>
      </c>
      <c r="P20" s="2">
        <v>0.04</v>
      </c>
      <c r="Q20" s="2">
        <v>144</v>
      </c>
      <c r="R20" t="s">
        <v>45</v>
      </c>
      <c r="T20" t="s">
        <v>27</v>
      </c>
      <c r="U20" t="s">
        <v>1949</v>
      </c>
    </row>
    <row r="21" spans="1:21" x14ac:dyDescent="0.3">
      <c r="A21">
        <v>472</v>
      </c>
      <c r="B21" t="s">
        <v>1575</v>
      </c>
      <c r="C21" t="s">
        <v>24</v>
      </c>
      <c r="D21" t="s">
        <v>1576</v>
      </c>
      <c r="J21" t="s">
        <v>1577</v>
      </c>
      <c r="K21" s="3">
        <v>525</v>
      </c>
      <c r="L21" s="2">
        <v>0</v>
      </c>
      <c r="M21" s="2">
        <f t="shared" si="0"/>
        <v>525</v>
      </c>
      <c r="N21" s="2">
        <f t="shared" si="1"/>
        <v>26.25</v>
      </c>
      <c r="O21" s="7">
        <v>26.26</v>
      </c>
      <c r="P21" s="2">
        <v>-0.26</v>
      </c>
      <c r="Q21" s="2">
        <v>551</v>
      </c>
      <c r="R21" t="s">
        <v>45</v>
      </c>
      <c r="T21" t="s">
        <v>27</v>
      </c>
      <c r="U21" t="s">
        <v>1578</v>
      </c>
    </row>
    <row r="22" spans="1:21" x14ac:dyDescent="0.3">
      <c r="A22">
        <v>473</v>
      </c>
      <c r="B22" t="s">
        <v>64</v>
      </c>
      <c r="C22" t="s">
        <v>24</v>
      </c>
      <c r="J22" t="s">
        <v>1573</v>
      </c>
      <c r="K22" s="3">
        <v>1750</v>
      </c>
      <c r="L22" s="2">
        <v>0</v>
      </c>
      <c r="M22" s="2">
        <f t="shared" si="0"/>
        <v>1750</v>
      </c>
      <c r="N22" s="2">
        <f t="shared" si="1"/>
        <v>87.5</v>
      </c>
      <c r="O22" s="7">
        <v>87.5</v>
      </c>
      <c r="P22" s="2">
        <v>0.5</v>
      </c>
      <c r="Q22" s="2">
        <v>1838</v>
      </c>
      <c r="R22" t="s">
        <v>45</v>
      </c>
      <c r="T22" t="s">
        <v>27</v>
      </c>
      <c r="U22" t="s">
        <v>1574</v>
      </c>
    </row>
    <row r="23" spans="1:21" x14ac:dyDescent="0.3">
      <c r="A23">
        <v>474</v>
      </c>
      <c r="B23" t="s">
        <v>1570</v>
      </c>
      <c r="C23" t="s">
        <v>24</v>
      </c>
      <c r="D23" t="s">
        <v>1571</v>
      </c>
      <c r="J23" t="s">
        <v>2011</v>
      </c>
      <c r="K23" s="3">
        <v>12479</v>
      </c>
      <c r="L23" s="2">
        <v>1871.85</v>
      </c>
      <c r="M23" s="2">
        <f t="shared" si="0"/>
        <v>10607.15</v>
      </c>
      <c r="N23" s="2">
        <f t="shared" si="1"/>
        <v>530.35749999999996</v>
      </c>
      <c r="O23" s="7">
        <v>829.16</v>
      </c>
      <c r="P23" s="2">
        <v>-0.31</v>
      </c>
      <c r="Q23" s="2">
        <v>11436</v>
      </c>
      <c r="R23" t="s">
        <v>31</v>
      </c>
      <c r="T23" t="s">
        <v>27</v>
      </c>
      <c r="U23" t="s">
        <v>1572</v>
      </c>
    </row>
    <row r="24" spans="1:21" x14ac:dyDescent="0.3">
      <c r="A24">
        <v>475</v>
      </c>
      <c r="B24" t="s">
        <v>1567</v>
      </c>
      <c r="C24" t="s">
        <v>24</v>
      </c>
      <c r="D24" t="s">
        <v>1464</v>
      </c>
      <c r="J24" t="s">
        <v>1568</v>
      </c>
      <c r="K24" s="3">
        <v>999</v>
      </c>
      <c r="L24" s="2">
        <v>0</v>
      </c>
      <c r="M24" s="2">
        <f t="shared" si="0"/>
        <v>999</v>
      </c>
      <c r="N24" s="2">
        <f t="shared" si="1"/>
        <v>49.95</v>
      </c>
      <c r="O24" s="7">
        <v>47.5</v>
      </c>
      <c r="P24" s="2">
        <v>0.5</v>
      </c>
      <c r="Q24" s="2">
        <v>1047</v>
      </c>
      <c r="R24" t="s">
        <v>35</v>
      </c>
      <c r="T24" t="s">
        <v>27</v>
      </c>
      <c r="U24" t="s">
        <v>1569</v>
      </c>
    </row>
    <row r="25" spans="1:21" x14ac:dyDescent="0.3">
      <c r="A25">
        <v>476</v>
      </c>
      <c r="B25" t="s">
        <v>1564</v>
      </c>
      <c r="C25" t="s">
        <v>24</v>
      </c>
      <c r="D25" t="s">
        <v>1565</v>
      </c>
      <c r="J25" t="s">
        <v>531</v>
      </c>
      <c r="K25" s="3">
        <v>360</v>
      </c>
      <c r="L25" s="2">
        <v>0</v>
      </c>
      <c r="M25" s="2">
        <f t="shared" si="0"/>
        <v>360</v>
      </c>
      <c r="N25" s="2">
        <f t="shared" si="1"/>
        <v>18</v>
      </c>
      <c r="O25" s="7">
        <v>18</v>
      </c>
      <c r="P25" s="2">
        <v>0</v>
      </c>
      <c r="Q25" s="2">
        <v>378</v>
      </c>
      <c r="R25" t="s">
        <v>35</v>
      </c>
      <c r="T25" t="s">
        <v>27</v>
      </c>
      <c r="U25" t="s">
        <v>1566</v>
      </c>
    </row>
    <row r="26" spans="1:21" x14ac:dyDescent="0.3">
      <c r="A26">
        <v>477</v>
      </c>
      <c r="B26" t="s">
        <v>1560</v>
      </c>
      <c r="C26" t="s">
        <v>24</v>
      </c>
      <c r="D26" t="s">
        <v>1561</v>
      </c>
      <c r="J26" t="s">
        <v>1562</v>
      </c>
      <c r="K26" s="3">
        <v>637</v>
      </c>
      <c r="L26" s="2">
        <v>0</v>
      </c>
      <c r="M26" s="2">
        <f t="shared" si="0"/>
        <v>637</v>
      </c>
      <c r="N26" s="2">
        <f t="shared" si="1"/>
        <v>31.85</v>
      </c>
      <c r="O26" s="7">
        <v>47.72</v>
      </c>
      <c r="P26" s="2">
        <v>0.28000000000000003</v>
      </c>
      <c r="Q26" s="2">
        <v>685</v>
      </c>
      <c r="R26" t="s">
        <v>45</v>
      </c>
      <c r="T26" t="s">
        <v>27</v>
      </c>
      <c r="U26" t="s">
        <v>1563</v>
      </c>
    </row>
    <row r="27" spans="1:21" x14ac:dyDescent="0.3">
      <c r="A27">
        <v>478</v>
      </c>
      <c r="B27" t="s">
        <v>682</v>
      </c>
      <c r="C27" t="s">
        <v>24</v>
      </c>
      <c r="J27" t="s">
        <v>1558</v>
      </c>
      <c r="K27" s="3">
        <v>30</v>
      </c>
      <c r="L27" s="2">
        <v>0</v>
      </c>
      <c r="M27" s="2">
        <f t="shared" si="0"/>
        <v>30</v>
      </c>
      <c r="N27" s="2">
        <f t="shared" si="1"/>
        <v>1.5</v>
      </c>
      <c r="O27" s="7">
        <v>0</v>
      </c>
      <c r="P27" s="2">
        <v>0</v>
      </c>
      <c r="Q27" s="2">
        <v>30</v>
      </c>
      <c r="R27" t="s">
        <v>45</v>
      </c>
      <c r="T27" t="s">
        <v>27</v>
      </c>
      <c r="U27" t="s">
        <v>1559</v>
      </c>
    </row>
    <row r="28" spans="1:21" x14ac:dyDescent="0.3">
      <c r="A28">
        <v>479</v>
      </c>
      <c r="B28" t="s">
        <v>1555</v>
      </c>
      <c r="C28" t="s">
        <v>24</v>
      </c>
      <c r="D28" t="s">
        <v>1556</v>
      </c>
      <c r="J28" t="s">
        <v>1044</v>
      </c>
      <c r="K28" s="3">
        <v>285</v>
      </c>
      <c r="L28" s="2">
        <v>0</v>
      </c>
      <c r="M28" s="2">
        <f t="shared" si="0"/>
        <v>285</v>
      </c>
      <c r="N28" s="2">
        <f t="shared" si="1"/>
        <v>14.25</v>
      </c>
      <c r="O28" s="7">
        <v>14.26</v>
      </c>
      <c r="P28" s="2">
        <v>-0.26</v>
      </c>
      <c r="Q28" s="2">
        <v>299</v>
      </c>
      <c r="R28" t="s">
        <v>45</v>
      </c>
      <c r="T28" t="s">
        <v>27</v>
      </c>
      <c r="U28" t="s">
        <v>1557</v>
      </c>
    </row>
    <row r="29" spans="1:21" x14ac:dyDescent="0.3">
      <c r="A29">
        <v>480</v>
      </c>
      <c r="B29" t="s">
        <v>1551</v>
      </c>
      <c r="C29" t="s">
        <v>24</v>
      </c>
      <c r="D29" t="s">
        <v>1552</v>
      </c>
      <c r="J29" t="s">
        <v>1553</v>
      </c>
      <c r="K29" s="3">
        <v>350</v>
      </c>
      <c r="L29" s="2">
        <v>0</v>
      </c>
      <c r="M29" s="2">
        <f t="shared" si="0"/>
        <v>350</v>
      </c>
      <c r="N29" s="2">
        <f t="shared" si="1"/>
        <v>17.5</v>
      </c>
      <c r="O29" s="7">
        <v>17.5</v>
      </c>
      <c r="P29" s="2">
        <v>0.5</v>
      </c>
      <c r="Q29" s="2">
        <v>368</v>
      </c>
      <c r="R29" t="s">
        <v>45</v>
      </c>
      <c r="T29" t="s">
        <v>27</v>
      </c>
      <c r="U29" t="s">
        <v>1554</v>
      </c>
    </row>
    <row r="30" spans="1:21" x14ac:dyDescent="0.3">
      <c r="A30">
        <v>481</v>
      </c>
      <c r="B30" t="s">
        <v>1547</v>
      </c>
      <c r="C30" t="s">
        <v>24</v>
      </c>
      <c r="D30" t="s">
        <v>1548</v>
      </c>
      <c r="J30" t="s">
        <v>1549</v>
      </c>
      <c r="K30" s="3">
        <v>930</v>
      </c>
      <c r="L30" s="2">
        <v>0</v>
      </c>
      <c r="M30" s="2">
        <f t="shared" si="0"/>
        <v>930</v>
      </c>
      <c r="N30" s="2">
        <f t="shared" si="1"/>
        <v>46.5</v>
      </c>
      <c r="O30" s="7">
        <v>46.5</v>
      </c>
      <c r="P30" s="2">
        <v>0.5</v>
      </c>
      <c r="Q30" s="2">
        <v>977</v>
      </c>
      <c r="R30" t="s">
        <v>45</v>
      </c>
      <c r="T30" t="s">
        <v>27</v>
      </c>
      <c r="U30" t="s">
        <v>1550</v>
      </c>
    </row>
    <row r="31" spans="1:21" x14ac:dyDescent="0.3">
      <c r="A31">
        <v>482</v>
      </c>
      <c r="B31" t="s">
        <v>1081</v>
      </c>
      <c r="C31" t="s">
        <v>24</v>
      </c>
      <c r="D31" t="s">
        <v>1082</v>
      </c>
      <c r="J31" t="s">
        <v>1545</v>
      </c>
      <c r="K31" s="3">
        <v>0</v>
      </c>
      <c r="L31" s="2">
        <v>0</v>
      </c>
      <c r="M31" s="2">
        <f t="shared" si="0"/>
        <v>0</v>
      </c>
      <c r="N31" s="2">
        <f t="shared" si="1"/>
        <v>0</v>
      </c>
      <c r="O31" s="7">
        <v>0</v>
      </c>
      <c r="P31" s="2">
        <v>0</v>
      </c>
      <c r="Q31" s="2">
        <v>0</v>
      </c>
      <c r="R31" t="s">
        <v>35</v>
      </c>
      <c r="T31" t="s">
        <v>27</v>
      </c>
      <c r="U31" t="s">
        <v>1546</v>
      </c>
    </row>
    <row r="32" spans="1:21" x14ac:dyDescent="0.3">
      <c r="A32">
        <v>483</v>
      </c>
      <c r="B32" t="s">
        <v>1541</v>
      </c>
      <c r="C32" t="s">
        <v>24</v>
      </c>
      <c r="D32" t="s">
        <v>1542</v>
      </c>
      <c r="J32" t="s">
        <v>1543</v>
      </c>
      <c r="K32" s="3">
        <v>0</v>
      </c>
      <c r="L32" s="2">
        <v>0</v>
      </c>
      <c r="M32" s="2">
        <f t="shared" si="0"/>
        <v>0</v>
      </c>
      <c r="N32" s="2">
        <f t="shared" si="1"/>
        <v>0</v>
      </c>
      <c r="O32" s="7">
        <v>0</v>
      </c>
      <c r="P32" s="2">
        <v>0</v>
      </c>
      <c r="Q32" s="2">
        <v>0</v>
      </c>
      <c r="R32" t="s">
        <v>35</v>
      </c>
      <c r="T32" t="s">
        <v>27</v>
      </c>
      <c r="U32" t="s">
        <v>1544</v>
      </c>
    </row>
    <row r="33" spans="1:21" x14ac:dyDescent="0.3">
      <c r="A33">
        <v>484</v>
      </c>
      <c r="B33" t="s">
        <v>117</v>
      </c>
      <c r="C33" t="s">
        <v>24</v>
      </c>
      <c r="D33" t="s">
        <v>1160</v>
      </c>
      <c r="J33" t="s">
        <v>1539</v>
      </c>
      <c r="K33" s="3">
        <v>850</v>
      </c>
      <c r="L33" s="2">
        <v>0</v>
      </c>
      <c r="M33" s="2">
        <f t="shared" si="0"/>
        <v>850</v>
      </c>
      <c r="N33" s="2">
        <f t="shared" si="1"/>
        <v>42.5</v>
      </c>
      <c r="O33" s="7">
        <v>42.5</v>
      </c>
      <c r="P33" s="2">
        <v>0.5</v>
      </c>
      <c r="Q33" s="2">
        <v>893</v>
      </c>
      <c r="R33" t="s">
        <v>31</v>
      </c>
      <c r="T33" t="s">
        <v>27</v>
      </c>
      <c r="U33" t="s">
        <v>1540</v>
      </c>
    </row>
    <row r="34" spans="1:21" x14ac:dyDescent="0.3">
      <c r="A34">
        <v>485</v>
      </c>
      <c r="B34" t="s">
        <v>50</v>
      </c>
      <c r="C34" t="s">
        <v>24</v>
      </c>
      <c r="J34" t="s">
        <v>2010</v>
      </c>
      <c r="K34" s="3">
        <v>4570</v>
      </c>
      <c r="L34" s="2">
        <v>0</v>
      </c>
      <c r="M34" s="2">
        <f t="shared" si="0"/>
        <v>4570</v>
      </c>
      <c r="N34" s="2">
        <f t="shared" si="1"/>
        <v>228.5</v>
      </c>
      <c r="O34" s="7">
        <v>228.5</v>
      </c>
      <c r="P34" s="2">
        <v>0.5</v>
      </c>
      <c r="Q34" s="2">
        <v>4799</v>
      </c>
      <c r="R34" t="s">
        <v>31</v>
      </c>
      <c r="T34" t="s">
        <v>27</v>
      </c>
      <c r="U34" t="s">
        <v>1538</v>
      </c>
    </row>
    <row r="35" spans="1:21" x14ac:dyDescent="0.3">
      <c r="A35">
        <v>486</v>
      </c>
      <c r="B35" t="s">
        <v>682</v>
      </c>
      <c r="C35" t="s">
        <v>24</v>
      </c>
      <c r="J35" t="s">
        <v>413</v>
      </c>
      <c r="K35" s="3">
        <v>122</v>
      </c>
      <c r="L35" s="2">
        <v>0</v>
      </c>
      <c r="M35" s="2">
        <f t="shared" si="0"/>
        <v>122</v>
      </c>
      <c r="N35" s="2">
        <f t="shared" si="1"/>
        <v>6.1000000000000005</v>
      </c>
      <c r="O35" s="7">
        <v>21.96</v>
      </c>
      <c r="P35" s="2">
        <v>0.04</v>
      </c>
      <c r="Q35" s="2">
        <v>144</v>
      </c>
      <c r="R35" t="s">
        <v>45</v>
      </c>
      <c r="T35" t="s">
        <v>27</v>
      </c>
      <c r="U35" t="s">
        <v>1537</v>
      </c>
    </row>
    <row r="36" spans="1:21" x14ac:dyDescent="0.3">
      <c r="A36">
        <v>487</v>
      </c>
      <c r="B36" t="s">
        <v>1301</v>
      </c>
      <c r="C36" t="s">
        <v>24</v>
      </c>
      <c r="J36" t="s">
        <v>413</v>
      </c>
      <c r="K36" s="3">
        <v>122</v>
      </c>
      <c r="L36" s="2">
        <v>0</v>
      </c>
      <c r="M36" s="2">
        <f t="shared" si="0"/>
        <v>122</v>
      </c>
      <c r="N36" s="2">
        <f t="shared" si="1"/>
        <v>6.1000000000000005</v>
      </c>
      <c r="O36" s="7">
        <v>21.96</v>
      </c>
      <c r="P36" s="2">
        <v>0.04</v>
      </c>
      <c r="Q36" s="2">
        <v>144</v>
      </c>
      <c r="R36" t="s">
        <v>45</v>
      </c>
      <c r="T36" t="s">
        <v>27</v>
      </c>
      <c r="U36" t="s">
        <v>1536</v>
      </c>
    </row>
    <row r="37" spans="1:21" x14ac:dyDescent="0.3">
      <c r="A37">
        <v>488</v>
      </c>
      <c r="B37" t="s">
        <v>1299</v>
      </c>
      <c r="C37" t="s">
        <v>24</v>
      </c>
      <c r="J37" t="s">
        <v>413</v>
      </c>
      <c r="K37" s="3">
        <v>122</v>
      </c>
      <c r="L37" s="2">
        <v>0</v>
      </c>
      <c r="M37" s="2">
        <f t="shared" si="0"/>
        <v>122</v>
      </c>
      <c r="N37" s="2">
        <f t="shared" si="1"/>
        <v>6.1000000000000005</v>
      </c>
      <c r="O37" s="7">
        <v>21.96</v>
      </c>
      <c r="P37" s="2">
        <v>0.04</v>
      </c>
      <c r="Q37" s="2">
        <v>144</v>
      </c>
      <c r="R37" t="s">
        <v>45</v>
      </c>
      <c r="T37" t="s">
        <v>27</v>
      </c>
      <c r="U37" t="s">
        <v>1535</v>
      </c>
    </row>
    <row r="38" spans="1:21" x14ac:dyDescent="0.3">
      <c r="A38">
        <v>489</v>
      </c>
      <c r="B38" t="s">
        <v>682</v>
      </c>
      <c r="C38" t="s">
        <v>24</v>
      </c>
      <c r="J38" t="s">
        <v>1533</v>
      </c>
      <c r="K38" s="3">
        <v>430</v>
      </c>
      <c r="L38" s="2">
        <v>0</v>
      </c>
      <c r="M38" s="2">
        <f t="shared" si="0"/>
        <v>430</v>
      </c>
      <c r="N38" s="2">
        <f t="shared" si="1"/>
        <v>21.5</v>
      </c>
      <c r="O38" s="7">
        <v>21.5</v>
      </c>
      <c r="P38" s="2">
        <v>0.5</v>
      </c>
      <c r="Q38" s="2">
        <v>452</v>
      </c>
      <c r="R38" t="s">
        <v>35</v>
      </c>
      <c r="T38" t="s">
        <v>27</v>
      </c>
      <c r="U38" t="s">
        <v>1534</v>
      </c>
    </row>
    <row r="39" spans="1:21" x14ac:dyDescent="0.3">
      <c r="A39">
        <v>490</v>
      </c>
      <c r="B39" t="s">
        <v>64</v>
      </c>
      <c r="C39" t="s">
        <v>24</v>
      </c>
      <c r="J39" t="s">
        <v>1531</v>
      </c>
      <c r="K39" s="3">
        <v>920</v>
      </c>
      <c r="L39" s="2">
        <v>0</v>
      </c>
      <c r="M39" s="2">
        <f t="shared" si="0"/>
        <v>920</v>
      </c>
      <c r="N39" s="2">
        <f t="shared" si="1"/>
        <v>46</v>
      </c>
      <c r="O39" s="7">
        <v>46</v>
      </c>
      <c r="P39" s="2">
        <v>0</v>
      </c>
      <c r="Q39" s="2">
        <v>966</v>
      </c>
      <c r="R39" t="s">
        <v>45</v>
      </c>
      <c r="T39" t="s">
        <v>27</v>
      </c>
      <c r="U39" t="s">
        <v>1532</v>
      </c>
    </row>
    <row r="40" spans="1:21" x14ac:dyDescent="0.3">
      <c r="A40">
        <v>491</v>
      </c>
      <c r="B40" t="s">
        <v>1527</v>
      </c>
      <c r="C40" t="s">
        <v>24</v>
      </c>
      <c r="D40" t="s">
        <v>1528</v>
      </c>
      <c r="J40" t="s">
        <v>1529</v>
      </c>
      <c r="K40" s="3">
        <v>1520</v>
      </c>
      <c r="L40" s="2">
        <v>0</v>
      </c>
      <c r="M40" s="2">
        <f t="shared" si="0"/>
        <v>1520</v>
      </c>
      <c r="N40" s="2">
        <f t="shared" si="1"/>
        <v>76</v>
      </c>
      <c r="O40" s="7">
        <v>76</v>
      </c>
      <c r="P40" s="2">
        <v>0</v>
      </c>
      <c r="Q40" s="2">
        <v>1596</v>
      </c>
      <c r="R40" t="s">
        <v>45</v>
      </c>
      <c r="T40" t="s">
        <v>27</v>
      </c>
      <c r="U40" t="s">
        <v>1530</v>
      </c>
    </row>
    <row r="41" spans="1:21" x14ac:dyDescent="0.3">
      <c r="A41">
        <v>492</v>
      </c>
      <c r="B41" t="s">
        <v>1523</v>
      </c>
      <c r="C41" t="s">
        <v>24</v>
      </c>
      <c r="D41" t="s">
        <v>1524</v>
      </c>
      <c r="J41" t="s">
        <v>1525</v>
      </c>
      <c r="K41" s="3">
        <v>1005</v>
      </c>
      <c r="L41" s="2">
        <v>0</v>
      </c>
      <c r="M41" s="2">
        <f t="shared" si="0"/>
        <v>1005</v>
      </c>
      <c r="N41" s="2">
        <f t="shared" si="1"/>
        <v>50.25</v>
      </c>
      <c r="O41" s="7">
        <v>50.26</v>
      </c>
      <c r="P41" s="2">
        <v>-0.26</v>
      </c>
      <c r="Q41" s="2">
        <v>1055</v>
      </c>
      <c r="R41" t="s">
        <v>31</v>
      </c>
      <c r="T41" t="s">
        <v>27</v>
      </c>
      <c r="U41" t="s">
        <v>1526</v>
      </c>
    </row>
    <row r="42" spans="1:21" x14ac:dyDescent="0.3">
      <c r="A42">
        <v>493</v>
      </c>
      <c r="B42" t="s">
        <v>1519</v>
      </c>
      <c r="C42" t="s">
        <v>24</v>
      </c>
      <c r="D42" t="s">
        <v>1520</v>
      </c>
      <c r="J42" t="s">
        <v>1521</v>
      </c>
      <c r="K42" s="3">
        <v>1400</v>
      </c>
      <c r="L42" s="2">
        <v>0</v>
      </c>
      <c r="M42" s="2">
        <f t="shared" si="0"/>
        <v>1400</v>
      </c>
      <c r="N42" s="2">
        <f t="shared" si="1"/>
        <v>70</v>
      </c>
      <c r="O42" s="7">
        <v>70</v>
      </c>
      <c r="P42" s="2">
        <v>0</v>
      </c>
      <c r="Q42" s="2">
        <v>1470</v>
      </c>
      <c r="R42" t="s">
        <v>45</v>
      </c>
      <c r="T42" t="s">
        <v>27</v>
      </c>
      <c r="U42" t="s">
        <v>1522</v>
      </c>
    </row>
    <row r="43" spans="1:21" x14ac:dyDescent="0.3">
      <c r="A43">
        <v>494</v>
      </c>
      <c r="B43" t="s">
        <v>1515</v>
      </c>
      <c r="C43" t="s">
        <v>24</v>
      </c>
      <c r="D43" t="s">
        <v>1516</v>
      </c>
      <c r="J43" t="s">
        <v>1517</v>
      </c>
      <c r="K43" s="3">
        <v>1665</v>
      </c>
      <c r="L43" s="2">
        <v>0</v>
      </c>
      <c r="M43" s="2">
        <f t="shared" si="0"/>
        <v>1665</v>
      </c>
      <c r="N43" s="2">
        <f t="shared" si="1"/>
        <v>83.25</v>
      </c>
      <c r="O43" s="7">
        <v>83.26</v>
      </c>
      <c r="P43" s="2">
        <v>-0.26</v>
      </c>
      <c r="Q43" s="2">
        <v>1748</v>
      </c>
      <c r="R43" t="s">
        <v>45</v>
      </c>
      <c r="T43" t="s">
        <v>27</v>
      </c>
      <c r="U43" t="s">
        <v>1518</v>
      </c>
    </row>
    <row r="44" spans="1:21" x14ac:dyDescent="0.3">
      <c r="A44">
        <v>495</v>
      </c>
      <c r="B44" t="s">
        <v>1511</v>
      </c>
      <c r="C44" t="s">
        <v>24</v>
      </c>
      <c r="D44" t="s">
        <v>1512</v>
      </c>
      <c r="J44" t="s">
        <v>1513</v>
      </c>
      <c r="K44" s="3">
        <v>645</v>
      </c>
      <c r="L44" s="2">
        <v>0</v>
      </c>
      <c r="M44" s="2">
        <f t="shared" si="0"/>
        <v>645</v>
      </c>
      <c r="N44" s="2">
        <f t="shared" si="1"/>
        <v>32.25</v>
      </c>
      <c r="O44" s="7">
        <v>32.26</v>
      </c>
      <c r="P44" s="2">
        <v>-0.26</v>
      </c>
      <c r="Q44" s="2">
        <v>677</v>
      </c>
      <c r="R44" t="s">
        <v>31</v>
      </c>
      <c r="T44" t="s">
        <v>27</v>
      </c>
      <c r="U44" t="s">
        <v>1514</v>
      </c>
    </row>
    <row r="45" spans="1:21" x14ac:dyDescent="0.3">
      <c r="A45">
        <v>496</v>
      </c>
      <c r="B45" t="s">
        <v>67</v>
      </c>
      <c r="C45" t="s">
        <v>24</v>
      </c>
      <c r="J45" t="s">
        <v>1509</v>
      </c>
      <c r="K45" s="3">
        <v>1120</v>
      </c>
      <c r="L45" s="2">
        <v>168</v>
      </c>
      <c r="M45" s="2">
        <f t="shared" si="0"/>
        <v>952</v>
      </c>
      <c r="N45" s="2">
        <f t="shared" si="1"/>
        <v>47.6</v>
      </c>
      <c r="O45" s="7">
        <v>47.6</v>
      </c>
      <c r="P45" s="2">
        <v>0.4</v>
      </c>
      <c r="Q45" s="2">
        <v>1000</v>
      </c>
      <c r="R45" t="s">
        <v>45</v>
      </c>
      <c r="T45" t="s">
        <v>27</v>
      </c>
      <c r="U45" t="s">
        <v>1510</v>
      </c>
    </row>
    <row r="46" spans="1:21" x14ac:dyDescent="0.3">
      <c r="A46">
        <v>497</v>
      </c>
      <c r="B46" t="s">
        <v>932</v>
      </c>
      <c r="C46" t="s">
        <v>24</v>
      </c>
      <c r="D46" t="s">
        <v>933</v>
      </c>
      <c r="J46" t="s">
        <v>1507</v>
      </c>
      <c r="K46" s="3">
        <v>280</v>
      </c>
      <c r="L46" s="2">
        <v>0</v>
      </c>
      <c r="M46" s="2">
        <f t="shared" si="0"/>
        <v>280</v>
      </c>
      <c r="N46" s="2">
        <f t="shared" si="1"/>
        <v>14</v>
      </c>
      <c r="O46" s="7">
        <v>14</v>
      </c>
      <c r="P46" s="2">
        <v>0</v>
      </c>
      <c r="Q46" s="2">
        <v>294</v>
      </c>
      <c r="R46" t="s">
        <v>31</v>
      </c>
      <c r="T46" t="s">
        <v>27</v>
      </c>
      <c r="U46" t="s">
        <v>1508</v>
      </c>
    </row>
    <row r="47" spans="1:21" x14ac:dyDescent="0.3">
      <c r="A47">
        <v>498</v>
      </c>
      <c r="B47" t="s">
        <v>284</v>
      </c>
      <c r="C47" t="s">
        <v>24</v>
      </c>
      <c r="D47" t="s">
        <v>1504</v>
      </c>
      <c r="J47" t="s">
        <v>1505</v>
      </c>
      <c r="K47" s="3">
        <v>1175</v>
      </c>
      <c r="L47" s="2">
        <v>0</v>
      </c>
      <c r="M47" s="2">
        <f t="shared" si="0"/>
        <v>1175</v>
      </c>
      <c r="N47" s="2">
        <f t="shared" si="1"/>
        <v>58.75</v>
      </c>
      <c r="O47" s="7">
        <v>58.76</v>
      </c>
      <c r="P47" s="2">
        <v>0.24</v>
      </c>
      <c r="Q47" s="2">
        <v>1234</v>
      </c>
      <c r="R47" t="s">
        <v>35</v>
      </c>
      <c r="T47" t="s">
        <v>27</v>
      </c>
      <c r="U47" t="s">
        <v>1506</v>
      </c>
    </row>
    <row r="48" spans="1:21" x14ac:dyDescent="0.3">
      <c r="A48">
        <v>499</v>
      </c>
      <c r="B48" t="s">
        <v>1501</v>
      </c>
      <c r="C48" t="s">
        <v>24</v>
      </c>
      <c r="D48" t="s">
        <v>1502</v>
      </c>
      <c r="J48" t="s">
        <v>807</v>
      </c>
      <c r="K48" s="3">
        <v>290</v>
      </c>
      <c r="L48" s="2">
        <v>0</v>
      </c>
      <c r="M48" s="2">
        <f t="shared" si="0"/>
        <v>290</v>
      </c>
      <c r="N48" s="2">
        <f t="shared" si="1"/>
        <v>14.5</v>
      </c>
      <c r="O48" s="7">
        <v>14.5</v>
      </c>
      <c r="P48" s="2">
        <v>0.5</v>
      </c>
      <c r="Q48" s="2">
        <v>305</v>
      </c>
      <c r="R48" t="s">
        <v>45</v>
      </c>
      <c r="T48" t="s">
        <v>27</v>
      </c>
      <c r="U48" t="s">
        <v>1503</v>
      </c>
    </row>
    <row r="49" spans="1:21" x14ac:dyDescent="0.3">
      <c r="A49">
        <v>500</v>
      </c>
      <c r="B49" t="s">
        <v>67</v>
      </c>
      <c r="C49" t="s">
        <v>24</v>
      </c>
      <c r="J49" t="s">
        <v>129</v>
      </c>
      <c r="K49" s="3">
        <v>325</v>
      </c>
      <c r="L49" s="2">
        <v>0</v>
      </c>
      <c r="M49" s="2">
        <f t="shared" si="0"/>
        <v>325</v>
      </c>
      <c r="N49" s="2">
        <f t="shared" si="1"/>
        <v>16.25</v>
      </c>
      <c r="O49" s="7">
        <v>16.260000000000002</v>
      </c>
      <c r="P49" s="2">
        <v>-0.26</v>
      </c>
      <c r="Q49" s="2">
        <v>341</v>
      </c>
      <c r="R49" t="s">
        <v>45</v>
      </c>
      <c r="T49" t="s">
        <v>27</v>
      </c>
      <c r="U49" t="s">
        <v>1500</v>
      </c>
    </row>
    <row r="50" spans="1:21" x14ac:dyDescent="0.3">
      <c r="A50">
        <v>501</v>
      </c>
      <c r="B50" t="s">
        <v>43</v>
      </c>
      <c r="C50" t="s">
        <v>24</v>
      </c>
      <c r="D50" t="s">
        <v>1445</v>
      </c>
      <c r="J50" t="s">
        <v>725</v>
      </c>
      <c r="K50" s="3">
        <v>280</v>
      </c>
      <c r="L50" s="2">
        <v>0</v>
      </c>
      <c r="M50" s="2">
        <f t="shared" si="0"/>
        <v>280</v>
      </c>
      <c r="N50" s="2">
        <f t="shared" si="1"/>
        <v>14</v>
      </c>
      <c r="O50" s="7">
        <v>14</v>
      </c>
      <c r="P50" s="2">
        <v>0</v>
      </c>
      <c r="Q50" s="2">
        <v>294</v>
      </c>
      <c r="R50" t="s">
        <v>45</v>
      </c>
      <c r="T50" t="s">
        <v>27</v>
      </c>
      <c r="U50" t="s">
        <v>1499</v>
      </c>
    </row>
    <row r="51" spans="1:21" x14ac:dyDescent="0.3">
      <c r="A51">
        <v>502</v>
      </c>
      <c r="B51" t="s">
        <v>1496</v>
      </c>
      <c r="C51" t="s">
        <v>24</v>
      </c>
      <c r="D51" t="s">
        <v>1497</v>
      </c>
      <c r="J51" t="s">
        <v>1089</v>
      </c>
      <c r="K51" s="3">
        <v>0</v>
      </c>
      <c r="L51" s="2">
        <v>0</v>
      </c>
      <c r="M51" s="2">
        <f t="shared" si="0"/>
        <v>0</v>
      </c>
      <c r="N51" s="2">
        <f t="shared" si="1"/>
        <v>0</v>
      </c>
      <c r="O51" s="7">
        <v>0</v>
      </c>
      <c r="P51" s="2">
        <v>0</v>
      </c>
      <c r="Q51" s="2">
        <v>0</v>
      </c>
      <c r="R51" t="s">
        <v>35</v>
      </c>
      <c r="T51" t="s">
        <v>27</v>
      </c>
      <c r="U51" t="s">
        <v>1498</v>
      </c>
    </row>
    <row r="52" spans="1:21" x14ac:dyDescent="0.3">
      <c r="A52">
        <v>503</v>
      </c>
      <c r="B52" t="s">
        <v>1493</v>
      </c>
      <c r="C52" t="s">
        <v>24</v>
      </c>
      <c r="D52" t="s">
        <v>1435</v>
      </c>
      <c r="J52" t="s">
        <v>1494</v>
      </c>
      <c r="K52" s="3">
        <v>0</v>
      </c>
      <c r="L52" s="2">
        <v>0</v>
      </c>
      <c r="M52" s="2">
        <f t="shared" si="0"/>
        <v>0</v>
      </c>
      <c r="N52" s="2">
        <f t="shared" si="1"/>
        <v>0</v>
      </c>
      <c r="O52" s="7">
        <v>0</v>
      </c>
      <c r="P52" s="2">
        <v>0</v>
      </c>
      <c r="Q52" s="2">
        <v>0</v>
      </c>
      <c r="R52" t="s">
        <v>35</v>
      </c>
      <c r="T52" t="s">
        <v>27</v>
      </c>
      <c r="U52" t="s">
        <v>1495</v>
      </c>
    </row>
    <row r="53" spans="1:21" x14ac:dyDescent="0.3">
      <c r="A53">
        <v>504</v>
      </c>
      <c r="B53" t="s">
        <v>67</v>
      </c>
      <c r="C53" t="s">
        <v>24</v>
      </c>
      <c r="J53" t="s">
        <v>1491</v>
      </c>
      <c r="K53" s="3">
        <v>2575</v>
      </c>
      <c r="L53" s="2">
        <v>0</v>
      </c>
      <c r="M53" s="2">
        <f t="shared" si="0"/>
        <v>2575</v>
      </c>
      <c r="N53" s="2">
        <f t="shared" si="1"/>
        <v>128.75</v>
      </c>
      <c r="O53" s="7">
        <v>128.76</v>
      </c>
      <c r="P53" s="2">
        <v>0.24</v>
      </c>
      <c r="Q53" s="2">
        <v>2704</v>
      </c>
      <c r="R53" t="s">
        <v>31</v>
      </c>
      <c r="T53" t="s">
        <v>27</v>
      </c>
      <c r="U53" t="s">
        <v>1492</v>
      </c>
    </row>
    <row r="54" spans="1:21" x14ac:dyDescent="0.3">
      <c r="A54">
        <v>505</v>
      </c>
      <c r="B54" t="s">
        <v>33</v>
      </c>
      <c r="C54" t="s">
        <v>24</v>
      </c>
      <c r="D54" t="s">
        <v>1489</v>
      </c>
      <c r="J54" t="s">
        <v>2009</v>
      </c>
      <c r="K54" s="3">
        <v>4280</v>
      </c>
      <c r="L54" s="2">
        <v>0</v>
      </c>
      <c r="M54" s="2">
        <f t="shared" si="0"/>
        <v>4280</v>
      </c>
      <c r="N54" s="2">
        <f t="shared" si="1"/>
        <v>214</v>
      </c>
      <c r="O54" s="7">
        <v>214</v>
      </c>
      <c r="P54" s="2">
        <v>0</v>
      </c>
      <c r="Q54" s="2">
        <v>4494</v>
      </c>
      <c r="R54" t="s">
        <v>45</v>
      </c>
      <c r="T54" t="s">
        <v>27</v>
      </c>
      <c r="U54" t="s">
        <v>1490</v>
      </c>
    </row>
    <row r="55" spans="1:21" x14ac:dyDescent="0.3">
      <c r="A55">
        <v>506</v>
      </c>
      <c r="B55" t="s">
        <v>50</v>
      </c>
      <c r="C55" t="s">
        <v>24</v>
      </c>
      <c r="J55" t="s">
        <v>1487</v>
      </c>
      <c r="K55" s="3">
        <v>1040</v>
      </c>
      <c r="L55" s="2">
        <v>208</v>
      </c>
      <c r="M55" s="2">
        <f t="shared" si="0"/>
        <v>832</v>
      </c>
      <c r="N55" s="2">
        <f t="shared" si="1"/>
        <v>41.6</v>
      </c>
      <c r="O55" s="7">
        <v>41.6</v>
      </c>
      <c r="P55" s="2">
        <v>0.4</v>
      </c>
      <c r="Q55" s="2">
        <v>874</v>
      </c>
      <c r="R55" t="s">
        <v>45</v>
      </c>
      <c r="T55" t="s">
        <v>27</v>
      </c>
      <c r="U55" t="s">
        <v>1488</v>
      </c>
    </row>
    <row r="56" spans="1:21" x14ac:dyDescent="0.3">
      <c r="A56">
        <v>507</v>
      </c>
      <c r="B56" t="s">
        <v>74</v>
      </c>
      <c r="C56" t="s">
        <v>24</v>
      </c>
      <c r="J56" t="s">
        <v>1485</v>
      </c>
      <c r="K56" s="3">
        <v>585</v>
      </c>
      <c r="L56" s="2">
        <v>0</v>
      </c>
      <c r="M56" s="2">
        <f t="shared" si="0"/>
        <v>585</v>
      </c>
      <c r="N56" s="2">
        <f t="shared" si="1"/>
        <v>29.25</v>
      </c>
      <c r="O56" s="7">
        <v>29.26</v>
      </c>
      <c r="P56" s="2">
        <v>-0.26</v>
      </c>
      <c r="Q56" s="2">
        <v>614</v>
      </c>
      <c r="R56" t="s">
        <v>45</v>
      </c>
      <c r="S56" t="s">
        <v>1428</v>
      </c>
      <c r="T56" t="s">
        <v>27</v>
      </c>
      <c r="U56" t="s">
        <v>1486</v>
      </c>
    </row>
    <row r="57" spans="1:21" x14ac:dyDescent="0.3">
      <c r="A57">
        <v>508</v>
      </c>
      <c r="B57" t="s">
        <v>56</v>
      </c>
      <c r="C57" t="s">
        <v>24</v>
      </c>
      <c r="J57" t="s">
        <v>1483</v>
      </c>
      <c r="K57" s="3">
        <v>2200</v>
      </c>
      <c r="L57" s="2">
        <v>0</v>
      </c>
      <c r="M57" s="2">
        <f t="shared" si="0"/>
        <v>2200</v>
      </c>
      <c r="N57" s="2">
        <f t="shared" si="1"/>
        <v>110</v>
      </c>
      <c r="O57" s="7">
        <v>110</v>
      </c>
      <c r="P57" s="2">
        <v>0</v>
      </c>
      <c r="Q57" s="2">
        <v>2310</v>
      </c>
      <c r="R57" t="s">
        <v>45</v>
      </c>
      <c r="T57" t="s">
        <v>27</v>
      </c>
      <c r="U57" t="s">
        <v>1484</v>
      </c>
    </row>
    <row r="58" spans="1:21" x14ac:dyDescent="0.3">
      <c r="A58">
        <v>509</v>
      </c>
      <c r="B58" t="s">
        <v>64</v>
      </c>
      <c r="C58" t="s">
        <v>24</v>
      </c>
      <c r="J58" t="s">
        <v>1481</v>
      </c>
      <c r="K58" s="3">
        <v>640</v>
      </c>
      <c r="L58" s="2">
        <v>0</v>
      </c>
      <c r="M58" s="2">
        <f t="shared" si="0"/>
        <v>640</v>
      </c>
      <c r="N58" s="2">
        <f t="shared" si="1"/>
        <v>32</v>
      </c>
      <c r="O58" s="7">
        <v>32</v>
      </c>
      <c r="P58" s="2">
        <v>0</v>
      </c>
      <c r="Q58" s="2">
        <v>672</v>
      </c>
      <c r="R58" t="s">
        <v>45</v>
      </c>
      <c r="T58" t="s">
        <v>27</v>
      </c>
      <c r="U58" t="s">
        <v>1482</v>
      </c>
    </row>
    <row r="59" spans="1:21" x14ac:dyDescent="0.3">
      <c r="A59">
        <v>510</v>
      </c>
      <c r="B59" t="s">
        <v>1478</v>
      </c>
      <c r="C59" t="s">
        <v>24</v>
      </c>
      <c r="D59" t="s">
        <v>1479</v>
      </c>
      <c r="J59" t="s">
        <v>254</v>
      </c>
      <c r="K59" s="3">
        <v>995</v>
      </c>
      <c r="L59" s="2">
        <v>0</v>
      </c>
      <c r="M59" s="2">
        <f t="shared" si="0"/>
        <v>995</v>
      </c>
      <c r="N59" s="2">
        <f t="shared" si="1"/>
        <v>49.75</v>
      </c>
      <c r="O59" s="7">
        <v>49.76</v>
      </c>
      <c r="P59" s="2">
        <v>0.24</v>
      </c>
      <c r="Q59" s="2">
        <v>1045</v>
      </c>
      <c r="R59" t="s">
        <v>35</v>
      </c>
      <c r="T59" t="s">
        <v>27</v>
      </c>
      <c r="U59" t="s">
        <v>1480</v>
      </c>
    </row>
    <row r="60" spans="1:21" x14ac:dyDescent="0.3">
      <c r="A60">
        <v>511</v>
      </c>
      <c r="B60" t="s">
        <v>682</v>
      </c>
      <c r="C60" t="s">
        <v>24</v>
      </c>
      <c r="J60" t="s">
        <v>1245</v>
      </c>
      <c r="K60" s="3">
        <v>190</v>
      </c>
      <c r="L60" s="2">
        <v>0</v>
      </c>
      <c r="M60" s="2">
        <f t="shared" si="0"/>
        <v>190</v>
      </c>
      <c r="N60" s="2">
        <f t="shared" si="1"/>
        <v>9.5</v>
      </c>
      <c r="O60" s="7">
        <v>9.5</v>
      </c>
      <c r="P60" s="2">
        <v>0.5</v>
      </c>
      <c r="Q60" s="2">
        <v>200</v>
      </c>
      <c r="R60" t="s">
        <v>35</v>
      </c>
      <c r="T60" t="s">
        <v>27</v>
      </c>
      <c r="U60" t="s">
        <v>1477</v>
      </c>
    </row>
    <row r="61" spans="1:21" x14ac:dyDescent="0.3">
      <c r="A61">
        <v>512</v>
      </c>
      <c r="B61" t="s">
        <v>23</v>
      </c>
      <c r="C61" t="s">
        <v>24</v>
      </c>
      <c r="J61" t="s">
        <v>1475</v>
      </c>
      <c r="K61" s="3">
        <v>1035</v>
      </c>
      <c r="L61" s="2">
        <v>155.25</v>
      </c>
      <c r="M61" s="2">
        <f t="shared" si="0"/>
        <v>879.75</v>
      </c>
      <c r="N61" s="2">
        <f t="shared" si="1"/>
        <v>43.987500000000004</v>
      </c>
      <c r="O61" s="7">
        <v>43.98</v>
      </c>
      <c r="P61" s="2">
        <v>0.27</v>
      </c>
      <c r="Q61" s="2">
        <v>924</v>
      </c>
      <c r="R61" t="s">
        <v>45</v>
      </c>
      <c r="T61" t="s">
        <v>27</v>
      </c>
      <c r="U61" t="s">
        <v>1476</v>
      </c>
    </row>
    <row r="62" spans="1:21" x14ac:dyDescent="0.3">
      <c r="A62">
        <v>513</v>
      </c>
      <c r="B62" t="s">
        <v>259</v>
      </c>
      <c r="C62" t="s">
        <v>24</v>
      </c>
      <c r="D62" t="s">
        <v>1472</v>
      </c>
      <c r="J62" t="s">
        <v>1473</v>
      </c>
      <c r="K62" s="3">
        <v>1460</v>
      </c>
      <c r="L62" s="2">
        <v>0</v>
      </c>
      <c r="M62" s="2">
        <f t="shared" si="0"/>
        <v>1460</v>
      </c>
      <c r="N62" s="2">
        <f t="shared" si="1"/>
        <v>73</v>
      </c>
      <c r="O62" s="7">
        <v>67</v>
      </c>
      <c r="P62" s="2">
        <v>0</v>
      </c>
      <c r="Q62" s="2">
        <v>1527</v>
      </c>
      <c r="R62" t="s">
        <v>45</v>
      </c>
      <c r="T62" t="s">
        <v>27</v>
      </c>
      <c r="U62" t="s">
        <v>1474</v>
      </c>
    </row>
    <row r="63" spans="1:21" x14ac:dyDescent="0.3">
      <c r="A63">
        <v>514</v>
      </c>
      <c r="B63" t="s">
        <v>1468</v>
      </c>
      <c r="C63" t="s">
        <v>24</v>
      </c>
      <c r="D63" t="s">
        <v>1469</v>
      </c>
      <c r="J63" t="s">
        <v>1470</v>
      </c>
      <c r="K63" s="3">
        <v>1575</v>
      </c>
      <c r="L63" s="2">
        <v>236.25</v>
      </c>
      <c r="M63" s="2">
        <f t="shared" si="0"/>
        <v>1338.75</v>
      </c>
      <c r="N63" s="2">
        <f t="shared" si="1"/>
        <v>66.9375</v>
      </c>
      <c r="O63" s="7">
        <v>66.94</v>
      </c>
      <c r="P63" s="2">
        <v>0.31</v>
      </c>
      <c r="Q63" s="2">
        <v>1406</v>
      </c>
      <c r="R63" t="s">
        <v>31</v>
      </c>
      <c r="T63" t="s">
        <v>27</v>
      </c>
      <c r="U63" t="s">
        <v>1471</v>
      </c>
    </row>
    <row r="64" spans="1:21" x14ac:dyDescent="0.3">
      <c r="A64">
        <v>515</v>
      </c>
      <c r="B64" t="s">
        <v>74</v>
      </c>
      <c r="C64" t="s">
        <v>24</v>
      </c>
      <c r="J64" t="s">
        <v>1466</v>
      </c>
      <c r="K64" s="3">
        <v>440</v>
      </c>
      <c r="L64" s="2">
        <v>0</v>
      </c>
      <c r="M64" s="2">
        <f t="shared" si="0"/>
        <v>440</v>
      </c>
      <c r="N64" s="2">
        <f t="shared" si="1"/>
        <v>22</v>
      </c>
      <c r="O64" s="7">
        <v>22</v>
      </c>
      <c r="P64" s="2">
        <v>0</v>
      </c>
      <c r="Q64" s="2">
        <v>462</v>
      </c>
      <c r="R64" t="s">
        <v>45</v>
      </c>
      <c r="T64" t="s">
        <v>27</v>
      </c>
      <c r="U64" t="s">
        <v>1467</v>
      </c>
    </row>
    <row r="65" spans="1:21" x14ac:dyDescent="0.3">
      <c r="A65">
        <v>516</v>
      </c>
      <c r="B65" t="s">
        <v>1463</v>
      </c>
      <c r="C65" t="s">
        <v>24</v>
      </c>
      <c r="D65" t="s">
        <v>1464</v>
      </c>
      <c r="J65" t="s">
        <v>783</v>
      </c>
      <c r="K65" s="3">
        <v>520</v>
      </c>
      <c r="L65" s="2">
        <v>0</v>
      </c>
      <c r="M65" s="2">
        <f t="shared" si="0"/>
        <v>520</v>
      </c>
      <c r="N65" s="2">
        <f t="shared" si="1"/>
        <v>26</v>
      </c>
      <c r="O65" s="7">
        <v>26</v>
      </c>
      <c r="P65" s="2">
        <v>0</v>
      </c>
      <c r="Q65" s="2">
        <v>546</v>
      </c>
      <c r="R65" t="s">
        <v>31</v>
      </c>
      <c r="T65" t="s">
        <v>27</v>
      </c>
      <c r="U65" t="s">
        <v>1465</v>
      </c>
    </row>
    <row r="66" spans="1:21" x14ac:dyDescent="0.3">
      <c r="A66">
        <v>517</v>
      </c>
      <c r="B66" t="s">
        <v>1459</v>
      </c>
      <c r="C66" t="s">
        <v>24</v>
      </c>
      <c r="D66" t="s">
        <v>1460</v>
      </c>
      <c r="J66" t="s">
        <v>1461</v>
      </c>
      <c r="K66" s="3">
        <v>1550</v>
      </c>
      <c r="L66" s="2">
        <v>0</v>
      </c>
      <c r="M66" s="2">
        <f t="shared" si="0"/>
        <v>1550</v>
      </c>
      <c r="N66" s="2">
        <f t="shared" si="1"/>
        <v>77.5</v>
      </c>
      <c r="O66" s="7">
        <v>77.5</v>
      </c>
      <c r="P66" s="2">
        <v>0.5</v>
      </c>
      <c r="Q66" s="2">
        <v>1628</v>
      </c>
      <c r="R66" t="s">
        <v>31</v>
      </c>
      <c r="T66" t="s">
        <v>27</v>
      </c>
      <c r="U66" t="s">
        <v>1462</v>
      </c>
    </row>
    <row r="67" spans="1:21" x14ac:dyDescent="0.3">
      <c r="A67">
        <v>518</v>
      </c>
      <c r="B67" t="s">
        <v>1455</v>
      </c>
      <c r="C67" t="s">
        <v>24</v>
      </c>
      <c r="D67" t="s">
        <v>1456</v>
      </c>
      <c r="J67" t="s">
        <v>1457</v>
      </c>
      <c r="K67" s="3">
        <v>240</v>
      </c>
      <c r="L67" s="2">
        <v>0</v>
      </c>
      <c r="M67" s="2">
        <f t="shared" si="0"/>
        <v>240</v>
      </c>
      <c r="N67" s="2">
        <f t="shared" si="1"/>
        <v>12</v>
      </c>
      <c r="O67" s="7">
        <v>12</v>
      </c>
      <c r="P67" s="2">
        <v>0</v>
      </c>
      <c r="Q67" s="2">
        <v>252</v>
      </c>
      <c r="R67" t="s">
        <v>45</v>
      </c>
      <c r="T67" t="s">
        <v>27</v>
      </c>
      <c r="U67" t="s">
        <v>1458</v>
      </c>
    </row>
    <row r="68" spans="1:21" x14ac:dyDescent="0.3">
      <c r="A68">
        <v>519</v>
      </c>
      <c r="B68" t="s">
        <v>1451</v>
      </c>
      <c r="C68" t="s">
        <v>24</v>
      </c>
      <c r="D68" t="s">
        <v>1452</v>
      </c>
      <c r="J68" t="s">
        <v>1453</v>
      </c>
      <c r="K68" s="3">
        <v>540</v>
      </c>
      <c r="L68" s="2">
        <v>0</v>
      </c>
      <c r="M68" s="2">
        <f t="shared" si="0"/>
        <v>540</v>
      </c>
      <c r="N68" s="2">
        <f t="shared" si="1"/>
        <v>27</v>
      </c>
      <c r="O68" s="7">
        <v>27</v>
      </c>
      <c r="P68" s="2">
        <v>0</v>
      </c>
      <c r="Q68" s="2">
        <v>567</v>
      </c>
      <c r="R68" t="s">
        <v>31</v>
      </c>
      <c r="T68" t="s">
        <v>27</v>
      </c>
      <c r="U68" t="s">
        <v>1454</v>
      </c>
    </row>
    <row r="69" spans="1:21" x14ac:dyDescent="0.3">
      <c r="A69">
        <v>520</v>
      </c>
      <c r="B69" t="s">
        <v>1317</v>
      </c>
      <c r="C69" t="s">
        <v>24</v>
      </c>
      <c r="D69" t="s">
        <v>1318</v>
      </c>
      <c r="J69" t="s">
        <v>332</v>
      </c>
      <c r="K69" s="3">
        <v>250</v>
      </c>
      <c r="L69" s="2">
        <v>0</v>
      </c>
      <c r="M69" s="2">
        <f t="shared" si="0"/>
        <v>250</v>
      </c>
      <c r="N69" s="2">
        <f t="shared" si="1"/>
        <v>12.5</v>
      </c>
      <c r="O69" s="7">
        <v>12.5</v>
      </c>
      <c r="P69" s="2">
        <v>0.5</v>
      </c>
      <c r="Q69" s="2">
        <v>263</v>
      </c>
      <c r="R69" t="s">
        <v>45</v>
      </c>
      <c r="T69" t="s">
        <v>27</v>
      </c>
      <c r="U69" t="s">
        <v>1450</v>
      </c>
    </row>
    <row r="70" spans="1:21" x14ac:dyDescent="0.3">
      <c r="A70">
        <v>521</v>
      </c>
      <c r="B70" t="s">
        <v>67</v>
      </c>
      <c r="C70" t="s">
        <v>24</v>
      </c>
      <c r="J70" t="s">
        <v>1448</v>
      </c>
      <c r="K70" s="3">
        <v>295</v>
      </c>
      <c r="L70" s="2">
        <v>0</v>
      </c>
      <c r="M70" s="2">
        <f t="shared" si="0"/>
        <v>295</v>
      </c>
      <c r="N70" s="2">
        <f t="shared" si="1"/>
        <v>14.75</v>
      </c>
      <c r="O70" s="7">
        <v>14.76</v>
      </c>
      <c r="P70" s="2">
        <v>0.24</v>
      </c>
      <c r="Q70" s="2">
        <v>310</v>
      </c>
      <c r="R70" t="s">
        <v>45</v>
      </c>
      <c r="T70" t="s">
        <v>27</v>
      </c>
      <c r="U70" t="s">
        <v>1449</v>
      </c>
    </row>
    <row r="71" spans="1:21" x14ac:dyDescent="0.3">
      <c r="A71">
        <v>522</v>
      </c>
      <c r="B71" t="s">
        <v>43</v>
      </c>
      <c r="C71" t="s">
        <v>24</v>
      </c>
      <c r="D71" t="s">
        <v>1445</v>
      </c>
      <c r="J71" t="s">
        <v>1446</v>
      </c>
      <c r="K71" s="3">
        <v>715</v>
      </c>
      <c r="L71" s="2">
        <v>0</v>
      </c>
      <c r="M71" s="2">
        <f t="shared" ref="M71:M134" si="2">K71-L71</f>
        <v>715</v>
      </c>
      <c r="N71" s="2">
        <f t="shared" ref="N71:N134" si="3">M71*5%</f>
        <v>35.75</v>
      </c>
      <c r="O71" s="7">
        <v>35.76</v>
      </c>
      <c r="P71" s="2">
        <v>0.24</v>
      </c>
      <c r="Q71" s="2">
        <v>751</v>
      </c>
      <c r="R71" t="s">
        <v>45</v>
      </c>
      <c r="T71" t="s">
        <v>27</v>
      </c>
      <c r="U71" t="s">
        <v>1447</v>
      </c>
    </row>
    <row r="72" spans="1:21" x14ac:dyDescent="0.3">
      <c r="A72">
        <v>523</v>
      </c>
      <c r="B72" t="s">
        <v>762</v>
      </c>
      <c r="C72" t="s">
        <v>24</v>
      </c>
      <c r="D72" t="s">
        <v>1442</v>
      </c>
      <c r="J72" t="s">
        <v>1443</v>
      </c>
      <c r="K72" s="3">
        <v>670</v>
      </c>
      <c r="L72" s="2">
        <v>0</v>
      </c>
      <c r="M72" s="2">
        <f t="shared" si="2"/>
        <v>670</v>
      </c>
      <c r="N72" s="2">
        <f t="shared" si="3"/>
        <v>33.5</v>
      </c>
      <c r="O72" s="7">
        <v>33.5</v>
      </c>
      <c r="P72" s="2">
        <v>0.5</v>
      </c>
      <c r="Q72" s="2">
        <v>704</v>
      </c>
      <c r="R72" t="s">
        <v>31</v>
      </c>
      <c r="T72" t="s">
        <v>27</v>
      </c>
      <c r="U72" t="s">
        <v>1444</v>
      </c>
    </row>
    <row r="73" spans="1:21" x14ac:dyDescent="0.3">
      <c r="A73">
        <v>524</v>
      </c>
      <c r="B73" t="s">
        <v>1438</v>
      </c>
      <c r="C73" t="s">
        <v>24</v>
      </c>
      <c r="D73" t="s">
        <v>1439</v>
      </c>
      <c r="J73" t="s">
        <v>1440</v>
      </c>
      <c r="K73" s="3">
        <v>0</v>
      </c>
      <c r="L73" s="2">
        <v>0</v>
      </c>
      <c r="M73" s="2">
        <f t="shared" si="2"/>
        <v>0</v>
      </c>
      <c r="N73" s="2">
        <f t="shared" si="3"/>
        <v>0</v>
      </c>
      <c r="O73" s="7">
        <v>0</v>
      </c>
      <c r="P73" s="2">
        <v>0</v>
      </c>
      <c r="Q73" s="2">
        <v>0</v>
      </c>
      <c r="R73" t="s">
        <v>35</v>
      </c>
      <c r="T73" t="s">
        <v>27</v>
      </c>
      <c r="U73" t="s">
        <v>1441</v>
      </c>
    </row>
    <row r="74" spans="1:21" x14ac:dyDescent="0.3">
      <c r="A74">
        <v>525</v>
      </c>
      <c r="B74" t="s">
        <v>1434</v>
      </c>
      <c r="C74" t="s">
        <v>24</v>
      </c>
      <c r="D74" t="s">
        <v>1435</v>
      </c>
      <c r="J74" t="s">
        <v>1436</v>
      </c>
      <c r="K74" s="3">
        <v>0</v>
      </c>
      <c r="L74" s="2">
        <v>0</v>
      </c>
      <c r="M74" s="2">
        <f t="shared" si="2"/>
        <v>0</v>
      </c>
      <c r="N74" s="2">
        <f t="shared" si="3"/>
        <v>0</v>
      </c>
      <c r="O74" s="7">
        <v>0</v>
      </c>
      <c r="P74" s="2">
        <v>0</v>
      </c>
      <c r="Q74" s="2">
        <v>0</v>
      </c>
      <c r="R74" t="s">
        <v>35</v>
      </c>
      <c r="T74" t="s">
        <v>27</v>
      </c>
      <c r="U74" t="s">
        <v>1437</v>
      </c>
    </row>
    <row r="75" spans="1:21" x14ac:dyDescent="0.3">
      <c r="A75">
        <v>526</v>
      </c>
      <c r="B75" t="s">
        <v>1431</v>
      </c>
      <c r="C75" t="s">
        <v>24</v>
      </c>
      <c r="J75" t="s">
        <v>1432</v>
      </c>
      <c r="K75" s="3">
        <v>1370</v>
      </c>
      <c r="L75" s="2">
        <v>0</v>
      </c>
      <c r="M75" s="2">
        <f t="shared" si="2"/>
        <v>1370</v>
      </c>
      <c r="N75" s="2">
        <f t="shared" si="3"/>
        <v>68.5</v>
      </c>
      <c r="O75" s="7">
        <v>68.5</v>
      </c>
      <c r="P75" s="2">
        <v>0.5</v>
      </c>
      <c r="Q75" s="2">
        <v>1439</v>
      </c>
      <c r="R75" t="s">
        <v>45</v>
      </c>
      <c r="T75" t="s">
        <v>27</v>
      </c>
      <c r="U75" t="s">
        <v>1433</v>
      </c>
    </row>
    <row r="76" spans="1:21" x14ac:dyDescent="0.3">
      <c r="A76">
        <v>527</v>
      </c>
      <c r="B76" t="s">
        <v>50</v>
      </c>
      <c r="C76" t="s">
        <v>24</v>
      </c>
      <c r="J76" t="s">
        <v>2008</v>
      </c>
      <c r="K76" s="3">
        <v>4300</v>
      </c>
      <c r="L76" s="2">
        <v>0</v>
      </c>
      <c r="M76" s="2">
        <f t="shared" si="2"/>
        <v>4300</v>
      </c>
      <c r="N76" s="2">
        <f t="shared" si="3"/>
        <v>215</v>
      </c>
      <c r="O76" s="7">
        <v>215</v>
      </c>
      <c r="P76" s="2">
        <v>0</v>
      </c>
      <c r="Q76" s="2">
        <v>4515</v>
      </c>
      <c r="R76" t="s">
        <v>45</v>
      </c>
      <c r="T76" t="s">
        <v>27</v>
      </c>
      <c r="U76" t="s">
        <v>1430</v>
      </c>
    </row>
    <row r="77" spans="1:21" x14ac:dyDescent="0.3">
      <c r="A77">
        <v>528</v>
      </c>
      <c r="B77" t="s">
        <v>23</v>
      </c>
      <c r="C77" t="s">
        <v>24</v>
      </c>
      <c r="J77" t="s">
        <v>556</v>
      </c>
      <c r="K77" s="3">
        <v>240</v>
      </c>
      <c r="L77" s="2">
        <v>0</v>
      </c>
      <c r="M77" s="2">
        <f t="shared" si="2"/>
        <v>240</v>
      </c>
      <c r="N77" s="2">
        <f t="shared" si="3"/>
        <v>12</v>
      </c>
      <c r="O77" s="7">
        <v>12</v>
      </c>
      <c r="P77" s="2">
        <v>0</v>
      </c>
      <c r="Q77" s="2">
        <v>252</v>
      </c>
      <c r="R77" t="s">
        <v>45</v>
      </c>
      <c r="S77" t="s">
        <v>1428</v>
      </c>
      <c r="T77" t="s">
        <v>27</v>
      </c>
      <c r="U77" t="s">
        <v>1429</v>
      </c>
    </row>
    <row r="78" spans="1:21" x14ac:dyDescent="0.3">
      <c r="A78">
        <v>529</v>
      </c>
      <c r="B78" t="s">
        <v>56</v>
      </c>
      <c r="C78" t="s">
        <v>24</v>
      </c>
      <c r="J78" t="s">
        <v>1426</v>
      </c>
      <c r="K78" s="3">
        <v>555</v>
      </c>
      <c r="L78" s="2">
        <v>0</v>
      </c>
      <c r="M78" s="2">
        <f t="shared" si="2"/>
        <v>555</v>
      </c>
      <c r="N78" s="2">
        <f t="shared" si="3"/>
        <v>27.75</v>
      </c>
      <c r="O78" s="7">
        <v>27.76</v>
      </c>
      <c r="P78" s="2">
        <v>0.24</v>
      </c>
      <c r="Q78" s="2">
        <v>583</v>
      </c>
      <c r="R78" t="s">
        <v>35</v>
      </c>
      <c r="T78" t="s">
        <v>27</v>
      </c>
      <c r="U78" t="s">
        <v>1427</v>
      </c>
    </row>
    <row r="79" spans="1:21" x14ac:dyDescent="0.3">
      <c r="A79">
        <v>530</v>
      </c>
      <c r="B79" t="s">
        <v>64</v>
      </c>
      <c r="C79" t="s">
        <v>24</v>
      </c>
      <c r="J79" t="s">
        <v>1424</v>
      </c>
      <c r="K79" s="3">
        <v>1120</v>
      </c>
      <c r="L79" s="2">
        <v>168</v>
      </c>
      <c r="M79" s="2">
        <f t="shared" si="2"/>
        <v>952</v>
      </c>
      <c r="N79" s="2">
        <f t="shared" si="3"/>
        <v>47.6</v>
      </c>
      <c r="O79" s="7">
        <v>47.6</v>
      </c>
      <c r="P79" s="2">
        <v>0.4</v>
      </c>
      <c r="Q79" s="2">
        <v>1000</v>
      </c>
      <c r="R79" t="s">
        <v>31</v>
      </c>
      <c r="T79" t="s">
        <v>27</v>
      </c>
      <c r="U79" t="s">
        <v>1425</v>
      </c>
    </row>
    <row r="80" spans="1:21" x14ac:dyDescent="0.3">
      <c r="A80">
        <v>531</v>
      </c>
      <c r="B80" t="s">
        <v>74</v>
      </c>
      <c r="C80" t="s">
        <v>24</v>
      </c>
      <c r="J80" t="s">
        <v>1422</v>
      </c>
      <c r="K80" s="3">
        <v>1505</v>
      </c>
      <c r="L80" s="2">
        <v>0</v>
      </c>
      <c r="M80" s="2">
        <f t="shared" si="2"/>
        <v>1505</v>
      </c>
      <c r="N80" s="2">
        <f t="shared" si="3"/>
        <v>75.25</v>
      </c>
      <c r="O80" s="7">
        <v>75.260000000000005</v>
      </c>
      <c r="P80" s="2">
        <v>-0.26</v>
      </c>
      <c r="Q80" s="2">
        <v>1580</v>
      </c>
      <c r="R80" t="s">
        <v>45</v>
      </c>
      <c r="T80" t="s">
        <v>27</v>
      </c>
      <c r="U80" t="s">
        <v>1423</v>
      </c>
    </row>
    <row r="81" spans="1:21" x14ac:dyDescent="0.3">
      <c r="A81">
        <v>532</v>
      </c>
      <c r="B81" t="s">
        <v>1419</v>
      </c>
      <c r="C81" t="s">
        <v>24</v>
      </c>
      <c r="D81" t="s">
        <v>1420</v>
      </c>
      <c r="J81" t="s">
        <v>725</v>
      </c>
      <c r="K81" s="3">
        <v>280</v>
      </c>
      <c r="L81" s="2">
        <v>0</v>
      </c>
      <c r="M81" s="2">
        <f t="shared" si="2"/>
        <v>280</v>
      </c>
      <c r="N81" s="2">
        <f t="shared" si="3"/>
        <v>14</v>
      </c>
      <c r="O81" s="7">
        <v>14</v>
      </c>
      <c r="P81" s="2">
        <v>0</v>
      </c>
      <c r="Q81" s="2">
        <v>294</v>
      </c>
      <c r="R81" t="s">
        <v>35</v>
      </c>
      <c r="T81" t="s">
        <v>27</v>
      </c>
      <c r="U81" t="s">
        <v>1421</v>
      </c>
    </row>
    <row r="82" spans="1:21" x14ac:dyDescent="0.3">
      <c r="A82">
        <v>533</v>
      </c>
      <c r="B82" t="s">
        <v>23</v>
      </c>
      <c r="C82" t="s">
        <v>24</v>
      </c>
      <c r="J82" t="s">
        <v>1417</v>
      </c>
      <c r="K82" s="3">
        <v>1040</v>
      </c>
      <c r="L82" s="2">
        <v>0</v>
      </c>
      <c r="M82" s="2">
        <f t="shared" si="2"/>
        <v>1040</v>
      </c>
      <c r="N82" s="2">
        <f t="shared" si="3"/>
        <v>52</v>
      </c>
      <c r="O82" s="7">
        <v>52</v>
      </c>
      <c r="P82" s="2">
        <v>0</v>
      </c>
      <c r="Q82" s="2">
        <v>1092</v>
      </c>
      <c r="R82" t="s">
        <v>45</v>
      </c>
      <c r="T82" t="s">
        <v>27</v>
      </c>
      <c r="U82" t="s">
        <v>1418</v>
      </c>
    </row>
    <row r="83" spans="1:21" x14ac:dyDescent="0.3">
      <c r="A83">
        <v>534</v>
      </c>
      <c r="B83" t="s">
        <v>1413</v>
      </c>
      <c r="C83" t="s">
        <v>24</v>
      </c>
      <c r="D83" t="s">
        <v>1414</v>
      </c>
      <c r="J83" t="s">
        <v>1415</v>
      </c>
      <c r="K83" s="3">
        <v>615</v>
      </c>
      <c r="L83" s="2">
        <v>0</v>
      </c>
      <c r="M83" s="2">
        <f t="shared" si="2"/>
        <v>615</v>
      </c>
      <c r="N83" s="2">
        <f t="shared" si="3"/>
        <v>30.75</v>
      </c>
      <c r="O83" s="7">
        <v>30.76</v>
      </c>
      <c r="P83" s="2">
        <v>0.24</v>
      </c>
      <c r="Q83" s="2">
        <v>646</v>
      </c>
      <c r="R83" t="s">
        <v>45</v>
      </c>
      <c r="T83" t="s">
        <v>27</v>
      </c>
      <c r="U83" t="s">
        <v>1416</v>
      </c>
    </row>
    <row r="84" spans="1:21" x14ac:dyDescent="0.3">
      <c r="A84">
        <v>535</v>
      </c>
      <c r="B84" t="s">
        <v>67</v>
      </c>
      <c r="C84" t="s">
        <v>24</v>
      </c>
      <c r="J84" t="s">
        <v>1411</v>
      </c>
      <c r="K84" s="3">
        <v>750</v>
      </c>
      <c r="L84" s="2">
        <v>0</v>
      </c>
      <c r="M84" s="2">
        <f t="shared" si="2"/>
        <v>750</v>
      </c>
      <c r="N84" s="2">
        <f t="shared" si="3"/>
        <v>37.5</v>
      </c>
      <c r="O84" s="7">
        <v>37.5</v>
      </c>
      <c r="P84" s="2">
        <v>0.5</v>
      </c>
      <c r="Q84" s="2">
        <v>788</v>
      </c>
      <c r="R84" t="s">
        <v>35</v>
      </c>
      <c r="T84" t="s">
        <v>27</v>
      </c>
      <c r="U84" t="s">
        <v>1412</v>
      </c>
    </row>
    <row r="85" spans="1:21" x14ac:dyDescent="0.3">
      <c r="A85">
        <v>536</v>
      </c>
      <c r="B85" t="s">
        <v>1407</v>
      </c>
      <c r="C85" t="s">
        <v>24</v>
      </c>
      <c r="D85" t="s">
        <v>1408</v>
      </c>
      <c r="J85" t="s">
        <v>1409</v>
      </c>
      <c r="K85" s="3">
        <v>3200</v>
      </c>
      <c r="L85" s="2">
        <v>0</v>
      </c>
      <c r="M85" s="2">
        <f t="shared" si="2"/>
        <v>3200</v>
      </c>
      <c r="N85" s="2">
        <f t="shared" si="3"/>
        <v>160</v>
      </c>
      <c r="O85" s="7">
        <v>160</v>
      </c>
      <c r="P85" s="2">
        <v>0</v>
      </c>
      <c r="Q85" s="2">
        <v>3360</v>
      </c>
      <c r="R85" t="s">
        <v>45</v>
      </c>
      <c r="T85" t="s">
        <v>27</v>
      </c>
      <c r="U85" t="s">
        <v>1410</v>
      </c>
    </row>
    <row r="86" spans="1:21" x14ac:dyDescent="0.3">
      <c r="A86">
        <v>537</v>
      </c>
      <c r="B86" t="s">
        <v>932</v>
      </c>
      <c r="C86" t="s">
        <v>24</v>
      </c>
      <c r="D86" t="s">
        <v>933</v>
      </c>
      <c r="J86" t="s">
        <v>1405</v>
      </c>
      <c r="K86" s="3">
        <v>640</v>
      </c>
      <c r="L86" s="2">
        <v>0</v>
      </c>
      <c r="M86" s="2">
        <f t="shared" si="2"/>
        <v>640</v>
      </c>
      <c r="N86" s="2">
        <f t="shared" si="3"/>
        <v>32</v>
      </c>
      <c r="O86" s="7">
        <v>32</v>
      </c>
      <c r="P86" s="2">
        <v>0</v>
      </c>
      <c r="Q86" s="2">
        <v>672</v>
      </c>
      <c r="R86" t="s">
        <v>45</v>
      </c>
      <c r="T86" t="s">
        <v>27</v>
      </c>
      <c r="U86" t="s">
        <v>1406</v>
      </c>
    </row>
    <row r="87" spans="1:21" x14ac:dyDescent="0.3">
      <c r="A87">
        <v>538</v>
      </c>
      <c r="B87" t="s">
        <v>64</v>
      </c>
      <c r="C87" t="s">
        <v>24</v>
      </c>
      <c r="J87" t="s">
        <v>646</v>
      </c>
      <c r="K87" s="3">
        <v>690</v>
      </c>
      <c r="L87" s="2">
        <v>103.5</v>
      </c>
      <c r="M87" s="2">
        <f t="shared" si="2"/>
        <v>586.5</v>
      </c>
      <c r="N87" s="2">
        <f t="shared" si="3"/>
        <v>29.325000000000003</v>
      </c>
      <c r="O87" s="7">
        <v>29.32</v>
      </c>
      <c r="P87" s="2">
        <v>0.18</v>
      </c>
      <c r="Q87" s="2">
        <v>616</v>
      </c>
      <c r="R87" t="s">
        <v>45</v>
      </c>
      <c r="T87" t="s">
        <v>27</v>
      </c>
      <c r="U87" t="s">
        <v>1404</v>
      </c>
    </row>
    <row r="88" spans="1:21" x14ac:dyDescent="0.3">
      <c r="A88">
        <v>539</v>
      </c>
      <c r="B88" t="s">
        <v>1401</v>
      </c>
      <c r="C88" t="s">
        <v>24</v>
      </c>
      <c r="J88" t="s">
        <v>1402</v>
      </c>
      <c r="K88" s="3">
        <v>1420</v>
      </c>
      <c r="L88" s="2">
        <v>0</v>
      </c>
      <c r="M88" s="2">
        <f t="shared" si="2"/>
        <v>1420</v>
      </c>
      <c r="N88" s="2">
        <f t="shared" si="3"/>
        <v>71</v>
      </c>
      <c r="O88" s="7">
        <v>71</v>
      </c>
      <c r="P88" s="2">
        <v>0</v>
      </c>
      <c r="Q88" s="2">
        <v>1491</v>
      </c>
      <c r="R88" t="s">
        <v>35</v>
      </c>
      <c r="T88" t="s">
        <v>27</v>
      </c>
      <c r="U88" t="s">
        <v>1403</v>
      </c>
    </row>
    <row r="89" spans="1:21" x14ac:dyDescent="0.3">
      <c r="A89">
        <v>540</v>
      </c>
      <c r="B89" t="s">
        <v>1397</v>
      </c>
      <c r="C89" t="s">
        <v>24</v>
      </c>
      <c r="D89" t="s">
        <v>1398</v>
      </c>
      <c r="J89" t="s">
        <v>1399</v>
      </c>
      <c r="K89" s="3">
        <v>1600</v>
      </c>
      <c r="L89" s="2">
        <v>240</v>
      </c>
      <c r="M89" s="2">
        <f t="shared" si="2"/>
        <v>1360</v>
      </c>
      <c r="N89" s="2">
        <f t="shared" si="3"/>
        <v>68</v>
      </c>
      <c r="O89" s="7">
        <v>68</v>
      </c>
      <c r="P89" s="2">
        <v>0</v>
      </c>
      <c r="Q89" s="2">
        <v>1428</v>
      </c>
      <c r="R89" t="s">
        <v>35</v>
      </c>
      <c r="T89" t="s">
        <v>27</v>
      </c>
      <c r="U89" t="s">
        <v>1400</v>
      </c>
    </row>
    <row r="90" spans="1:21" x14ac:dyDescent="0.3">
      <c r="A90">
        <v>541</v>
      </c>
      <c r="B90" t="s">
        <v>1393</v>
      </c>
      <c r="C90" t="s">
        <v>24</v>
      </c>
      <c r="D90" t="s">
        <v>1394</v>
      </c>
      <c r="J90" t="s">
        <v>1395</v>
      </c>
      <c r="K90" s="3">
        <v>1390</v>
      </c>
      <c r="L90" s="2">
        <v>0</v>
      </c>
      <c r="M90" s="2">
        <f t="shared" si="2"/>
        <v>1390</v>
      </c>
      <c r="N90" s="2">
        <f t="shared" si="3"/>
        <v>69.5</v>
      </c>
      <c r="O90" s="7">
        <v>69.5</v>
      </c>
      <c r="P90" s="2">
        <v>0.5</v>
      </c>
      <c r="Q90" s="2">
        <v>1460</v>
      </c>
      <c r="R90" t="s">
        <v>31</v>
      </c>
      <c r="T90" t="s">
        <v>27</v>
      </c>
      <c r="U90" t="s">
        <v>1396</v>
      </c>
    </row>
    <row r="91" spans="1:21" x14ac:dyDescent="0.3">
      <c r="A91">
        <v>542</v>
      </c>
      <c r="B91" t="s">
        <v>1389</v>
      </c>
      <c r="C91" t="s">
        <v>24</v>
      </c>
      <c r="D91" t="s">
        <v>1390</v>
      </c>
      <c r="J91" t="s">
        <v>1391</v>
      </c>
      <c r="K91" s="3">
        <v>770</v>
      </c>
      <c r="L91" s="2">
        <v>115.5</v>
      </c>
      <c r="M91" s="2">
        <f t="shared" si="2"/>
        <v>654.5</v>
      </c>
      <c r="N91" s="2">
        <f t="shared" si="3"/>
        <v>32.725000000000001</v>
      </c>
      <c r="O91" s="7">
        <v>32.72</v>
      </c>
      <c r="P91" s="2">
        <v>-0.22</v>
      </c>
      <c r="Q91" s="2">
        <v>687</v>
      </c>
      <c r="R91" t="s">
        <v>35</v>
      </c>
      <c r="T91" t="s">
        <v>27</v>
      </c>
      <c r="U91" t="s">
        <v>1392</v>
      </c>
    </row>
    <row r="92" spans="1:21" x14ac:dyDescent="0.3">
      <c r="A92">
        <v>543</v>
      </c>
      <c r="B92" t="s">
        <v>1385</v>
      </c>
      <c r="C92" t="s">
        <v>24</v>
      </c>
      <c r="D92" t="s">
        <v>1386</v>
      </c>
      <c r="J92" t="s">
        <v>1387</v>
      </c>
      <c r="K92" s="3">
        <v>635</v>
      </c>
      <c r="L92" s="2">
        <v>0</v>
      </c>
      <c r="M92" s="2">
        <f t="shared" si="2"/>
        <v>635</v>
      </c>
      <c r="N92" s="2">
        <f t="shared" si="3"/>
        <v>31.75</v>
      </c>
      <c r="O92" s="7">
        <v>31.76</v>
      </c>
      <c r="P92" s="2">
        <v>0.24</v>
      </c>
      <c r="Q92" s="2">
        <v>667</v>
      </c>
      <c r="R92" t="s">
        <v>45</v>
      </c>
      <c r="T92" t="s">
        <v>27</v>
      </c>
      <c r="U92" t="s">
        <v>1388</v>
      </c>
    </row>
    <row r="93" spans="1:21" x14ac:dyDescent="0.3">
      <c r="A93">
        <v>544</v>
      </c>
      <c r="B93" t="s">
        <v>1381</v>
      </c>
      <c r="C93" t="s">
        <v>24</v>
      </c>
      <c r="D93" t="s">
        <v>1382</v>
      </c>
      <c r="J93" t="s">
        <v>1383</v>
      </c>
      <c r="K93" s="3">
        <v>1025</v>
      </c>
      <c r="L93" s="2">
        <v>0</v>
      </c>
      <c r="M93" s="2">
        <f t="shared" si="2"/>
        <v>1025</v>
      </c>
      <c r="N93" s="2">
        <f t="shared" si="3"/>
        <v>51.25</v>
      </c>
      <c r="O93" s="7">
        <v>51.26</v>
      </c>
      <c r="P93" s="2">
        <v>-0.26</v>
      </c>
      <c r="Q93" s="2">
        <v>1076</v>
      </c>
      <c r="R93" t="s">
        <v>45</v>
      </c>
      <c r="T93" t="s">
        <v>27</v>
      </c>
      <c r="U93" t="s">
        <v>1384</v>
      </c>
    </row>
    <row r="94" spans="1:21" x14ac:dyDescent="0.3">
      <c r="A94">
        <v>545</v>
      </c>
      <c r="B94" t="s">
        <v>1378</v>
      </c>
      <c r="C94" t="s">
        <v>24</v>
      </c>
      <c r="D94" t="s">
        <v>1379</v>
      </c>
      <c r="J94" t="s">
        <v>2007</v>
      </c>
      <c r="K94" s="3">
        <v>3900</v>
      </c>
      <c r="L94" s="2">
        <v>0</v>
      </c>
      <c r="M94" s="2">
        <f t="shared" si="2"/>
        <v>3900</v>
      </c>
      <c r="N94" s="2">
        <f t="shared" si="3"/>
        <v>195</v>
      </c>
      <c r="O94" s="7">
        <v>195</v>
      </c>
      <c r="P94" s="2">
        <v>0</v>
      </c>
      <c r="Q94" s="2">
        <v>4095</v>
      </c>
      <c r="R94" t="s">
        <v>45</v>
      </c>
      <c r="T94" t="s">
        <v>27</v>
      </c>
      <c r="U94" t="s">
        <v>1380</v>
      </c>
    </row>
    <row r="95" spans="1:21" x14ac:dyDescent="0.3">
      <c r="A95">
        <v>546</v>
      </c>
      <c r="B95" t="s">
        <v>1374</v>
      </c>
      <c r="C95" t="s">
        <v>24</v>
      </c>
      <c r="D95" t="s">
        <v>1375</v>
      </c>
      <c r="J95" t="s">
        <v>1376</v>
      </c>
      <c r="K95" s="3">
        <v>750</v>
      </c>
      <c r="L95" s="2">
        <v>0</v>
      </c>
      <c r="M95" s="2">
        <f t="shared" si="2"/>
        <v>750</v>
      </c>
      <c r="N95" s="2">
        <f t="shared" si="3"/>
        <v>37.5</v>
      </c>
      <c r="O95" s="7">
        <v>37.5</v>
      </c>
      <c r="P95" s="2">
        <v>0.5</v>
      </c>
      <c r="Q95" s="2">
        <v>788</v>
      </c>
      <c r="R95" t="s">
        <v>45</v>
      </c>
      <c r="T95" t="s">
        <v>27</v>
      </c>
      <c r="U95" t="s">
        <v>1377</v>
      </c>
    </row>
    <row r="96" spans="1:21" x14ac:dyDescent="0.3">
      <c r="A96">
        <v>547</v>
      </c>
      <c r="B96" t="s">
        <v>1370</v>
      </c>
      <c r="C96" t="s">
        <v>24</v>
      </c>
      <c r="D96" t="s">
        <v>1371</v>
      </c>
      <c r="J96" t="s">
        <v>1372</v>
      </c>
      <c r="K96" s="3">
        <v>345</v>
      </c>
      <c r="L96" s="2">
        <v>0</v>
      </c>
      <c r="M96" s="2">
        <f t="shared" si="2"/>
        <v>345</v>
      </c>
      <c r="N96" s="2">
        <f t="shared" si="3"/>
        <v>17.25</v>
      </c>
      <c r="O96" s="7">
        <v>17.260000000000002</v>
      </c>
      <c r="P96" s="2">
        <v>-0.26</v>
      </c>
      <c r="Q96" s="2">
        <v>362</v>
      </c>
      <c r="R96" t="s">
        <v>45</v>
      </c>
      <c r="T96" t="s">
        <v>27</v>
      </c>
      <c r="U96" t="s">
        <v>1373</v>
      </c>
    </row>
    <row r="97" spans="1:21" x14ac:dyDescent="0.3">
      <c r="A97">
        <v>548</v>
      </c>
      <c r="B97" t="s">
        <v>1367</v>
      </c>
      <c r="C97" t="s">
        <v>24</v>
      </c>
      <c r="D97" t="s">
        <v>1368</v>
      </c>
      <c r="J97" t="s">
        <v>651</v>
      </c>
      <c r="K97" s="3">
        <v>280</v>
      </c>
      <c r="L97" s="2">
        <v>0</v>
      </c>
      <c r="M97" s="2">
        <f t="shared" si="2"/>
        <v>280</v>
      </c>
      <c r="N97" s="2">
        <f t="shared" si="3"/>
        <v>14</v>
      </c>
      <c r="O97" s="7">
        <v>14</v>
      </c>
      <c r="P97" s="2">
        <v>0</v>
      </c>
      <c r="Q97" s="2">
        <v>294</v>
      </c>
      <c r="R97" t="s">
        <v>45</v>
      </c>
      <c r="T97" t="s">
        <v>27</v>
      </c>
      <c r="U97" t="s">
        <v>1369</v>
      </c>
    </row>
    <row r="98" spans="1:21" x14ac:dyDescent="0.3">
      <c r="A98">
        <v>549</v>
      </c>
      <c r="B98" t="s">
        <v>1363</v>
      </c>
      <c r="C98" t="s">
        <v>24</v>
      </c>
      <c r="D98" t="s">
        <v>1364</v>
      </c>
      <c r="J98" t="s">
        <v>1365</v>
      </c>
      <c r="K98" s="3">
        <v>1290</v>
      </c>
      <c r="L98" s="2">
        <v>0</v>
      </c>
      <c r="M98" s="2">
        <f t="shared" si="2"/>
        <v>1290</v>
      </c>
      <c r="N98" s="2">
        <f t="shared" si="3"/>
        <v>64.5</v>
      </c>
      <c r="O98" s="7">
        <v>58.5</v>
      </c>
      <c r="P98" s="2">
        <v>0.5</v>
      </c>
      <c r="Q98" s="2">
        <v>1349</v>
      </c>
      <c r="R98" t="s">
        <v>45</v>
      </c>
      <c r="T98" t="s">
        <v>27</v>
      </c>
      <c r="U98" t="s">
        <v>1366</v>
      </c>
    </row>
    <row r="99" spans="1:21" x14ac:dyDescent="0.3">
      <c r="A99">
        <v>550</v>
      </c>
      <c r="B99" t="s">
        <v>1359</v>
      </c>
      <c r="C99" t="s">
        <v>24</v>
      </c>
      <c r="D99" t="s">
        <v>1360</v>
      </c>
      <c r="J99" t="s">
        <v>1361</v>
      </c>
      <c r="K99" s="3">
        <v>885</v>
      </c>
      <c r="L99" s="2">
        <v>132.75</v>
      </c>
      <c r="M99" s="2">
        <f t="shared" si="2"/>
        <v>752.25</v>
      </c>
      <c r="N99" s="2">
        <f t="shared" si="3"/>
        <v>37.612500000000004</v>
      </c>
      <c r="O99" s="7">
        <v>37.619999999999997</v>
      </c>
      <c r="P99" s="2">
        <v>0.13</v>
      </c>
      <c r="Q99" s="2">
        <v>790</v>
      </c>
      <c r="R99" t="s">
        <v>35</v>
      </c>
      <c r="T99" t="s">
        <v>27</v>
      </c>
      <c r="U99" t="s">
        <v>1362</v>
      </c>
    </row>
    <row r="100" spans="1:21" x14ac:dyDescent="0.3">
      <c r="A100">
        <v>551</v>
      </c>
      <c r="B100" t="s">
        <v>201</v>
      </c>
      <c r="C100" t="s">
        <v>24</v>
      </c>
      <c r="D100" t="s">
        <v>1158</v>
      </c>
      <c r="J100" t="s">
        <v>1357</v>
      </c>
      <c r="K100" s="3">
        <v>1505</v>
      </c>
      <c r="L100" s="2">
        <v>0</v>
      </c>
      <c r="M100" s="2">
        <f t="shared" si="2"/>
        <v>1505</v>
      </c>
      <c r="N100" s="2">
        <f t="shared" si="3"/>
        <v>75.25</v>
      </c>
      <c r="O100" s="7">
        <v>75.260000000000005</v>
      </c>
      <c r="P100" s="2">
        <v>-0.26</v>
      </c>
      <c r="Q100" s="2">
        <v>1580</v>
      </c>
      <c r="R100" t="s">
        <v>31</v>
      </c>
      <c r="T100" t="s">
        <v>27</v>
      </c>
      <c r="U100" t="s">
        <v>1358</v>
      </c>
    </row>
    <row r="101" spans="1:21" x14ac:dyDescent="0.3">
      <c r="A101">
        <v>552</v>
      </c>
      <c r="B101" t="s">
        <v>242</v>
      </c>
      <c r="C101" t="s">
        <v>24</v>
      </c>
      <c r="D101" t="s">
        <v>1354</v>
      </c>
      <c r="J101" t="s">
        <v>1355</v>
      </c>
      <c r="K101" s="3">
        <v>1570</v>
      </c>
      <c r="L101" s="2">
        <v>0</v>
      </c>
      <c r="M101" s="2">
        <f t="shared" si="2"/>
        <v>1570</v>
      </c>
      <c r="N101" s="2">
        <f t="shared" si="3"/>
        <v>78.5</v>
      </c>
      <c r="O101" s="7">
        <v>78.5</v>
      </c>
      <c r="P101" s="2">
        <v>0.5</v>
      </c>
      <c r="Q101" s="2">
        <v>1649</v>
      </c>
      <c r="R101" t="s">
        <v>45</v>
      </c>
      <c r="T101" t="s">
        <v>27</v>
      </c>
      <c r="U101" t="s">
        <v>1356</v>
      </c>
    </row>
    <row r="102" spans="1:21" x14ac:dyDescent="0.3">
      <c r="A102">
        <v>553</v>
      </c>
      <c r="B102" t="s">
        <v>1350</v>
      </c>
      <c r="C102" t="s">
        <v>24</v>
      </c>
      <c r="D102" t="s">
        <v>1351</v>
      </c>
      <c r="J102" t="s">
        <v>1352</v>
      </c>
      <c r="K102" s="3">
        <v>1540</v>
      </c>
      <c r="L102" s="2">
        <v>0</v>
      </c>
      <c r="M102" s="2">
        <f t="shared" si="2"/>
        <v>1540</v>
      </c>
      <c r="N102" s="2">
        <f t="shared" si="3"/>
        <v>77</v>
      </c>
      <c r="O102" s="7">
        <v>77</v>
      </c>
      <c r="P102" s="2">
        <v>0</v>
      </c>
      <c r="Q102" s="2">
        <v>1617</v>
      </c>
      <c r="R102" t="s">
        <v>31</v>
      </c>
      <c r="T102" t="s">
        <v>27</v>
      </c>
      <c r="U102" t="s">
        <v>1353</v>
      </c>
    </row>
    <row r="103" spans="1:21" x14ac:dyDescent="0.3">
      <c r="A103">
        <v>554</v>
      </c>
      <c r="B103" t="s">
        <v>564</v>
      </c>
      <c r="C103" t="s">
        <v>24</v>
      </c>
      <c r="D103" t="s">
        <v>1347</v>
      </c>
      <c r="J103" t="s">
        <v>1348</v>
      </c>
      <c r="K103" s="3">
        <v>1445</v>
      </c>
      <c r="L103" s="2">
        <v>0</v>
      </c>
      <c r="M103" s="2">
        <f t="shared" si="2"/>
        <v>1445</v>
      </c>
      <c r="N103" s="2">
        <f t="shared" si="3"/>
        <v>72.25</v>
      </c>
      <c r="O103" s="7">
        <v>72.260000000000005</v>
      </c>
      <c r="P103" s="2">
        <v>-0.26</v>
      </c>
      <c r="Q103" s="2">
        <v>1517</v>
      </c>
      <c r="R103" t="s">
        <v>26</v>
      </c>
      <c r="T103" t="s">
        <v>27</v>
      </c>
      <c r="U103" t="s">
        <v>1349</v>
      </c>
    </row>
    <row r="104" spans="1:21" x14ac:dyDescent="0.3">
      <c r="A104">
        <v>555</v>
      </c>
      <c r="B104" t="s">
        <v>1343</v>
      </c>
      <c r="C104" t="s">
        <v>24</v>
      </c>
      <c r="D104" t="s">
        <v>1344</v>
      </c>
      <c r="J104" t="s">
        <v>1345</v>
      </c>
      <c r="K104" s="3">
        <v>745</v>
      </c>
      <c r="L104" s="2">
        <v>0</v>
      </c>
      <c r="M104" s="2">
        <f t="shared" si="2"/>
        <v>745</v>
      </c>
      <c r="N104" s="2">
        <f t="shared" si="3"/>
        <v>37.25</v>
      </c>
      <c r="O104" s="7">
        <v>37.26</v>
      </c>
      <c r="P104" s="2">
        <v>-0.26</v>
      </c>
      <c r="Q104" s="2">
        <v>782</v>
      </c>
      <c r="R104" t="s">
        <v>45</v>
      </c>
      <c r="T104" t="s">
        <v>27</v>
      </c>
      <c r="U104" t="s">
        <v>1346</v>
      </c>
    </row>
    <row r="105" spans="1:21" x14ac:dyDescent="0.3">
      <c r="A105">
        <v>556</v>
      </c>
      <c r="B105" t="s">
        <v>1340</v>
      </c>
      <c r="C105" t="s">
        <v>24</v>
      </c>
      <c r="J105" t="s">
        <v>1341</v>
      </c>
      <c r="K105" s="3">
        <v>1890</v>
      </c>
      <c r="L105" s="2">
        <v>0</v>
      </c>
      <c r="M105" s="2">
        <f t="shared" si="2"/>
        <v>1890</v>
      </c>
      <c r="N105" s="2">
        <f t="shared" si="3"/>
        <v>94.5</v>
      </c>
      <c r="O105" s="7">
        <v>94.5</v>
      </c>
      <c r="P105" s="2">
        <v>0.5</v>
      </c>
      <c r="Q105" s="2">
        <v>1985</v>
      </c>
      <c r="R105" t="s">
        <v>26</v>
      </c>
      <c r="T105" t="s">
        <v>27</v>
      </c>
      <c r="U105" t="s">
        <v>1342</v>
      </c>
    </row>
    <row r="106" spans="1:21" x14ac:dyDescent="0.3">
      <c r="A106">
        <v>557</v>
      </c>
      <c r="B106" t="s">
        <v>1338</v>
      </c>
      <c r="C106" t="s">
        <v>24</v>
      </c>
      <c r="J106" t="s">
        <v>556</v>
      </c>
      <c r="K106" s="3">
        <v>240</v>
      </c>
      <c r="L106" s="2">
        <v>0</v>
      </c>
      <c r="M106" s="2">
        <f t="shared" si="2"/>
        <v>240</v>
      </c>
      <c r="N106" s="2">
        <f t="shared" si="3"/>
        <v>12</v>
      </c>
      <c r="O106" s="7">
        <v>12</v>
      </c>
      <c r="P106" s="2">
        <v>0</v>
      </c>
      <c r="Q106" s="2">
        <v>252</v>
      </c>
      <c r="R106" t="s">
        <v>45</v>
      </c>
      <c r="T106" t="s">
        <v>27</v>
      </c>
      <c r="U106" t="s">
        <v>1339</v>
      </c>
    </row>
    <row r="107" spans="1:21" x14ac:dyDescent="0.3">
      <c r="A107">
        <v>558</v>
      </c>
      <c r="B107" t="s">
        <v>1335</v>
      </c>
      <c r="C107" t="s">
        <v>24</v>
      </c>
      <c r="D107" t="s">
        <v>1336</v>
      </c>
      <c r="J107" t="s">
        <v>2006</v>
      </c>
      <c r="K107" s="3">
        <v>3266</v>
      </c>
      <c r="L107" s="2">
        <v>326.60000000000002</v>
      </c>
      <c r="M107" s="2">
        <f t="shared" si="2"/>
        <v>2939.4</v>
      </c>
      <c r="N107" s="2">
        <f t="shared" si="3"/>
        <v>146.97</v>
      </c>
      <c r="O107" s="7">
        <v>226.08</v>
      </c>
      <c r="P107" s="2">
        <v>-0.48</v>
      </c>
      <c r="Q107" s="2">
        <v>3165</v>
      </c>
      <c r="R107" t="s">
        <v>45</v>
      </c>
      <c r="T107" t="s">
        <v>27</v>
      </c>
      <c r="U107" t="s">
        <v>1337</v>
      </c>
    </row>
    <row r="108" spans="1:21" x14ac:dyDescent="0.3">
      <c r="A108">
        <v>559</v>
      </c>
      <c r="B108" t="s">
        <v>1332</v>
      </c>
      <c r="C108" t="s">
        <v>24</v>
      </c>
      <c r="J108" t="s">
        <v>1333</v>
      </c>
      <c r="K108" s="3">
        <v>950</v>
      </c>
      <c r="L108" s="2">
        <v>0</v>
      </c>
      <c r="M108" s="2">
        <f t="shared" si="2"/>
        <v>950</v>
      </c>
      <c r="N108" s="2">
        <f t="shared" si="3"/>
        <v>47.5</v>
      </c>
      <c r="O108" s="7">
        <v>47.5</v>
      </c>
      <c r="P108" s="2">
        <v>0.5</v>
      </c>
      <c r="Q108" s="2">
        <v>998</v>
      </c>
      <c r="R108" t="s">
        <v>45</v>
      </c>
      <c r="T108" t="s">
        <v>27</v>
      </c>
      <c r="U108" t="s">
        <v>1334</v>
      </c>
    </row>
    <row r="109" spans="1:21" x14ac:dyDescent="0.3">
      <c r="A109">
        <v>560</v>
      </c>
      <c r="B109" t="s">
        <v>1328</v>
      </c>
      <c r="C109" t="s">
        <v>24</v>
      </c>
      <c r="D109" t="s">
        <v>1329</v>
      </c>
      <c r="J109" t="s">
        <v>1330</v>
      </c>
      <c r="K109" s="3">
        <v>535</v>
      </c>
      <c r="L109" s="2">
        <v>0</v>
      </c>
      <c r="M109" s="2">
        <f t="shared" si="2"/>
        <v>535</v>
      </c>
      <c r="N109" s="2">
        <f t="shared" si="3"/>
        <v>26.75</v>
      </c>
      <c r="O109" s="7">
        <v>26.76</v>
      </c>
      <c r="P109" s="2">
        <v>0.24</v>
      </c>
      <c r="Q109" s="2">
        <v>562</v>
      </c>
      <c r="R109" t="s">
        <v>45</v>
      </c>
      <c r="T109" t="s">
        <v>27</v>
      </c>
      <c r="U109" t="s">
        <v>1331</v>
      </c>
    </row>
    <row r="110" spans="1:21" x14ac:dyDescent="0.3">
      <c r="A110">
        <v>561</v>
      </c>
      <c r="B110" t="s">
        <v>1324</v>
      </c>
      <c r="C110" t="s">
        <v>24</v>
      </c>
      <c r="D110" t="s">
        <v>1325</v>
      </c>
      <c r="J110" t="s">
        <v>1326</v>
      </c>
      <c r="K110" s="3">
        <v>0</v>
      </c>
      <c r="L110" s="2">
        <v>0</v>
      </c>
      <c r="M110" s="2">
        <f t="shared" si="2"/>
        <v>0</v>
      </c>
      <c r="N110" s="2">
        <f t="shared" si="3"/>
        <v>0</v>
      </c>
      <c r="O110" s="7">
        <v>0</v>
      </c>
      <c r="P110" s="2">
        <v>0</v>
      </c>
      <c r="Q110" s="2">
        <v>0</v>
      </c>
      <c r="R110" t="s">
        <v>35</v>
      </c>
      <c r="T110" t="s">
        <v>27</v>
      </c>
      <c r="U110" t="s">
        <v>1327</v>
      </c>
    </row>
    <row r="111" spans="1:21" x14ac:dyDescent="0.3">
      <c r="A111">
        <v>562</v>
      </c>
      <c r="B111" t="s">
        <v>1320</v>
      </c>
      <c r="C111" t="s">
        <v>24</v>
      </c>
      <c r="D111" t="s">
        <v>1321</v>
      </c>
      <c r="J111" t="s">
        <v>1322</v>
      </c>
      <c r="K111" s="3">
        <v>565</v>
      </c>
      <c r="L111" s="2">
        <v>0</v>
      </c>
      <c r="M111" s="2">
        <f t="shared" si="2"/>
        <v>565</v>
      </c>
      <c r="N111" s="2">
        <f t="shared" si="3"/>
        <v>28.25</v>
      </c>
      <c r="O111" s="7">
        <v>28.26</v>
      </c>
      <c r="P111" s="2">
        <v>-0.26</v>
      </c>
      <c r="Q111" s="2">
        <v>593</v>
      </c>
      <c r="R111" t="s">
        <v>45</v>
      </c>
      <c r="T111" t="s">
        <v>27</v>
      </c>
      <c r="U111" t="s">
        <v>1323</v>
      </c>
    </row>
    <row r="112" spans="1:21" x14ac:dyDescent="0.3">
      <c r="A112">
        <v>563</v>
      </c>
      <c r="B112" t="s">
        <v>1317</v>
      </c>
      <c r="C112" t="s">
        <v>24</v>
      </c>
      <c r="D112" t="s">
        <v>1318</v>
      </c>
      <c r="J112" t="s">
        <v>332</v>
      </c>
      <c r="K112" s="3">
        <v>0</v>
      </c>
      <c r="L112" s="2">
        <v>0</v>
      </c>
      <c r="M112" s="2">
        <f t="shared" si="2"/>
        <v>0</v>
      </c>
      <c r="N112" s="2">
        <f t="shared" si="3"/>
        <v>0</v>
      </c>
      <c r="O112" s="7">
        <v>0</v>
      </c>
      <c r="P112" s="2">
        <v>0</v>
      </c>
      <c r="Q112" s="2">
        <v>0</v>
      </c>
      <c r="R112" t="s">
        <v>35</v>
      </c>
      <c r="T112" t="s">
        <v>27</v>
      </c>
      <c r="U112" t="s">
        <v>1319</v>
      </c>
    </row>
    <row r="113" spans="1:21" x14ac:dyDescent="0.3">
      <c r="A113">
        <v>564</v>
      </c>
      <c r="B113" t="s">
        <v>149</v>
      </c>
      <c r="C113" t="s">
        <v>24</v>
      </c>
      <c r="J113" t="s">
        <v>1315</v>
      </c>
      <c r="K113" s="3">
        <v>200</v>
      </c>
      <c r="L113" s="2">
        <v>20</v>
      </c>
      <c r="M113" s="2">
        <f t="shared" si="2"/>
        <v>180</v>
      </c>
      <c r="N113" s="2">
        <f t="shared" si="3"/>
        <v>9</v>
      </c>
      <c r="O113" s="7">
        <v>9</v>
      </c>
      <c r="P113" s="2">
        <v>0</v>
      </c>
      <c r="Q113" s="2">
        <v>189</v>
      </c>
      <c r="R113" t="s">
        <v>45</v>
      </c>
      <c r="T113" t="s">
        <v>27</v>
      </c>
      <c r="U113" t="s">
        <v>1316</v>
      </c>
    </row>
    <row r="114" spans="1:21" x14ac:dyDescent="0.3">
      <c r="A114">
        <v>565</v>
      </c>
      <c r="B114" t="s">
        <v>37</v>
      </c>
      <c r="C114" t="s">
        <v>24</v>
      </c>
      <c r="J114" t="s">
        <v>34</v>
      </c>
      <c r="K114" s="3">
        <v>0</v>
      </c>
      <c r="L114" s="2">
        <v>0</v>
      </c>
      <c r="M114" s="2">
        <f t="shared" si="2"/>
        <v>0</v>
      </c>
      <c r="N114" s="2">
        <f t="shared" si="3"/>
        <v>0</v>
      </c>
      <c r="O114" s="7">
        <v>0</v>
      </c>
      <c r="P114" s="2">
        <v>0</v>
      </c>
      <c r="Q114" s="2">
        <v>0</v>
      </c>
      <c r="R114" t="s">
        <v>35</v>
      </c>
      <c r="T114" t="s">
        <v>27</v>
      </c>
      <c r="U114" t="s">
        <v>1314</v>
      </c>
    </row>
    <row r="115" spans="1:21" x14ac:dyDescent="0.3">
      <c r="A115">
        <v>566</v>
      </c>
      <c r="B115" t="s">
        <v>1310</v>
      </c>
      <c r="C115" t="s">
        <v>24</v>
      </c>
      <c r="D115" t="s">
        <v>1311</v>
      </c>
      <c r="J115" t="s">
        <v>1312</v>
      </c>
      <c r="K115" s="3">
        <v>0</v>
      </c>
      <c r="L115" s="2">
        <v>0</v>
      </c>
      <c r="M115" s="2">
        <f t="shared" si="2"/>
        <v>0</v>
      </c>
      <c r="N115" s="2">
        <f t="shared" si="3"/>
        <v>0</v>
      </c>
      <c r="O115" s="7">
        <v>0</v>
      </c>
      <c r="P115" s="2">
        <v>0</v>
      </c>
      <c r="Q115" s="2">
        <v>0</v>
      </c>
      <c r="R115" t="s">
        <v>35</v>
      </c>
      <c r="T115" t="s">
        <v>27</v>
      </c>
      <c r="U115" t="s">
        <v>1313</v>
      </c>
    </row>
    <row r="116" spans="1:21" x14ac:dyDescent="0.3">
      <c r="A116">
        <v>567</v>
      </c>
      <c r="B116" t="s">
        <v>117</v>
      </c>
      <c r="C116" t="s">
        <v>24</v>
      </c>
      <c r="D116" t="s">
        <v>1160</v>
      </c>
      <c r="J116" t="s">
        <v>1308</v>
      </c>
      <c r="K116" s="3">
        <v>1075</v>
      </c>
      <c r="L116" s="2">
        <v>0</v>
      </c>
      <c r="M116" s="2">
        <f t="shared" si="2"/>
        <v>1075</v>
      </c>
      <c r="N116" s="2">
        <f t="shared" si="3"/>
        <v>53.75</v>
      </c>
      <c r="O116" s="7">
        <v>53.76</v>
      </c>
      <c r="P116" s="2">
        <v>0.24</v>
      </c>
      <c r="Q116" s="2">
        <v>1129</v>
      </c>
      <c r="R116" t="s">
        <v>31</v>
      </c>
      <c r="T116" t="s">
        <v>27</v>
      </c>
      <c r="U116" t="s">
        <v>1309</v>
      </c>
    </row>
    <row r="117" spans="1:21" x14ac:dyDescent="0.3">
      <c r="A117">
        <v>568</v>
      </c>
      <c r="B117" t="s">
        <v>50</v>
      </c>
      <c r="C117" t="s">
        <v>24</v>
      </c>
      <c r="J117" t="s">
        <v>1306</v>
      </c>
      <c r="K117" s="3">
        <v>450</v>
      </c>
      <c r="L117" s="2">
        <v>0</v>
      </c>
      <c r="M117" s="2">
        <f t="shared" si="2"/>
        <v>450</v>
      </c>
      <c r="N117" s="2">
        <f t="shared" si="3"/>
        <v>22.5</v>
      </c>
      <c r="O117" s="7">
        <v>22.5</v>
      </c>
      <c r="P117" s="2">
        <v>0.5</v>
      </c>
      <c r="Q117" s="2">
        <v>473</v>
      </c>
      <c r="R117" t="s">
        <v>35</v>
      </c>
      <c r="T117" t="s">
        <v>27</v>
      </c>
      <c r="U117" t="s">
        <v>1307</v>
      </c>
    </row>
    <row r="118" spans="1:21" x14ac:dyDescent="0.3">
      <c r="A118">
        <v>569</v>
      </c>
      <c r="B118" t="s">
        <v>889</v>
      </c>
      <c r="C118" t="s">
        <v>24</v>
      </c>
      <c r="D118" t="s">
        <v>1304</v>
      </c>
      <c r="J118" t="s">
        <v>830</v>
      </c>
      <c r="K118" s="3">
        <v>590</v>
      </c>
      <c r="L118" s="2">
        <v>0</v>
      </c>
      <c r="M118" s="2">
        <f t="shared" si="2"/>
        <v>590</v>
      </c>
      <c r="N118" s="2">
        <f t="shared" si="3"/>
        <v>29.5</v>
      </c>
      <c r="O118" s="7">
        <v>29.5</v>
      </c>
      <c r="P118" s="2">
        <v>0.5</v>
      </c>
      <c r="Q118" s="2">
        <v>620</v>
      </c>
      <c r="R118" t="s">
        <v>35</v>
      </c>
      <c r="T118" t="s">
        <v>27</v>
      </c>
      <c r="U118" t="s">
        <v>1305</v>
      </c>
    </row>
    <row r="119" spans="1:21" x14ac:dyDescent="0.3">
      <c r="A119">
        <v>570</v>
      </c>
      <c r="B119" t="s">
        <v>682</v>
      </c>
      <c r="C119" t="s">
        <v>24</v>
      </c>
      <c r="J119" t="s">
        <v>264</v>
      </c>
      <c r="K119" s="3">
        <v>338</v>
      </c>
      <c r="L119" s="2">
        <v>0</v>
      </c>
      <c r="M119" s="2">
        <f t="shared" si="2"/>
        <v>338</v>
      </c>
      <c r="N119" s="2">
        <f t="shared" si="3"/>
        <v>16.900000000000002</v>
      </c>
      <c r="O119" s="7">
        <v>60.84</v>
      </c>
      <c r="P119" s="2">
        <v>0.16</v>
      </c>
      <c r="Q119" s="2">
        <v>399</v>
      </c>
      <c r="R119" t="s">
        <v>45</v>
      </c>
      <c r="T119" t="s">
        <v>27</v>
      </c>
      <c r="U119" t="s">
        <v>1303</v>
      </c>
    </row>
    <row r="120" spans="1:21" x14ac:dyDescent="0.3">
      <c r="A120">
        <v>571</v>
      </c>
      <c r="B120" t="s">
        <v>1301</v>
      </c>
      <c r="C120" t="s">
        <v>24</v>
      </c>
      <c r="J120" t="s">
        <v>264</v>
      </c>
      <c r="K120" s="3">
        <v>169</v>
      </c>
      <c r="L120" s="2">
        <v>0</v>
      </c>
      <c r="M120" s="2">
        <f t="shared" si="2"/>
        <v>169</v>
      </c>
      <c r="N120" s="2">
        <f t="shared" si="3"/>
        <v>8.4500000000000011</v>
      </c>
      <c r="O120" s="7">
        <v>30.42</v>
      </c>
      <c r="P120" s="2">
        <v>-0.42</v>
      </c>
      <c r="Q120" s="2">
        <v>199</v>
      </c>
      <c r="R120" t="s">
        <v>45</v>
      </c>
      <c r="T120" t="s">
        <v>27</v>
      </c>
      <c r="U120" t="s">
        <v>1302</v>
      </c>
    </row>
    <row r="121" spans="1:21" x14ac:dyDescent="0.3">
      <c r="A121">
        <v>572</v>
      </c>
      <c r="B121" t="s">
        <v>1299</v>
      </c>
      <c r="C121" t="s">
        <v>24</v>
      </c>
      <c r="J121" t="s">
        <v>264</v>
      </c>
      <c r="K121" s="3">
        <v>169</v>
      </c>
      <c r="L121" s="2">
        <v>0</v>
      </c>
      <c r="M121" s="2">
        <f t="shared" si="2"/>
        <v>169</v>
      </c>
      <c r="N121" s="2">
        <f t="shared" si="3"/>
        <v>8.4500000000000011</v>
      </c>
      <c r="O121" s="7">
        <v>30.42</v>
      </c>
      <c r="P121" s="2">
        <v>-0.42</v>
      </c>
      <c r="Q121" s="2">
        <v>199</v>
      </c>
      <c r="R121" t="s">
        <v>45</v>
      </c>
      <c r="T121" t="s">
        <v>27</v>
      </c>
      <c r="U121" t="s">
        <v>1300</v>
      </c>
    </row>
    <row r="122" spans="1:21" x14ac:dyDescent="0.3">
      <c r="A122">
        <v>573</v>
      </c>
      <c r="B122" t="s">
        <v>56</v>
      </c>
      <c r="C122" t="s">
        <v>24</v>
      </c>
      <c r="J122" t="s">
        <v>220</v>
      </c>
      <c r="K122" s="3">
        <v>220</v>
      </c>
      <c r="L122" s="2">
        <v>0</v>
      </c>
      <c r="M122" s="2">
        <f t="shared" si="2"/>
        <v>220</v>
      </c>
      <c r="N122" s="2">
        <f t="shared" si="3"/>
        <v>11</v>
      </c>
      <c r="O122" s="7">
        <v>11</v>
      </c>
      <c r="P122" s="2">
        <v>0</v>
      </c>
      <c r="Q122" s="2">
        <v>231</v>
      </c>
      <c r="R122" t="s">
        <v>45</v>
      </c>
      <c r="T122" t="s">
        <v>27</v>
      </c>
      <c r="U122" t="s">
        <v>1298</v>
      </c>
    </row>
    <row r="123" spans="1:21" x14ac:dyDescent="0.3">
      <c r="A123">
        <v>574</v>
      </c>
      <c r="B123" t="s">
        <v>1046</v>
      </c>
      <c r="C123" t="s">
        <v>24</v>
      </c>
      <c r="D123" t="s">
        <v>1296</v>
      </c>
      <c r="J123" t="s">
        <v>220</v>
      </c>
      <c r="K123" s="3">
        <v>220</v>
      </c>
      <c r="L123" s="2">
        <v>0</v>
      </c>
      <c r="M123" s="2">
        <f t="shared" si="2"/>
        <v>220</v>
      </c>
      <c r="N123" s="2">
        <f t="shared" si="3"/>
        <v>11</v>
      </c>
      <c r="O123" s="7">
        <v>11</v>
      </c>
      <c r="P123" s="2">
        <v>0</v>
      </c>
      <c r="Q123" s="2">
        <v>231</v>
      </c>
      <c r="R123" t="s">
        <v>35</v>
      </c>
      <c r="T123" t="s">
        <v>27</v>
      </c>
      <c r="U123" t="s">
        <v>1297</v>
      </c>
    </row>
    <row r="124" spans="1:21" x14ac:dyDescent="0.3">
      <c r="A124">
        <v>575</v>
      </c>
      <c r="B124" t="s">
        <v>1292</v>
      </c>
      <c r="C124" t="s">
        <v>24</v>
      </c>
      <c r="D124" t="s">
        <v>1293</v>
      </c>
      <c r="J124" t="s">
        <v>1294</v>
      </c>
      <c r="K124" s="3">
        <v>1195</v>
      </c>
      <c r="L124" s="2">
        <v>0</v>
      </c>
      <c r="M124" s="2">
        <f t="shared" si="2"/>
        <v>1195</v>
      </c>
      <c r="N124" s="2">
        <f t="shared" si="3"/>
        <v>59.75</v>
      </c>
      <c r="O124" s="7">
        <v>59.76</v>
      </c>
      <c r="P124" s="2">
        <v>0.24</v>
      </c>
      <c r="Q124" s="2">
        <v>1255</v>
      </c>
      <c r="R124" t="s">
        <v>31</v>
      </c>
      <c r="T124" t="s">
        <v>27</v>
      </c>
      <c r="U124" t="s">
        <v>1295</v>
      </c>
    </row>
    <row r="125" spans="1:21" x14ac:dyDescent="0.3">
      <c r="A125">
        <v>576</v>
      </c>
      <c r="B125" t="s">
        <v>1288</v>
      </c>
      <c r="C125" t="s">
        <v>24</v>
      </c>
      <c r="D125" t="s">
        <v>1289</v>
      </c>
      <c r="J125" t="s">
        <v>1290</v>
      </c>
      <c r="K125" s="3">
        <v>860</v>
      </c>
      <c r="L125" s="2">
        <v>0</v>
      </c>
      <c r="M125" s="2">
        <f t="shared" si="2"/>
        <v>860</v>
      </c>
      <c r="N125" s="2">
        <f t="shared" si="3"/>
        <v>43</v>
      </c>
      <c r="O125" s="7">
        <v>43</v>
      </c>
      <c r="P125" s="2">
        <v>0</v>
      </c>
      <c r="Q125" s="2">
        <v>903</v>
      </c>
      <c r="R125" t="s">
        <v>31</v>
      </c>
      <c r="T125" t="s">
        <v>27</v>
      </c>
      <c r="U125" t="s">
        <v>1291</v>
      </c>
    </row>
    <row r="126" spans="1:21" x14ac:dyDescent="0.3">
      <c r="A126">
        <v>577</v>
      </c>
      <c r="B126" t="s">
        <v>23</v>
      </c>
      <c r="C126" t="s">
        <v>24</v>
      </c>
      <c r="J126" t="s">
        <v>1286</v>
      </c>
      <c r="K126" s="3">
        <v>845</v>
      </c>
      <c r="L126" s="2">
        <v>0</v>
      </c>
      <c r="M126" s="2">
        <f t="shared" si="2"/>
        <v>845</v>
      </c>
      <c r="N126" s="2">
        <f t="shared" si="3"/>
        <v>42.25</v>
      </c>
      <c r="O126" s="7">
        <v>42.26</v>
      </c>
      <c r="P126" s="2">
        <v>-0.26</v>
      </c>
      <c r="Q126" s="2">
        <v>887</v>
      </c>
      <c r="R126" t="s">
        <v>45</v>
      </c>
      <c r="T126" t="s">
        <v>27</v>
      </c>
      <c r="U126" t="s">
        <v>1287</v>
      </c>
    </row>
    <row r="127" spans="1:21" x14ac:dyDescent="0.3">
      <c r="A127">
        <v>578</v>
      </c>
      <c r="B127" t="s">
        <v>1284</v>
      </c>
      <c r="C127" t="s">
        <v>24</v>
      </c>
      <c r="J127" t="s">
        <v>442</v>
      </c>
      <c r="K127" s="3">
        <v>640</v>
      </c>
      <c r="L127" s="2">
        <v>0</v>
      </c>
      <c r="M127" s="2">
        <f t="shared" si="2"/>
        <v>640</v>
      </c>
      <c r="N127" s="2">
        <f t="shared" si="3"/>
        <v>32</v>
      </c>
      <c r="O127" s="7">
        <v>32</v>
      </c>
      <c r="P127" s="2">
        <v>0</v>
      </c>
      <c r="Q127" s="2">
        <v>672</v>
      </c>
      <c r="R127" t="s">
        <v>31</v>
      </c>
      <c r="T127" t="s">
        <v>27</v>
      </c>
      <c r="U127" t="s">
        <v>1285</v>
      </c>
    </row>
    <row r="128" spans="1:21" x14ac:dyDescent="0.3">
      <c r="A128">
        <v>579</v>
      </c>
      <c r="B128" t="s">
        <v>851</v>
      </c>
      <c r="C128" t="s">
        <v>24</v>
      </c>
      <c r="J128" t="s">
        <v>1282</v>
      </c>
      <c r="K128" s="3">
        <v>1455</v>
      </c>
      <c r="L128" s="2">
        <v>0</v>
      </c>
      <c r="M128" s="2">
        <f t="shared" si="2"/>
        <v>1455</v>
      </c>
      <c r="N128" s="2">
        <f t="shared" si="3"/>
        <v>72.75</v>
      </c>
      <c r="O128" s="7">
        <v>72.760000000000005</v>
      </c>
      <c r="P128" s="2">
        <v>0.24</v>
      </c>
      <c r="Q128" s="2">
        <v>1528</v>
      </c>
      <c r="R128" t="s">
        <v>45</v>
      </c>
      <c r="T128" t="s">
        <v>27</v>
      </c>
      <c r="U128" t="s">
        <v>1283</v>
      </c>
    </row>
    <row r="129" spans="1:21" x14ac:dyDescent="0.3">
      <c r="A129">
        <v>580</v>
      </c>
      <c r="B129" t="s">
        <v>1278</v>
      </c>
      <c r="C129" t="s">
        <v>24</v>
      </c>
      <c r="D129" t="s">
        <v>1279</v>
      </c>
      <c r="J129" t="s">
        <v>1280</v>
      </c>
      <c r="K129" s="3">
        <v>454</v>
      </c>
      <c r="L129" s="2">
        <v>0</v>
      </c>
      <c r="M129" s="2">
        <f t="shared" si="2"/>
        <v>454</v>
      </c>
      <c r="N129" s="2">
        <f t="shared" si="3"/>
        <v>22.700000000000003</v>
      </c>
      <c r="O129" s="7">
        <v>21.26</v>
      </c>
      <c r="P129" s="2">
        <v>-0.26</v>
      </c>
      <c r="Q129" s="2">
        <v>475</v>
      </c>
      <c r="R129" t="s">
        <v>45</v>
      </c>
      <c r="T129" t="s">
        <v>27</v>
      </c>
      <c r="U129" t="s">
        <v>1281</v>
      </c>
    </row>
    <row r="130" spans="1:21" x14ac:dyDescent="0.3">
      <c r="A130">
        <v>581</v>
      </c>
      <c r="B130" t="s">
        <v>1275</v>
      </c>
      <c r="C130" t="s">
        <v>24</v>
      </c>
      <c r="J130" t="s">
        <v>1276</v>
      </c>
      <c r="K130" s="3">
        <v>499</v>
      </c>
      <c r="L130" s="2">
        <v>0</v>
      </c>
      <c r="M130" s="2">
        <f t="shared" si="2"/>
        <v>499</v>
      </c>
      <c r="N130" s="2">
        <f t="shared" si="3"/>
        <v>24.950000000000003</v>
      </c>
      <c r="O130" s="7">
        <v>23.5</v>
      </c>
      <c r="P130" s="2">
        <v>0.5</v>
      </c>
      <c r="Q130" s="2">
        <v>523</v>
      </c>
      <c r="R130" t="s">
        <v>31</v>
      </c>
      <c r="T130" t="s">
        <v>27</v>
      </c>
      <c r="U130" t="s">
        <v>1277</v>
      </c>
    </row>
    <row r="131" spans="1:21" x14ac:dyDescent="0.3">
      <c r="A131">
        <v>582</v>
      </c>
      <c r="B131" t="s">
        <v>1272</v>
      </c>
      <c r="C131" t="s">
        <v>24</v>
      </c>
      <c r="J131" t="s">
        <v>1273</v>
      </c>
      <c r="K131" s="3">
        <v>780</v>
      </c>
      <c r="L131" s="2">
        <v>0</v>
      </c>
      <c r="M131" s="2">
        <f t="shared" si="2"/>
        <v>780</v>
      </c>
      <c r="N131" s="2">
        <f t="shared" si="3"/>
        <v>39</v>
      </c>
      <c r="O131" s="7">
        <v>39</v>
      </c>
      <c r="P131" s="2">
        <v>0</v>
      </c>
      <c r="Q131" s="2">
        <v>819</v>
      </c>
      <c r="R131" t="s">
        <v>45</v>
      </c>
      <c r="T131" t="s">
        <v>27</v>
      </c>
      <c r="U131" t="s">
        <v>1274</v>
      </c>
    </row>
    <row r="132" spans="1:21" x14ac:dyDescent="0.3">
      <c r="A132">
        <v>583</v>
      </c>
      <c r="B132" t="s">
        <v>1269</v>
      </c>
      <c r="C132" t="s">
        <v>24</v>
      </c>
      <c r="D132" t="s">
        <v>483</v>
      </c>
      <c r="E132">
        <v>9536971573</v>
      </c>
      <c r="J132" t="s">
        <v>1270</v>
      </c>
      <c r="K132" s="3">
        <v>2440</v>
      </c>
      <c r="L132" s="2">
        <v>0</v>
      </c>
      <c r="M132" s="2">
        <f t="shared" si="2"/>
        <v>2440</v>
      </c>
      <c r="N132" s="2">
        <f t="shared" si="3"/>
        <v>122</v>
      </c>
      <c r="O132" s="7">
        <v>122</v>
      </c>
      <c r="P132" s="2">
        <v>0</v>
      </c>
      <c r="Q132" s="2">
        <v>2562</v>
      </c>
      <c r="R132" t="s">
        <v>31</v>
      </c>
      <c r="T132" t="s">
        <v>27</v>
      </c>
      <c r="U132" t="s">
        <v>1271</v>
      </c>
    </row>
    <row r="133" spans="1:21" x14ac:dyDescent="0.3">
      <c r="A133">
        <v>584</v>
      </c>
      <c r="B133" t="s">
        <v>1265</v>
      </c>
      <c r="C133" t="s">
        <v>24</v>
      </c>
      <c r="D133" t="s">
        <v>1266</v>
      </c>
      <c r="J133" t="s">
        <v>1267</v>
      </c>
      <c r="K133" s="3">
        <v>291</v>
      </c>
      <c r="L133" s="2">
        <v>0</v>
      </c>
      <c r="M133" s="2">
        <f t="shared" si="2"/>
        <v>291</v>
      </c>
      <c r="N133" s="2">
        <f t="shared" si="3"/>
        <v>14.55</v>
      </c>
      <c r="O133" s="7">
        <v>52.38</v>
      </c>
      <c r="P133" s="2">
        <v>-0.38</v>
      </c>
      <c r="Q133" s="2">
        <v>343</v>
      </c>
      <c r="R133" t="s">
        <v>35</v>
      </c>
      <c r="T133" t="s">
        <v>27</v>
      </c>
      <c r="U133" t="s">
        <v>1268</v>
      </c>
    </row>
    <row r="134" spans="1:21" x14ac:dyDescent="0.3">
      <c r="A134">
        <v>585</v>
      </c>
      <c r="B134" t="s">
        <v>1263</v>
      </c>
      <c r="C134" t="s">
        <v>24</v>
      </c>
      <c r="J134" t="s">
        <v>129</v>
      </c>
      <c r="K134" s="3">
        <v>325</v>
      </c>
      <c r="L134" s="2">
        <v>0</v>
      </c>
      <c r="M134" s="2">
        <f t="shared" si="2"/>
        <v>325</v>
      </c>
      <c r="N134" s="2">
        <f t="shared" si="3"/>
        <v>16.25</v>
      </c>
      <c r="O134" s="7">
        <v>16.260000000000002</v>
      </c>
      <c r="P134" s="2">
        <v>-0.26</v>
      </c>
      <c r="Q134" s="2">
        <v>341</v>
      </c>
      <c r="R134" t="s">
        <v>35</v>
      </c>
      <c r="T134" t="s">
        <v>27</v>
      </c>
      <c r="U134" t="s">
        <v>1264</v>
      </c>
    </row>
    <row r="135" spans="1:21" x14ac:dyDescent="0.3">
      <c r="A135">
        <v>586</v>
      </c>
      <c r="B135" t="s">
        <v>1260</v>
      </c>
      <c r="C135" t="s">
        <v>24</v>
      </c>
      <c r="J135" t="s">
        <v>1261</v>
      </c>
      <c r="K135" s="3">
        <v>1175</v>
      </c>
      <c r="L135" s="2">
        <v>0</v>
      </c>
      <c r="M135" s="2">
        <f t="shared" ref="M135:M198" si="4">K135-L135</f>
        <v>1175</v>
      </c>
      <c r="N135" s="2">
        <f t="shared" ref="N135:N198" si="5">M135*5%</f>
        <v>58.75</v>
      </c>
      <c r="O135" s="7">
        <v>58.76</v>
      </c>
      <c r="P135" s="2">
        <v>0.24</v>
      </c>
      <c r="Q135" s="2">
        <v>1234</v>
      </c>
      <c r="R135" t="s">
        <v>45</v>
      </c>
      <c r="T135" t="s">
        <v>27</v>
      </c>
      <c r="U135" t="s">
        <v>1262</v>
      </c>
    </row>
    <row r="136" spans="1:21" x14ac:dyDescent="0.3">
      <c r="A136">
        <v>587</v>
      </c>
      <c r="B136" t="s">
        <v>1256</v>
      </c>
      <c r="C136" t="s">
        <v>24</v>
      </c>
      <c r="D136" t="s">
        <v>1257</v>
      </c>
      <c r="J136" t="s">
        <v>1258</v>
      </c>
      <c r="K136" s="3">
        <v>745</v>
      </c>
      <c r="L136" s="2">
        <v>0</v>
      </c>
      <c r="M136" s="2">
        <f t="shared" si="4"/>
        <v>745</v>
      </c>
      <c r="N136" s="2">
        <f t="shared" si="5"/>
        <v>37.25</v>
      </c>
      <c r="O136" s="7">
        <v>37.26</v>
      </c>
      <c r="P136" s="2">
        <v>-0.26</v>
      </c>
      <c r="Q136" s="2">
        <v>782</v>
      </c>
      <c r="R136" t="s">
        <v>31</v>
      </c>
      <c r="T136" t="s">
        <v>27</v>
      </c>
      <c r="U136" t="s">
        <v>1259</v>
      </c>
    </row>
    <row r="137" spans="1:21" x14ac:dyDescent="0.3">
      <c r="A137">
        <v>588</v>
      </c>
      <c r="B137" t="s">
        <v>1253</v>
      </c>
      <c r="C137" t="s">
        <v>24</v>
      </c>
      <c r="J137" t="s">
        <v>1254</v>
      </c>
      <c r="K137" s="3">
        <v>1110</v>
      </c>
      <c r="L137" s="2">
        <v>0</v>
      </c>
      <c r="M137" s="2">
        <f t="shared" si="4"/>
        <v>1110</v>
      </c>
      <c r="N137" s="2">
        <f t="shared" si="5"/>
        <v>55.5</v>
      </c>
      <c r="O137" s="7">
        <v>55.5</v>
      </c>
      <c r="P137" s="2">
        <v>0.5</v>
      </c>
      <c r="Q137" s="2">
        <v>1166</v>
      </c>
      <c r="R137" t="s">
        <v>26</v>
      </c>
      <c r="T137" t="s">
        <v>27</v>
      </c>
      <c r="U137" t="s">
        <v>1255</v>
      </c>
    </row>
    <row r="138" spans="1:21" x14ac:dyDescent="0.3">
      <c r="A138">
        <v>589</v>
      </c>
      <c r="B138" t="s">
        <v>1250</v>
      </c>
      <c r="C138" t="s">
        <v>24</v>
      </c>
      <c r="J138" t="s">
        <v>1251</v>
      </c>
      <c r="K138" s="3">
        <v>2180</v>
      </c>
      <c r="L138" s="2">
        <v>0</v>
      </c>
      <c r="M138" s="2">
        <f t="shared" si="4"/>
        <v>2180</v>
      </c>
      <c r="N138" s="2">
        <f t="shared" si="5"/>
        <v>109</v>
      </c>
      <c r="O138" s="7">
        <v>104.5</v>
      </c>
      <c r="P138" s="2">
        <v>0.5</v>
      </c>
      <c r="Q138" s="2">
        <v>2285</v>
      </c>
      <c r="R138" t="s">
        <v>31</v>
      </c>
      <c r="T138" t="s">
        <v>27</v>
      </c>
      <c r="U138" t="s">
        <v>1252</v>
      </c>
    </row>
    <row r="139" spans="1:21" x14ac:dyDescent="0.3">
      <c r="A139">
        <v>590</v>
      </c>
      <c r="B139" t="s">
        <v>1247</v>
      </c>
      <c r="C139" t="s">
        <v>24</v>
      </c>
      <c r="J139" t="s">
        <v>1248</v>
      </c>
      <c r="K139" s="3">
        <v>1160</v>
      </c>
      <c r="L139" s="2">
        <v>0</v>
      </c>
      <c r="M139" s="2">
        <f t="shared" si="4"/>
        <v>1160</v>
      </c>
      <c r="N139" s="2">
        <f t="shared" si="5"/>
        <v>58</v>
      </c>
      <c r="O139" s="7">
        <v>58</v>
      </c>
      <c r="P139" s="2">
        <v>0</v>
      </c>
      <c r="Q139" s="2">
        <v>1218</v>
      </c>
      <c r="R139" t="s">
        <v>45</v>
      </c>
      <c r="T139" t="s">
        <v>27</v>
      </c>
      <c r="U139" t="s">
        <v>1249</v>
      </c>
    </row>
    <row r="140" spans="1:21" x14ac:dyDescent="0.3">
      <c r="A140">
        <v>591</v>
      </c>
      <c r="B140" t="s">
        <v>682</v>
      </c>
      <c r="C140" t="s">
        <v>24</v>
      </c>
      <c r="J140" t="s">
        <v>1245</v>
      </c>
      <c r="K140" s="3">
        <v>190</v>
      </c>
      <c r="L140" s="2">
        <v>0</v>
      </c>
      <c r="M140" s="2">
        <f t="shared" si="4"/>
        <v>190</v>
      </c>
      <c r="N140" s="2">
        <f t="shared" si="5"/>
        <v>9.5</v>
      </c>
      <c r="O140" s="7">
        <v>9.5</v>
      </c>
      <c r="P140" s="2">
        <v>0.5</v>
      </c>
      <c r="Q140" s="2">
        <v>200</v>
      </c>
      <c r="R140" t="s">
        <v>35</v>
      </c>
      <c r="T140" t="s">
        <v>27</v>
      </c>
      <c r="U140" t="s">
        <v>1246</v>
      </c>
    </row>
    <row r="141" spans="1:21" x14ac:dyDescent="0.3">
      <c r="A141">
        <v>592</v>
      </c>
      <c r="B141" t="s">
        <v>146</v>
      </c>
      <c r="C141" t="s">
        <v>24</v>
      </c>
      <c r="J141" t="s">
        <v>1243</v>
      </c>
      <c r="K141" s="3">
        <v>440</v>
      </c>
      <c r="L141" s="2">
        <v>0</v>
      </c>
      <c r="M141" s="2">
        <f t="shared" si="4"/>
        <v>440</v>
      </c>
      <c r="N141" s="2">
        <f t="shared" si="5"/>
        <v>22</v>
      </c>
      <c r="O141" s="7">
        <v>22</v>
      </c>
      <c r="P141" s="2">
        <v>0</v>
      </c>
      <c r="Q141" s="2">
        <v>462</v>
      </c>
      <c r="R141" t="s">
        <v>26</v>
      </c>
      <c r="T141" t="s">
        <v>27</v>
      </c>
      <c r="U141" t="s">
        <v>1244</v>
      </c>
    </row>
    <row r="142" spans="1:21" x14ac:dyDescent="0.3">
      <c r="A142">
        <v>593</v>
      </c>
      <c r="B142" t="s">
        <v>1219</v>
      </c>
      <c r="C142" t="s">
        <v>24</v>
      </c>
      <c r="J142" t="s">
        <v>1241</v>
      </c>
      <c r="K142" s="3">
        <v>570</v>
      </c>
      <c r="L142" s="2">
        <v>0</v>
      </c>
      <c r="M142" s="2">
        <f t="shared" si="4"/>
        <v>570</v>
      </c>
      <c r="N142" s="2">
        <f t="shared" si="5"/>
        <v>28.5</v>
      </c>
      <c r="O142" s="7">
        <v>28.5</v>
      </c>
      <c r="P142" s="2">
        <v>0.5</v>
      </c>
      <c r="Q142" s="2">
        <v>599</v>
      </c>
      <c r="R142" t="s">
        <v>31</v>
      </c>
      <c r="T142" t="s">
        <v>27</v>
      </c>
      <c r="U142" t="s">
        <v>1242</v>
      </c>
    </row>
    <row r="143" spans="1:21" x14ac:dyDescent="0.3">
      <c r="A143">
        <v>594</v>
      </c>
      <c r="B143" t="s">
        <v>1238</v>
      </c>
      <c r="C143" t="s">
        <v>24</v>
      </c>
      <c r="J143" t="s">
        <v>1239</v>
      </c>
      <c r="K143" s="3">
        <v>850</v>
      </c>
      <c r="L143" s="2">
        <v>0</v>
      </c>
      <c r="M143" s="2">
        <f t="shared" si="4"/>
        <v>850</v>
      </c>
      <c r="N143" s="2">
        <f t="shared" si="5"/>
        <v>42.5</v>
      </c>
      <c r="O143" s="7">
        <v>42.5</v>
      </c>
      <c r="P143" s="2">
        <v>0.5</v>
      </c>
      <c r="Q143" s="2">
        <v>893</v>
      </c>
      <c r="R143" t="s">
        <v>45</v>
      </c>
      <c r="T143" t="s">
        <v>27</v>
      </c>
      <c r="U143" t="s">
        <v>1240</v>
      </c>
    </row>
    <row r="144" spans="1:21" x14ac:dyDescent="0.3">
      <c r="A144">
        <v>595</v>
      </c>
      <c r="B144" t="s">
        <v>504</v>
      </c>
      <c r="C144" t="s">
        <v>24</v>
      </c>
      <c r="J144" t="s">
        <v>1236</v>
      </c>
      <c r="K144" s="3">
        <v>850</v>
      </c>
      <c r="L144" s="2">
        <v>0</v>
      </c>
      <c r="M144" s="2">
        <f t="shared" si="4"/>
        <v>850</v>
      </c>
      <c r="N144" s="2">
        <f t="shared" si="5"/>
        <v>42.5</v>
      </c>
      <c r="O144" s="7">
        <v>42.5</v>
      </c>
      <c r="P144" s="2">
        <v>0.5</v>
      </c>
      <c r="Q144" s="2">
        <v>893</v>
      </c>
      <c r="R144" t="s">
        <v>31</v>
      </c>
      <c r="T144" t="s">
        <v>27</v>
      </c>
      <c r="U144" t="s">
        <v>1237</v>
      </c>
    </row>
    <row r="145" spans="1:21" x14ac:dyDescent="0.3">
      <c r="A145">
        <v>596</v>
      </c>
      <c r="B145" t="s">
        <v>1232</v>
      </c>
      <c r="C145" t="s">
        <v>24</v>
      </c>
      <c r="D145" t="s">
        <v>1233</v>
      </c>
      <c r="J145" t="s">
        <v>1234</v>
      </c>
      <c r="K145" s="3">
        <v>2125</v>
      </c>
      <c r="L145" s="2">
        <v>0</v>
      </c>
      <c r="M145" s="2">
        <f t="shared" si="4"/>
        <v>2125</v>
      </c>
      <c r="N145" s="2">
        <f t="shared" si="5"/>
        <v>106.25</v>
      </c>
      <c r="O145" s="7">
        <v>106.26</v>
      </c>
      <c r="P145" s="2">
        <v>-0.26</v>
      </c>
      <c r="Q145" s="2">
        <v>2231</v>
      </c>
      <c r="R145" t="s">
        <v>31</v>
      </c>
      <c r="T145" t="s">
        <v>27</v>
      </c>
      <c r="U145" t="s">
        <v>1235</v>
      </c>
    </row>
    <row r="146" spans="1:21" x14ac:dyDescent="0.3">
      <c r="A146">
        <v>597</v>
      </c>
      <c r="B146" t="s">
        <v>1229</v>
      </c>
      <c r="C146" t="s">
        <v>24</v>
      </c>
      <c r="D146" t="s">
        <v>1230</v>
      </c>
      <c r="J146" t="s">
        <v>2005</v>
      </c>
      <c r="K146" s="3">
        <v>3299</v>
      </c>
      <c r="L146" s="2">
        <v>0</v>
      </c>
      <c r="M146" s="2">
        <f t="shared" si="4"/>
        <v>3299</v>
      </c>
      <c r="N146" s="2">
        <f t="shared" si="5"/>
        <v>164.95000000000002</v>
      </c>
      <c r="O146" s="7">
        <v>162.26</v>
      </c>
      <c r="P146" s="2">
        <v>-0.26</v>
      </c>
      <c r="Q146" s="2">
        <v>3461</v>
      </c>
      <c r="R146" t="s">
        <v>35</v>
      </c>
      <c r="T146" t="s">
        <v>27</v>
      </c>
      <c r="U146" t="s">
        <v>1231</v>
      </c>
    </row>
    <row r="147" spans="1:21" x14ac:dyDescent="0.3">
      <c r="A147">
        <v>598</v>
      </c>
      <c r="B147" t="s">
        <v>957</v>
      </c>
      <c r="C147" t="s">
        <v>24</v>
      </c>
      <c r="J147" t="s">
        <v>1227</v>
      </c>
      <c r="K147" s="3">
        <v>960</v>
      </c>
      <c r="L147" s="2">
        <v>0</v>
      </c>
      <c r="M147" s="2">
        <f t="shared" si="4"/>
        <v>960</v>
      </c>
      <c r="N147" s="2">
        <f t="shared" si="5"/>
        <v>48</v>
      </c>
      <c r="O147" s="7">
        <v>48</v>
      </c>
      <c r="P147" s="2">
        <v>0</v>
      </c>
      <c r="Q147" s="2">
        <v>1008</v>
      </c>
      <c r="R147" t="s">
        <v>45</v>
      </c>
      <c r="T147" t="s">
        <v>27</v>
      </c>
      <c r="U147" t="s">
        <v>1228</v>
      </c>
    </row>
    <row r="148" spans="1:21" x14ac:dyDescent="0.3">
      <c r="A148">
        <v>599</v>
      </c>
      <c r="B148" t="s">
        <v>932</v>
      </c>
      <c r="C148" t="s">
        <v>24</v>
      </c>
      <c r="J148" t="s">
        <v>1225</v>
      </c>
      <c r="K148" s="3">
        <v>995</v>
      </c>
      <c r="L148" s="2">
        <v>0</v>
      </c>
      <c r="M148" s="2">
        <f t="shared" si="4"/>
        <v>995</v>
      </c>
      <c r="N148" s="2">
        <f t="shared" si="5"/>
        <v>49.75</v>
      </c>
      <c r="O148" s="7">
        <v>49.76</v>
      </c>
      <c r="P148" s="2">
        <v>0.24</v>
      </c>
      <c r="Q148" s="2">
        <v>1045</v>
      </c>
      <c r="R148" t="s">
        <v>45</v>
      </c>
      <c r="T148" t="s">
        <v>27</v>
      </c>
      <c r="U148" t="s">
        <v>1226</v>
      </c>
    </row>
    <row r="149" spans="1:21" x14ac:dyDescent="0.3">
      <c r="A149">
        <v>600</v>
      </c>
      <c r="B149" t="s">
        <v>1222</v>
      </c>
      <c r="C149" t="s">
        <v>24</v>
      </c>
      <c r="J149" t="s">
        <v>1223</v>
      </c>
      <c r="K149" s="3">
        <v>1045</v>
      </c>
      <c r="L149" s="2">
        <v>0</v>
      </c>
      <c r="M149" s="2">
        <f t="shared" si="4"/>
        <v>1045</v>
      </c>
      <c r="N149" s="2">
        <f t="shared" si="5"/>
        <v>52.25</v>
      </c>
      <c r="O149" s="7">
        <v>52.26</v>
      </c>
      <c r="P149" s="2">
        <v>-0.26</v>
      </c>
      <c r="Q149" s="2">
        <v>1097</v>
      </c>
      <c r="R149" t="s">
        <v>45</v>
      </c>
      <c r="T149" t="s">
        <v>27</v>
      </c>
      <c r="U149" t="s">
        <v>1224</v>
      </c>
    </row>
    <row r="150" spans="1:21" x14ac:dyDescent="0.3">
      <c r="A150">
        <v>601</v>
      </c>
      <c r="B150" t="s">
        <v>1219</v>
      </c>
      <c r="C150" t="s">
        <v>24</v>
      </c>
      <c r="J150" t="s">
        <v>1220</v>
      </c>
      <c r="K150" s="3">
        <v>430</v>
      </c>
      <c r="L150" s="2">
        <v>0</v>
      </c>
      <c r="M150" s="2">
        <f t="shared" si="4"/>
        <v>430</v>
      </c>
      <c r="N150" s="2">
        <f t="shared" si="5"/>
        <v>21.5</v>
      </c>
      <c r="O150" s="7">
        <v>21.5</v>
      </c>
      <c r="P150" s="2">
        <v>0.5</v>
      </c>
      <c r="Q150" s="2">
        <v>452</v>
      </c>
      <c r="R150" t="s">
        <v>45</v>
      </c>
      <c r="T150" t="s">
        <v>27</v>
      </c>
      <c r="U150" t="s">
        <v>1221</v>
      </c>
    </row>
    <row r="151" spans="1:21" x14ac:dyDescent="0.3">
      <c r="A151">
        <v>602</v>
      </c>
      <c r="B151" t="s">
        <v>1216</v>
      </c>
      <c r="C151" t="s">
        <v>24</v>
      </c>
      <c r="J151" t="s">
        <v>1217</v>
      </c>
      <c r="K151" s="3">
        <v>700</v>
      </c>
      <c r="L151" s="2">
        <v>0</v>
      </c>
      <c r="M151" s="2">
        <f t="shared" si="4"/>
        <v>700</v>
      </c>
      <c r="N151" s="2">
        <f t="shared" si="5"/>
        <v>35</v>
      </c>
      <c r="O151" s="7">
        <v>35</v>
      </c>
      <c r="P151" s="2">
        <v>0</v>
      </c>
      <c r="Q151" s="2">
        <v>735</v>
      </c>
      <c r="R151" t="s">
        <v>26</v>
      </c>
      <c r="T151" t="s">
        <v>27</v>
      </c>
      <c r="U151" t="s">
        <v>1218</v>
      </c>
    </row>
    <row r="152" spans="1:21" x14ac:dyDescent="0.3">
      <c r="A152">
        <v>603</v>
      </c>
      <c r="B152" t="s">
        <v>64</v>
      </c>
      <c r="C152" t="s">
        <v>24</v>
      </c>
      <c r="J152" t="s">
        <v>1214</v>
      </c>
      <c r="K152" s="3">
        <v>1100</v>
      </c>
      <c r="L152" s="2">
        <v>0</v>
      </c>
      <c r="M152" s="2">
        <f t="shared" si="4"/>
        <v>1100</v>
      </c>
      <c r="N152" s="2">
        <f t="shared" si="5"/>
        <v>55</v>
      </c>
      <c r="O152" s="7">
        <v>55</v>
      </c>
      <c r="P152" s="2">
        <v>0</v>
      </c>
      <c r="Q152" s="2">
        <v>1155</v>
      </c>
      <c r="R152" t="s">
        <v>45</v>
      </c>
      <c r="T152" t="s">
        <v>27</v>
      </c>
      <c r="U152" t="s">
        <v>1215</v>
      </c>
    </row>
    <row r="153" spans="1:21" x14ac:dyDescent="0.3">
      <c r="A153">
        <v>604</v>
      </c>
      <c r="B153" t="s">
        <v>149</v>
      </c>
      <c r="C153" t="s">
        <v>24</v>
      </c>
      <c r="J153" t="s">
        <v>1212</v>
      </c>
      <c r="K153" s="3">
        <v>950</v>
      </c>
      <c r="L153" s="2">
        <v>0</v>
      </c>
      <c r="M153" s="2">
        <f t="shared" si="4"/>
        <v>950</v>
      </c>
      <c r="N153" s="2">
        <f t="shared" si="5"/>
        <v>47.5</v>
      </c>
      <c r="O153" s="7">
        <v>47.5</v>
      </c>
      <c r="P153" s="2">
        <v>0.5</v>
      </c>
      <c r="Q153" s="2">
        <v>998</v>
      </c>
      <c r="R153" t="s">
        <v>45</v>
      </c>
      <c r="T153" t="s">
        <v>27</v>
      </c>
      <c r="U153" t="s">
        <v>1213</v>
      </c>
    </row>
    <row r="154" spans="1:21" x14ac:dyDescent="0.3">
      <c r="A154">
        <v>605</v>
      </c>
      <c r="B154" t="s">
        <v>50</v>
      </c>
      <c r="C154" t="s">
        <v>24</v>
      </c>
      <c r="J154" t="s">
        <v>1210</v>
      </c>
      <c r="K154" s="3">
        <v>2690</v>
      </c>
      <c r="L154" s="2">
        <v>0</v>
      </c>
      <c r="M154" s="2">
        <f t="shared" si="4"/>
        <v>2690</v>
      </c>
      <c r="N154" s="2">
        <f t="shared" si="5"/>
        <v>134.5</v>
      </c>
      <c r="O154" s="7">
        <v>134.5</v>
      </c>
      <c r="P154" s="2">
        <v>0.5</v>
      </c>
      <c r="Q154" s="2">
        <v>2825</v>
      </c>
      <c r="R154" t="s">
        <v>45</v>
      </c>
      <c r="T154" t="s">
        <v>27</v>
      </c>
      <c r="U154" t="s">
        <v>1211</v>
      </c>
    </row>
    <row r="155" spans="1:21" x14ac:dyDescent="0.3">
      <c r="A155">
        <v>606</v>
      </c>
      <c r="B155" t="s">
        <v>37</v>
      </c>
      <c r="C155" t="s">
        <v>24</v>
      </c>
      <c r="J155" t="s">
        <v>1208</v>
      </c>
      <c r="K155" s="3">
        <v>0</v>
      </c>
      <c r="L155" s="2">
        <v>0</v>
      </c>
      <c r="M155" s="2">
        <f t="shared" si="4"/>
        <v>0</v>
      </c>
      <c r="N155" s="2">
        <f t="shared" si="5"/>
        <v>0</v>
      </c>
      <c r="O155" s="7">
        <v>0</v>
      </c>
      <c r="P155" s="2">
        <v>0</v>
      </c>
      <c r="Q155" s="2">
        <v>0</v>
      </c>
      <c r="R155" t="s">
        <v>35</v>
      </c>
      <c r="T155" t="s">
        <v>27</v>
      </c>
      <c r="U155" t="s">
        <v>1209</v>
      </c>
    </row>
    <row r="156" spans="1:21" x14ac:dyDescent="0.3">
      <c r="A156">
        <v>607</v>
      </c>
      <c r="B156" t="s">
        <v>1204</v>
      </c>
      <c r="C156" t="s">
        <v>24</v>
      </c>
      <c r="D156" t="s">
        <v>1205</v>
      </c>
      <c r="J156" t="s">
        <v>1206</v>
      </c>
      <c r="K156" s="3">
        <v>0</v>
      </c>
      <c r="L156" s="2">
        <v>0</v>
      </c>
      <c r="M156" s="2">
        <f t="shared" si="4"/>
        <v>0</v>
      </c>
      <c r="N156" s="2">
        <f t="shared" si="5"/>
        <v>0</v>
      </c>
      <c r="O156" s="7">
        <v>0</v>
      </c>
      <c r="P156" s="2">
        <v>0</v>
      </c>
      <c r="Q156" s="2">
        <v>0</v>
      </c>
      <c r="R156" t="s">
        <v>35</v>
      </c>
      <c r="T156" t="s">
        <v>27</v>
      </c>
      <c r="U156" t="s">
        <v>1207</v>
      </c>
    </row>
    <row r="157" spans="1:21" x14ac:dyDescent="0.3">
      <c r="A157">
        <v>608</v>
      </c>
      <c r="B157" t="s">
        <v>74</v>
      </c>
      <c r="C157" t="s">
        <v>24</v>
      </c>
      <c r="J157" t="s">
        <v>34</v>
      </c>
      <c r="K157" s="3">
        <v>390</v>
      </c>
      <c r="L157" s="2">
        <v>0</v>
      </c>
      <c r="M157" s="2">
        <f t="shared" si="4"/>
        <v>390</v>
      </c>
      <c r="N157" s="2">
        <f t="shared" si="5"/>
        <v>19.5</v>
      </c>
      <c r="O157" s="7">
        <v>19.5</v>
      </c>
      <c r="P157" s="2">
        <v>0.5</v>
      </c>
      <c r="Q157" s="2">
        <v>410</v>
      </c>
      <c r="R157" t="s">
        <v>31</v>
      </c>
      <c r="T157" t="s">
        <v>27</v>
      </c>
      <c r="U157" t="s">
        <v>1203</v>
      </c>
    </row>
    <row r="158" spans="1:21" x14ac:dyDescent="0.3">
      <c r="A158">
        <v>609</v>
      </c>
      <c r="B158" t="s">
        <v>67</v>
      </c>
      <c r="C158" t="s">
        <v>24</v>
      </c>
      <c r="J158" t="s">
        <v>1201</v>
      </c>
      <c r="K158" s="3">
        <v>1980</v>
      </c>
      <c r="L158" s="2">
        <v>0</v>
      </c>
      <c r="M158" s="2">
        <f t="shared" si="4"/>
        <v>1980</v>
      </c>
      <c r="N158" s="2">
        <f t="shared" si="5"/>
        <v>99</v>
      </c>
      <c r="O158" s="7">
        <v>99</v>
      </c>
      <c r="P158" s="2">
        <v>0</v>
      </c>
      <c r="Q158" s="2">
        <v>2079</v>
      </c>
      <c r="R158" t="s">
        <v>35</v>
      </c>
      <c r="T158" t="s">
        <v>27</v>
      </c>
      <c r="U158" t="s">
        <v>1202</v>
      </c>
    </row>
    <row r="159" spans="1:21" x14ac:dyDescent="0.3">
      <c r="A159">
        <v>610</v>
      </c>
      <c r="B159" t="s">
        <v>50</v>
      </c>
      <c r="C159" t="s">
        <v>24</v>
      </c>
      <c r="J159" t="s">
        <v>353</v>
      </c>
      <c r="K159" s="3">
        <v>295</v>
      </c>
      <c r="L159" s="2">
        <v>0</v>
      </c>
      <c r="M159" s="2">
        <f t="shared" si="4"/>
        <v>295</v>
      </c>
      <c r="N159" s="2">
        <f t="shared" si="5"/>
        <v>14.75</v>
      </c>
      <c r="O159" s="7">
        <v>14.76</v>
      </c>
      <c r="P159" s="2">
        <v>0.24</v>
      </c>
      <c r="Q159" s="2">
        <v>310</v>
      </c>
      <c r="R159" t="s">
        <v>45</v>
      </c>
      <c r="T159" t="s">
        <v>27</v>
      </c>
      <c r="U159" t="s">
        <v>1200</v>
      </c>
    </row>
    <row r="160" spans="1:21" x14ac:dyDescent="0.3">
      <c r="A160">
        <v>611</v>
      </c>
      <c r="B160" t="s">
        <v>1197</v>
      </c>
      <c r="C160" t="s">
        <v>24</v>
      </c>
      <c r="D160" t="s">
        <v>1198</v>
      </c>
      <c r="J160" t="s">
        <v>106</v>
      </c>
      <c r="K160" s="3">
        <v>250</v>
      </c>
      <c r="L160" s="2">
        <v>0</v>
      </c>
      <c r="M160" s="2">
        <f t="shared" si="4"/>
        <v>250</v>
      </c>
      <c r="N160" s="2">
        <f t="shared" si="5"/>
        <v>12.5</v>
      </c>
      <c r="O160" s="7">
        <v>12.5</v>
      </c>
      <c r="P160" s="2">
        <v>0.5</v>
      </c>
      <c r="Q160" s="2">
        <v>263</v>
      </c>
      <c r="R160" t="s">
        <v>45</v>
      </c>
      <c r="T160" t="s">
        <v>27</v>
      </c>
      <c r="U160" t="s">
        <v>1199</v>
      </c>
    </row>
    <row r="161" spans="1:21" x14ac:dyDescent="0.3">
      <c r="A161">
        <v>612</v>
      </c>
      <c r="B161" t="s">
        <v>1193</v>
      </c>
      <c r="C161" t="s">
        <v>24</v>
      </c>
      <c r="D161" t="s">
        <v>1194</v>
      </c>
      <c r="J161" t="s">
        <v>1195</v>
      </c>
      <c r="K161" s="3">
        <v>1025</v>
      </c>
      <c r="L161" s="2">
        <v>0</v>
      </c>
      <c r="M161" s="2">
        <f t="shared" si="4"/>
        <v>1025</v>
      </c>
      <c r="N161" s="2">
        <f t="shared" si="5"/>
        <v>51.25</v>
      </c>
      <c r="O161" s="7">
        <v>51.26</v>
      </c>
      <c r="P161" s="2">
        <v>-0.26</v>
      </c>
      <c r="Q161" s="2">
        <v>1076</v>
      </c>
      <c r="R161" t="s">
        <v>31</v>
      </c>
      <c r="T161" t="s">
        <v>27</v>
      </c>
      <c r="U161" t="s">
        <v>1196</v>
      </c>
    </row>
    <row r="162" spans="1:21" x14ac:dyDescent="0.3">
      <c r="A162">
        <v>613</v>
      </c>
      <c r="B162" t="s">
        <v>1189</v>
      </c>
      <c r="C162" t="s">
        <v>24</v>
      </c>
      <c r="D162" t="s">
        <v>1190</v>
      </c>
      <c r="J162" t="s">
        <v>1191</v>
      </c>
      <c r="K162" s="3">
        <v>1795</v>
      </c>
      <c r="L162" s="2">
        <v>0</v>
      </c>
      <c r="M162" s="2">
        <f t="shared" si="4"/>
        <v>1795</v>
      </c>
      <c r="N162" s="2">
        <f t="shared" si="5"/>
        <v>89.75</v>
      </c>
      <c r="O162" s="7">
        <v>89.76</v>
      </c>
      <c r="P162" s="2">
        <v>0.24</v>
      </c>
      <c r="Q162" s="2">
        <v>1885</v>
      </c>
      <c r="R162" t="s">
        <v>45</v>
      </c>
      <c r="T162" t="s">
        <v>27</v>
      </c>
      <c r="U162" t="s">
        <v>1192</v>
      </c>
    </row>
    <row r="163" spans="1:21" x14ac:dyDescent="0.3">
      <c r="A163">
        <v>614</v>
      </c>
      <c r="B163" t="s">
        <v>717</v>
      </c>
      <c r="C163" t="s">
        <v>24</v>
      </c>
      <c r="J163" t="s">
        <v>1187</v>
      </c>
      <c r="K163" s="3">
        <v>735</v>
      </c>
      <c r="L163" s="2">
        <v>110.25</v>
      </c>
      <c r="M163" s="2">
        <f t="shared" si="4"/>
        <v>624.75</v>
      </c>
      <c r="N163" s="2">
        <f t="shared" si="5"/>
        <v>31.237500000000001</v>
      </c>
      <c r="O163" s="7">
        <v>31.24</v>
      </c>
      <c r="P163" s="2">
        <v>0.01</v>
      </c>
      <c r="Q163" s="2">
        <v>656</v>
      </c>
      <c r="R163" t="s">
        <v>45</v>
      </c>
      <c r="T163" t="s">
        <v>27</v>
      </c>
      <c r="U163" t="s">
        <v>1188</v>
      </c>
    </row>
    <row r="164" spans="1:21" x14ac:dyDescent="0.3">
      <c r="A164">
        <v>615</v>
      </c>
      <c r="B164" t="s">
        <v>1183</v>
      </c>
      <c r="C164" t="s">
        <v>24</v>
      </c>
      <c r="D164" t="s">
        <v>1184</v>
      </c>
      <c r="J164" t="s">
        <v>1185</v>
      </c>
      <c r="K164" s="3">
        <v>490</v>
      </c>
      <c r="L164" s="2">
        <v>0</v>
      </c>
      <c r="M164" s="2">
        <f t="shared" si="4"/>
        <v>490</v>
      </c>
      <c r="N164" s="2">
        <f t="shared" si="5"/>
        <v>24.5</v>
      </c>
      <c r="O164" s="7">
        <v>24.5</v>
      </c>
      <c r="P164" s="2">
        <v>0.5</v>
      </c>
      <c r="Q164" s="2">
        <v>515</v>
      </c>
      <c r="R164" t="s">
        <v>45</v>
      </c>
      <c r="T164" t="s">
        <v>27</v>
      </c>
      <c r="U164" t="s">
        <v>1186</v>
      </c>
    </row>
    <row r="165" spans="1:21" x14ac:dyDescent="0.3">
      <c r="A165">
        <v>616</v>
      </c>
      <c r="B165" t="s">
        <v>67</v>
      </c>
      <c r="C165" t="s">
        <v>24</v>
      </c>
      <c r="J165" t="s">
        <v>1181</v>
      </c>
      <c r="K165" s="3">
        <v>770</v>
      </c>
      <c r="L165" s="2">
        <v>0</v>
      </c>
      <c r="M165" s="2">
        <f t="shared" si="4"/>
        <v>770</v>
      </c>
      <c r="N165" s="2">
        <f t="shared" si="5"/>
        <v>38.5</v>
      </c>
      <c r="O165" s="7">
        <v>38.5</v>
      </c>
      <c r="P165" s="2">
        <v>0.5</v>
      </c>
      <c r="Q165" s="2">
        <v>809</v>
      </c>
      <c r="R165" t="s">
        <v>35</v>
      </c>
      <c r="T165" t="s">
        <v>27</v>
      </c>
      <c r="U165" t="s">
        <v>1182</v>
      </c>
    </row>
    <row r="166" spans="1:21" x14ac:dyDescent="0.3">
      <c r="A166">
        <v>617</v>
      </c>
      <c r="B166" t="s">
        <v>1177</v>
      </c>
      <c r="C166" t="s">
        <v>24</v>
      </c>
      <c r="D166" t="s">
        <v>1178</v>
      </c>
      <c r="J166" t="s">
        <v>1179</v>
      </c>
      <c r="K166" s="3">
        <v>705</v>
      </c>
      <c r="L166" s="2">
        <v>0</v>
      </c>
      <c r="M166" s="2">
        <f t="shared" si="4"/>
        <v>705</v>
      </c>
      <c r="N166" s="2">
        <f t="shared" si="5"/>
        <v>35.25</v>
      </c>
      <c r="O166" s="7">
        <v>35.26</v>
      </c>
      <c r="P166" s="2">
        <v>-0.26</v>
      </c>
      <c r="Q166" s="2">
        <v>740</v>
      </c>
      <c r="R166" t="s">
        <v>35</v>
      </c>
      <c r="T166" t="s">
        <v>27</v>
      </c>
      <c r="U166" t="s">
        <v>1180</v>
      </c>
    </row>
    <row r="167" spans="1:21" x14ac:dyDescent="0.3">
      <c r="A167">
        <v>618</v>
      </c>
      <c r="B167" t="s">
        <v>1173</v>
      </c>
      <c r="C167" t="s">
        <v>24</v>
      </c>
      <c r="D167" t="s">
        <v>1174</v>
      </c>
      <c r="J167" t="s">
        <v>1175</v>
      </c>
      <c r="K167" s="3">
        <v>1550</v>
      </c>
      <c r="L167" s="2">
        <v>0</v>
      </c>
      <c r="M167" s="2">
        <f t="shared" si="4"/>
        <v>1550</v>
      </c>
      <c r="N167" s="2">
        <f t="shared" si="5"/>
        <v>77.5</v>
      </c>
      <c r="O167" s="7">
        <v>77.5</v>
      </c>
      <c r="P167" s="2">
        <v>0.5</v>
      </c>
      <c r="Q167" s="2">
        <v>1628</v>
      </c>
      <c r="R167" t="s">
        <v>31</v>
      </c>
      <c r="T167" t="s">
        <v>27</v>
      </c>
      <c r="U167" t="s">
        <v>1176</v>
      </c>
    </row>
    <row r="168" spans="1:21" x14ac:dyDescent="0.3">
      <c r="A168">
        <v>619</v>
      </c>
      <c r="B168" t="s">
        <v>1169</v>
      </c>
      <c r="C168" t="s">
        <v>24</v>
      </c>
      <c r="D168" t="s">
        <v>1170</v>
      </c>
      <c r="J168" t="s">
        <v>1171</v>
      </c>
      <c r="K168" s="3">
        <v>1390</v>
      </c>
      <c r="L168" s="2">
        <v>208.5</v>
      </c>
      <c r="M168" s="2">
        <f t="shared" si="4"/>
        <v>1181.5</v>
      </c>
      <c r="N168" s="2">
        <f t="shared" si="5"/>
        <v>59.075000000000003</v>
      </c>
      <c r="O168" s="7">
        <v>59.08</v>
      </c>
      <c r="P168" s="2">
        <v>0.42</v>
      </c>
      <c r="Q168" s="2">
        <v>1241</v>
      </c>
      <c r="R168" t="s">
        <v>35</v>
      </c>
      <c r="T168" t="s">
        <v>27</v>
      </c>
      <c r="U168" t="s">
        <v>1172</v>
      </c>
    </row>
    <row r="169" spans="1:21" x14ac:dyDescent="0.3">
      <c r="A169">
        <v>620</v>
      </c>
      <c r="B169" t="s">
        <v>33</v>
      </c>
      <c r="C169" t="s">
        <v>24</v>
      </c>
      <c r="J169" t="s">
        <v>1167</v>
      </c>
      <c r="K169" s="3">
        <v>0</v>
      </c>
      <c r="L169" s="2">
        <v>0</v>
      </c>
      <c r="M169" s="2">
        <f t="shared" si="4"/>
        <v>0</v>
      </c>
      <c r="N169" s="2">
        <f t="shared" si="5"/>
        <v>0</v>
      </c>
      <c r="O169" s="7">
        <v>0</v>
      </c>
      <c r="P169" s="2">
        <v>0</v>
      </c>
      <c r="Q169" s="2">
        <v>0</v>
      </c>
      <c r="R169" t="s">
        <v>35</v>
      </c>
      <c r="T169" t="s">
        <v>27</v>
      </c>
      <c r="U169" t="s">
        <v>1168</v>
      </c>
    </row>
    <row r="170" spans="1:21" x14ac:dyDescent="0.3">
      <c r="A170">
        <v>621</v>
      </c>
      <c r="B170" t="s">
        <v>40</v>
      </c>
      <c r="C170" t="s">
        <v>24</v>
      </c>
      <c r="J170" t="s">
        <v>1165</v>
      </c>
      <c r="K170" s="3">
        <v>0</v>
      </c>
      <c r="L170" s="2">
        <v>0</v>
      </c>
      <c r="M170" s="2">
        <f t="shared" si="4"/>
        <v>0</v>
      </c>
      <c r="N170" s="2">
        <f t="shared" si="5"/>
        <v>0</v>
      </c>
      <c r="O170" s="7">
        <v>0</v>
      </c>
      <c r="P170" s="2">
        <v>0</v>
      </c>
      <c r="Q170" s="2">
        <v>0</v>
      </c>
      <c r="R170" t="s">
        <v>35</v>
      </c>
      <c r="T170" t="s">
        <v>27</v>
      </c>
      <c r="U170" t="s">
        <v>1166</v>
      </c>
    </row>
    <row r="171" spans="1:21" x14ac:dyDescent="0.3">
      <c r="A171">
        <v>622</v>
      </c>
      <c r="B171" t="s">
        <v>67</v>
      </c>
      <c r="C171" t="s">
        <v>24</v>
      </c>
      <c r="J171" t="s">
        <v>1163</v>
      </c>
      <c r="K171" s="3">
        <v>1345</v>
      </c>
      <c r="L171" s="2">
        <v>0</v>
      </c>
      <c r="M171" s="2">
        <f t="shared" si="4"/>
        <v>1345</v>
      </c>
      <c r="N171" s="2">
        <f t="shared" si="5"/>
        <v>67.25</v>
      </c>
      <c r="O171" s="7">
        <v>67.260000000000005</v>
      </c>
      <c r="P171" s="2">
        <v>-0.26</v>
      </c>
      <c r="Q171" s="2">
        <v>1412</v>
      </c>
      <c r="R171" t="s">
        <v>31</v>
      </c>
      <c r="T171" t="s">
        <v>27</v>
      </c>
      <c r="U171" t="s">
        <v>1164</v>
      </c>
    </row>
    <row r="172" spans="1:21" x14ac:dyDescent="0.3">
      <c r="A172">
        <v>623</v>
      </c>
      <c r="B172" t="s">
        <v>117</v>
      </c>
      <c r="C172" t="s">
        <v>24</v>
      </c>
      <c r="D172" t="s">
        <v>1160</v>
      </c>
      <c r="J172" t="s">
        <v>1161</v>
      </c>
      <c r="K172" s="3">
        <v>689</v>
      </c>
      <c r="L172" s="2">
        <v>0</v>
      </c>
      <c r="M172" s="2">
        <f t="shared" si="4"/>
        <v>689</v>
      </c>
      <c r="N172" s="2">
        <f t="shared" si="5"/>
        <v>34.450000000000003</v>
      </c>
      <c r="O172" s="7">
        <v>34.46</v>
      </c>
      <c r="P172" s="2">
        <v>-0.46</v>
      </c>
      <c r="Q172" s="2">
        <v>723</v>
      </c>
      <c r="R172" t="s">
        <v>31</v>
      </c>
      <c r="T172" t="s">
        <v>27</v>
      </c>
      <c r="U172" t="s">
        <v>1162</v>
      </c>
    </row>
    <row r="173" spans="1:21" x14ac:dyDescent="0.3">
      <c r="A173">
        <v>624</v>
      </c>
      <c r="B173" t="s">
        <v>201</v>
      </c>
      <c r="C173" t="s">
        <v>24</v>
      </c>
      <c r="D173" t="s">
        <v>1158</v>
      </c>
      <c r="J173" t="s">
        <v>2004</v>
      </c>
      <c r="K173" s="3">
        <v>4999</v>
      </c>
      <c r="L173" s="2">
        <v>749.85</v>
      </c>
      <c r="M173" s="2">
        <f t="shared" si="4"/>
        <v>4249.1499999999996</v>
      </c>
      <c r="N173" s="2">
        <f t="shared" si="5"/>
        <v>212.45749999999998</v>
      </c>
      <c r="O173" s="7">
        <v>206.12</v>
      </c>
      <c r="P173" s="2">
        <v>-0.27</v>
      </c>
      <c r="Q173" s="2">
        <v>4455</v>
      </c>
      <c r="R173" t="s">
        <v>45</v>
      </c>
      <c r="T173" t="s">
        <v>27</v>
      </c>
      <c r="U173" t="s">
        <v>1159</v>
      </c>
    </row>
    <row r="174" spans="1:21" x14ac:dyDescent="0.3">
      <c r="A174">
        <v>625</v>
      </c>
      <c r="B174" t="s">
        <v>682</v>
      </c>
      <c r="C174" t="s">
        <v>24</v>
      </c>
      <c r="D174" t="s">
        <v>1156</v>
      </c>
      <c r="J174" t="s">
        <v>492</v>
      </c>
      <c r="K174" s="3">
        <v>190</v>
      </c>
      <c r="L174" s="2">
        <v>0</v>
      </c>
      <c r="M174" s="2">
        <f t="shared" si="4"/>
        <v>190</v>
      </c>
      <c r="N174" s="2">
        <f t="shared" si="5"/>
        <v>9.5</v>
      </c>
      <c r="O174" s="7">
        <v>9.5</v>
      </c>
      <c r="P174" s="2">
        <v>0.5</v>
      </c>
      <c r="Q174" s="2">
        <v>200</v>
      </c>
      <c r="R174" t="s">
        <v>45</v>
      </c>
      <c r="T174" t="s">
        <v>27</v>
      </c>
      <c r="U174" t="s">
        <v>1157</v>
      </c>
    </row>
    <row r="175" spans="1:21" x14ac:dyDescent="0.3">
      <c r="A175">
        <v>626</v>
      </c>
      <c r="B175" t="s">
        <v>1153</v>
      </c>
      <c r="C175" t="s">
        <v>24</v>
      </c>
      <c r="J175" t="s">
        <v>1154</v>
      </c>
      <c r="K175" s="3">
        <v>650</v>
      </c>
      <c r="L175" s="2">
        <v>0</v>
      </c>
      <c r="M175" s="2">
        <f t="shared" si="4"/>
        <v>650</v>
      </c>
      <c r="N175" s="2">
        <f t="shared" si="5"/>
        <v>32.5</v>
      </c>
      <c r="O175" s="7">
        <v>32.5</v>
      </c>
      <c r="P175" s="2">
        <v>0.5</v>
      </c>
      <c r="Q175" s="2">
        <v>683</v>
      </c>
      <c r="R175" t="s">
        <v>31</v>
      </c>
      <c r="T175" t="s">
        <v>27</v>
      </c>
      <c r="U175" t="s">
        <v>1155</v>
      </c>
    </row>
    <row r="176" spans="1:21" x14ac:dyDescent="0.3">
      <c r="A176">
        <v>627</v>
      </c>
      <c r="B176" t="s">
        <v>50</v>
      </c>
      <c r="C176" t="s">
        <v>24</v>
      </c>
      <c r="J176" t="s">
        <v>1151</v>
      </c>
      <c r="K176" s="3">
        <v>1220</v>
      </c>
      <c r="L176" s="2">
        <v>0</v>
      </c>
      <c r="M176" s="2">
        <f t="shared" si="4"/>
        <v>1220</v>
      </c>
      <c r="N176" s="2">
        <f t="shared" si="5"/>
        <v>61</v>
      </c>
      <c r="O176" s="7">
        <v>61</v>
      </c>
      <c r="P176" s="2">
        <v>0</v>
      </c>
      <c r="Q176" s="2">
        <v>1281</v>
      </c>
      <c r="R176" t="s">
        <v>31</v>
      </c>
      <c r="T176" t="s">
        <v>27</v>
      </c>
      <c r="U176" t="s">
        <v>1152</v>
      </c>
    </row>
    <row r="177" spans="1:21" x14ac:dyDescent="0.3">
      <c r="A177">
        <v>628</v>
      </c>
      <c r="B177" t="s">
        <v>23</v>
      </c>
      <c r="C177" t="s">
        <v>24</v>
      </c>
      <c r="J177" t="s">
        <v>1149</v>
      </c>
      <c r="K177" s="3">
        <v>705</v>
      </c>
      <c r="L177" s="2">
        <v>0</v>
      </c>
      <c r="M177" s="2">
        <f t="shared" si="4"/>
        <v>705</v>
      </c>
      <c r="N177" s="2">
        <f t="shared" si="5"/>
        <v>35.25</v>
      </c>
      <c r="O177" s="7">
        <v>35.26</v>
      </c>
      <c r="P177" s="2">
        <v>-0.26</v>
      </c>
      <c r="Q177" s="2">
        <v>740</v>
      </c>
      <c r="R177" t="s">
        <v>45</v>
      </c>
      <c r="T177" t="s">
        <v>27</v>
      </c>
      <c r="U177" t="s">
        <v>1150</v>
      </c>
    </row>
    <row r="178" spans="1:21" x14ac:dyDescent="0.3">
      <c r="A178">
        <v>629</v>
      </c>
      <c r="B178" t="s">
        <v>53</v>
      </c>
      <c r="C178" t="s">
        <v>24</v>
      </c>
      <c r="J178" t="s">
        <v>1147</v>
      </c>
      <c r="K178" s="3">
        <v>2940</v>
      </c>
      <c r="L178" s="2">
        <v>441</v>
      </c>
      <c r="M178" s="2">
        <f t="shared" si="4"/>
        <v>2499</v>
      </c>
      <c r="N178" s="2">
        <f t="shared" si="5"/>
        <v>124.95</v>
      </c>
      <c r="O178" s="7">
        <v>124.96</v>
      </c>
      <c r="P178" s="2">
        <v>0.04</v>
      </c>
      <c r="Q178" s="2">
        <v>2624</v>
      </c>
      <c r="R178" t="s">
        <v>31</v>
      </c>
      <c r="T178" t="s">
        <v>27</v>
      </c>
      <c r="U178" t="s">
        <v>1148</v>
      </c>
    </row>
    <row r="179" spans="1:21" x14ac:dyDescent="0.3">
      <c r="A179">
        <v>630</v>
      </c>
      <c r="B179" t="s">
        <v>149</v>
      </c>
      <c r="C179" t="s">
        <v>24</v>
      </c>
      <c r="J179" t="s">
        <v>1145</v>
      </c>
      <c r="K179" s="3">
        <v>335</v>
      </c>
      <c r="L179" s="2">
        <v>0</v>
      </c>
      <c r="M179" s="2">
        <f t="shared" si="4"/>
        <v>335</v>
      </c>
      <c r="N179" s="2">
        <f t="shared" si="5"/>
        <v>16.75</v>
      </c>
      <c r="O179" s="7">
        <v>16.760000000000002</v>
      </c>
      <c r="P179" s="2">
        <v>0.24</v>
      </c>
      <c r="Q179" s="2">
        <v>352</v>
      </c>
      <c r="R179" t="s">
        <v>45</v>
      </c>
      <c r="T179" t="s">
        <v>27</v>
      </c>
      <c r="U179" t="s">
        <v>1146</v>
      </c>
    </row>
    <row r="180" spans="1:21" x14ac:dyDescent="0.3">
      <c r="A180">
        <v>631</v>
      </c>
      <c r="B180" t="s">
        <v>1141</v>
      </c>
      <c r="C180" t="s">
        <v>24</v>
      </c>
      <c r="D180" t="s">
        <v>1142</v>
      </c>
      <c r="J180" t="s">
        <v>1143</v>
      </c>
      <c r="K180" s="3">
        <v>0</v>
      </c>
      <c r="L180" s="2">
        <v>0</v>
      </c>
      <c r="M180" s="2">
        <f t="shared" si="4"/>
        <v>0</v>
      </c>
      <c r="N180" s="2">
        <f t="shared" si="5"/>
        <v>0</v>
      </c>
      <c r="O180" s="7">
        <v>0</v>
      </c>
      <c r="P180" s="2">
        <v>0</v>
      </c>
      <c r="Q180" s="2">
        <v>0</v>
      </c>
      <c r="R180" t="s">
        <v>35</v>
      </c>
      <c r="T180" t="s">
        <v>27</v>
      </c>
      <c r="U180" t="s">
        <v>1144</v>
      </c>
    </row>
    <row r="181" spans="1:21" x14ac:dyDescent="0.3">
      <c r="A181">
        <v>632</v>
      </c>
      <c r="B181" t="s">
        <v>23</v>
      </c>
      <c r="C181" t="s">
        <v>24</v>
      </c>
      <c r="J181" t="s">
        <v>411</v>
      </c>
      <c r="K181" s="3">
        <v>280</v>
      </c>
      <c r="L181" s="2">
        <v>0</v>
      </c>
      <c r="M181" s="2">
        <f t="shared" si="4"/>
        <v>280</v>
      </c>
      <c r="N181" s="2">
        <f t="shared" si="5"/>
        <v>14</v>
      </c>
      <c r="O181" s="7">
        <v>14</v>
      </c>
      <c r="P181" s="2">
        <v>0</v>
      </c>
      <c r="Q181" s="2">
        <v>294</v>
      </c>
      <c r="R181" t="s">
        <v>35</v>
      </c>
      <c r="T181" t="s">
        <v>27</v>
      </c>
      <c r="U181" t="s">
        <v>1140</v>
      </c>
    </row>
    <row r="182" spans="1:21" x14ac:dyDescent="0.3">
      <c r="A182">
        <v>633</v>
      </c>
      <c r="B182" t="s">
        <v>1107</v>
      </c>
      <c r="C182" t="s">
        <v>24</v>
      </c>
      <c r="D182" t="s">
        <v>1108</v>
      </c>
      <c r="J182" t="s">
        <v>1138</v>
      </c>
      <c r="K182" s="3">
        <v>1225</v>
      </c>
      <c r="L182" s="2">
        <v>0</v>
      </c>
      <c r="M182" s="2">
        <f t="shared" si="4"/>
        <v>1225</v>
      </c>
      <c r="N182" s="2">
        <f t="shared" si="5"/>
        <v>61.25</v>
      </c>
      <c r="O182" s="7">
        <v>61.26</v>
      </c>
      <c r="P182" s="2">
        <v>-0.26</v>
      </c>
      <c r="Q182" s="2">
        <v>1286</v>
      </c>
      <c r="R182" t="s">
        <v>45</v>
      </c>
      <c r="T182" t="s">
        <v>27</v>
      </c>
      <c r="U182" t="s">
        <v>1139</v>
      </c>
    </row>
    <row r="183" spans="1:21" x14ac:dyDescent="0.3">
      <c r="A183">
        <v>634</v>
      </c>
      <c r="B183" t="s">
        <v>1135</v>
      </c>
      <c r="C183" t="s">
        <v>24</v>
      </c>
      <c r="J183" t="s">
        <v>1136</v>
      </c>
      <c r="K183" s="3">
        <v>660</v>
      </c>
      <c r="L183" s="2">
        <v>0</v>
      </c>
      <c r="M183" s="2">
        <f t="shared" si="4"/>
        <v>660</v>
      </c>
      <c r="N183" s="2">
        <f t="shared" si="5"/>
        <v>33</v>
      </c>
      <c r="O183" s="7">
        <v>33</v>
      </c>
      <c r="P183" s="2">
        <v>0</v>
      </c>
      <c r="Q183" s="2">
        <v>693</v>
      </c>
      <c r="R183" t="s">
        <v>45</v>
      </c>
      <c r="T183" t="s">
        <v>27</v>
      </c>
      <c r="U183" t="s">
        <v>1137</v>
      </c>
    </row>
    <row r="184" spans="1:21" x14ac:dyDescent="0.3">
      <c r="A184">
        <v>635</v>
      </c>
      <c r="B184" t="s">
        <v>1132</v>
      </c>
      <c r="C184" t="s">
        <v>24</v>
      </c>
      <c r="J184" t="s">
        <v>1133</v>
      </c>
      <c r="K184" s="3">
        <v>0</v>
      </c>
      <c r="L184" s="2">
        <v>0</v>
      </c>
      <c r="M184" s="2">
        <f t="shared" si="4"/>
        <v>0</v>
      </c>
      <c r="N184" s="2">
        <f t="shared" si="5"/>
        <v>0</v>
      </c>
      <c r="O184" s="7">
        <v>0</v>
      </c>
      <c r="P184" s="2">
        <v>0</v>
      </c>
      <c r="Q184" s="2">
        <v>0</v>
      </c>
      <c r="R184" t="s">
        <v>35</v>
      </c>
      <c r="T184" t="s">
        <v>27</v>
      </c>
      <c r="U184" t="s">
        <v>1134</v>
      </c>
    </row>
    <row r="185" spans="1:21" x14ac:dyDescent="0.3">
      <c r="A185">
        <v>636</v>
      </c>
      <c r="B185" t="s">
        <v>1078</v>
      </c>
      <c r="C185" t="s">
        <v>24</v>
      </c>
      <c r="D185" t="s">
        <v>802</v>
      </c>
      <c r="J185" t="s">
        <v>1130</v>
      </c>
      <c r="K185" s="3">
        <v>1055</v>
      </c>
      <c r="L185" s="2">
        <v>105.5</v>
      </c>
      <c r="M185" s="2">
        <f t="shared" si="4"/>
        <v>949.5</v>
      </c>
      <c r="N185" s="2">
        <f t="shared" si="5"/>
        <v>47.475000000000001</v>
      </c>
      <c r="O185" s="7">
        <v>43.42</v>
      </c>
      <c r="P185" s="2">
        <v>0.08</v>
      </c>
      <c r="Q185" s="2">
        <v>993</v>
      </c>
      <c r="R185" t="s">
        <v>31</v>
      </c>
      <c r="T185" t="s">
        <v>27</v>
      </c>
      <c r="U185" t="s">
        <v>1131</v>
      </c>
    </row>
    <row r="186" spans="1:21" x14ac:dyDescent="0.3">
      <c r="A186">
        <v>637</v>
      </c>
      <c r="B186" t="s">
        <v>259</v>
      </c>
      <c r="C186" t="s">
        <v>24</v>
      </c>
      <c r="J186" t="s">
        <v>1128</v>
      </c>
      <c r="K186" s="3">
        <v>770</v>
      </c>
      <c r="L186" s="2">
        <v>0</v>
      </c>
      <c r="M186" s="2">
        <f t="shared" si="4"/>
        <v>770</v>
      </c>
      <c r="N186" s="2">
        <f t="shared" si="5"/>
        <v>38.5</v>
      </c>
      <c r="O186" s="7">
        <v>38.5</v>
      </c>
      <c r="P186" s="2">
        <v>0.5</v>
      </c>
      <c r="Q186" s="2">
        <v>809</v>
      </c>
      <c r="R186" t="s">
        <v>45</v>
      </c>
      <c r="T186" t="s">
        <v>27</v>
      </c>
      <c r="U186" t="s">
        <v>1129</v>
      </c>
    </row>
    <row r="187" spans="1:21" x14ac:dyDescent="0.3">
      <c r="A187">
        <v>638</v>
      </c>
      <c r="B187" t="s">
        <v>64</v>
      </c>
      <c r="C187" t="s">
        <v>24</v>
      </c>
      <c r="J187" t="s">
        <v>1126</v>
      </c>
      <c r="K187" s="3">
        <v>600</v>
      </c>
      <c r="L187" s="2">
        <v>0</v>
      </c>
      <c r="M187" s="2">
        <f t="shared" si="4"/>
        <v>600</v>
      </c>
      <c r="N187" s="2">
        <f t="shared" si="5"/>
        <v>30</v>
      </c>
      <c r="O187" s="7">
        <v>30</v>
      </c>
      <c r="P187" s="2">
        <v>0</v>
      </c>
      <c r="Q187" s="2">
        <v>630</v>
      </c>
      <c r="R187" t="s">
        <v>35</v>
      </c>
      <c r="T187" t="s">
        <v>27</v>
      </c>
      <c r="U187" t="s">
        <v>1127</v>
      </c>
    </row>
    <row r="188" spans="1:21" x14ac:dyDescent="0.3">
      <c r="A188">
        <v>639</v>
      </c>
      <c r="B188" t="s">
        <v>693</v>
      </c>
      <c r="C188" t="s">
        <v>24</v>
      </c>
      <c r="J188" t="s">
        <v>1124</v>
      </c>
      <c r="K188" s="3">
        <v>1413</v>
      </c>
      <c r="L188" s="2">
        <v>0</v>
      </c>
      <c r="M188" s="2">
        <f t="shared" si="4"/>
        <v>1413</v>
      </c>
      <c r="N188" s="2">
        <f t="shared" si="5"/>
        <v>70.650000000000006</v>
      </c>
      <c r="O188" s="7">
        <v>70.66</v>
      </c>
      <c r="P188" s="2">
        <v>0.34</v>
      </c>
      <c r="Q188" s="2">
        <v>1484</v>
      </c>
      <c r="R188" t="s">
        <v>31</v>
      </c>
      <c r="T188" t="s">
        <v>27</v>
      </c>
      <c r="U188" t="s">
        <v>1125</v>
      </c>
    </row>
    <row r="189" spans="1:21" x14ac:dyDescent="0.3">
      <c r="A189">
        <v>640</v>
      </c>
      <c r="B189" t="s">
        <v>64</v>
      </c>
      <c r="C189" t="s">
        <v>24</v>
      </c>
      <c r="J189" t="s">
        <v>1122</v>
      </c>
      <c r="K189" s="3">
        <v>920</v>
      </c>
      <c r="L189" s="2">
        <v>138</v>
      </c>
      <c r="M189" s="2">
        <f t="shared" si="4"/>
        <v>782</v>
      </c>
      <c r="N189" s="2">
        <f t="shared" si="5"/>
        <v>39.1</v>
      </c>
      <c r="O189" s="7">
        <v>39.1</v>
      </c>
      <c r="P189" s="2">
        <v>-0.1</v>
      </c>
      <c r="Q189" s="2">
        <v>821</v>
      </c>
      <c r="R189" t="s">
        <v>45</v>
      </c>
      <c r="T189" t="s">
        <v>27</v>
      </c>
      <c r="U189" t="s">
        <v>1123</v>
      </c>
    </row>
    <row r="190" spans="1:21" x14ac:dyDescent="0.3">
      <c r="A190">
        <v>641</v>
      </c>
      <c r="B190" t="s">
        <v>1119</v>
      </c>
      <c r="C190" t="s">
        <v>24</v>
      </c>
      <c r="J190" t="s">
        <v>1120</v>
      </c>
      <c r="K190" s="3">
        <v>2138</v>
      </c>
      <c r="L190" s="2">
        <v>0</v>
      </c>
      <c r="M190" s="2">
        <f t="shared" si="4"/>
        <v>2138</v>
      </c>
      <c r="N190" s="2">
        <f t="shared" si="5"/>
        <v>106.9</v>
      </c>
      <c r="O190" s="7">
        <v>101</v>
      </c>
      <c r="P190" s="2">
        <v>0</v>
      </c>
      <c r="Q190" s="2">
        <v>2239</v>
      </c>
      <c r="R190" t="s">
        <v>35</v>
      </c>
      <c r="T190" t="s">
        <v>27</v>
      </c>
      <c r="U190" t="s">
        <v>1121</v>
      </c>
    </row>
    <row r="191" spans="1:21" x14ac:dyDescent="0.3">
      <c r="A191">
        <v>642</v>
      </c>
      <c r="B191" t="s">
        <v>1115</v>
      </c>
      <c r="C191" t="s">
        <v>24</v>
      </c>
      <c r="D191" t="s">
        <v>1116</v>
      </c>
      <c r="J191" t="s">
        <v>1117</v>
      </c>
      <c r="K191" s="3">
        <v>1380</v>
      </c>
      <c r="L191" s="2">
        <v>0</v>
      </c>
      <c r="M191" s="2">
        <f t="shared" si="4"/>
        <v>1380</v>
      </c>
      <c r="N191" s="2">
        <f t="shared" si="5"/>
        <v>69</v>
      </c>
      <c r="O191" s="7">
        <v>69</v>
      </c>
      <c r="P191" s="2">
        <v>0</v>
      </c>
      <c r="Q191" s="2">
        <v>1449</v>
      </c>
      <c r="R191" t="s">
        <v>45</v>
      </c>
      <c r="T191" t="s">
        <v>27</v>
      </c>
      <c r="U191" t="s">
        <v>1118</v>
      </c>
    </row>
    <row r="192" spans="1:21" x14ac:dyDescent="0.3">
      <c r="A192">
        <v>643</v>
      </c>
      <c r="B192" t="s">
        <v>53</v>
      </c>
      <c r="C192" t="s">
        <v>24</v>
      </c>
      <c r="J192" t="s">
        <v>1112</v>
      </c>
      <c r="K192" s="3">
        <v>550</v>
      </c>
      <c r="L192" s="2">
        <v>0</v>
      </c>
      <c r="M192" s="2">
        <f t="shared" si="4"/>
        <v>550</v>
      </c>
      <c r="N192" s="2">
        <f t="shared" si="5"/>
        <v>27.5</v>
      </c>
      <c r="O192" s="7">
        <v>23.5</v>
      </c>
      <c r="P192" s="2">
        <v>0.5</v>
      </c>
      <c r="Q192" s="2">
        <v>0</v>
      </c>
      <c r="R192" t="s">
        <v>209</v>
      </c>
      <c r="S192" t="s">
        <v>1113</v>
      </c>
      <c r="T192" t="s">
        <v>27</v>
      </c>
      <c r="U192" t="s">
        <v>1114</v>
      </c>
    </row>
    <row r="193" spans="1:21" x14ac:dyDescent="0.3">
      <c r="A193">
        <v>644</v>
      </c>
      <c r="B193" t="s">
        <v>149</v>
      </c>
      <c r="C193" t="s">
        <v>24</v>
      </c>
      <c r="J193" t="s">
        <v>1110</v>
      </c>
      <c r="K193" s="3">
        <v>1065</v>
      </c>
      <c r="L193" s="2">
        <v>0</v>
      </c>
      <c r="M193" s="2">
        <f t="shared" si="4"/>
        <v>1065</v>
      </c>
      <c r="N193" s="2">
        <f t="shared" si="5"/>
        <v>53.25</v>
      </c>
      <c r="O193" s="7">
        <v>45.76</v>
      </c>
      <c r="P193" s="2">
        <v>0.24</v>
      </c>
      <c r="Q193" s="2">
        <v>1111</v>
      </c>
      <c r="R193" t="s">
        <v>31</v>
      </c>
      <c r="T193" t="s">
        <v>27</v>
      </c>
      <c r="U193" t="s">
        <v>1111</v>
      </c>
    </row>
    <row r="194" spans="1:21" x14ac:dyDescent="0.3">
      <c r="A194">
        <v>645</v>
      </c>
      <c r="B194" t="s">
        <v>1107</v>
      </c>
      <c r="C194" t="s">
        <v>24</v>
      </c>
      <c r="D194" t="s">
        <v>1108</v>
      </c>
      <c r="J194" t="s">
        <v>644</v>
      </c>
      <c r="K194" s="3">
        <v>405</v>
      </c>
      <c r="L194" s="2">
        <v>0</v>
      </c>
      <c r="M194" s="2">
        <f t="shared" si="4"/>
        <v>405</v>
      </c>
      <c r="N194" s="2">
        <f t="shared" si="5"/>
        <v>20.25</v>
      </c>
      <c r="O194" s="7">
        <v>20.260000000000002</v>
      </c>
      <c r="P194" s="2">
        <v>-0.26</v>
      </c>
      <c r="Q194" s="2">
        <v>425</v>
      </c>
      <c r="R194" t="s">
        <v>45</v>
      </c>
      <c r="T194" t="s">
        <v>27</v>
      </c>
      <c r="U194" t="s">
        <v>1109</v>
      </c>
    </row>
    <row r="195" spans="1:21" x14ac:dyDescent="0.3">
      <c r="A195">
        <v>646</v>
      </c>
      <c r="B195" t="s">
        <v>1104</v>
      </c>
      <c r="C195" t="s">
        <v>24</v>
      </c>
      <c r="J195" t="s">
        <v>1105</v>
      </c>
      <c r="K195" s="3">
        <v>415</v>
      </c>
      <c r="L195" s="2">
        <v>0</v>
      </c>
      <c r="M195" s="2">
        <f t="shared" si="4"/>
        <v>415</v>
      </c>
      <c r="N195" s="2">
        <f t="shared" si="5"/>
        <v>20.75</v>
      </c>
      <c r="O195" s="7">
        <v>20.76</v>
      </c>
      <c r="P195" s="2">
        <v>0.24</v>
      </c>
      <c r="Q195" s="2">
        <v>436</v>
      </c>
      <c r="R195" t="s">
        <v>45</v>
      </c>
      <c r="T195" t="s">
        <v>27</v>
      </c>
      <c r="U195" t="s">
        <v>1106</v>
      </c>
    </row>
    <row r="196" spans="1:21" x14ac:dyDescent="0.3">
      <c r="A196">
        <v>647</v>
      </c>
      <c r="B196" t="s">
        <v>1100</v>
      </c>
      <c r="C196" t="s">
        <v>24</v>
      </c>
      <c r="D196" t="s">
        <v>1101</v>
      </c>
      <c r="J196" t="s">
        <v>1102</v>
      </c>
      <c r="K196" s="3">
        <v>190</v>
      </c>
      <c r="L196" s="2">
        <v>0</v>
      </c>
      <c r="M196" s="2">
        <f t="shared" si="4"/>
        <v>190</v>
      </c>
      <c r="N196" s="2">
        <f t="shared" si="5"/>
        <v>9.5</v>
      </c>
      <c r="O196" s="7">
        <v>9.5</v>
      </c>
      <c r="P196" s="2">
        <v>0.5</v>
      </c>
      <c r="Q196" s="2">
        <v>200</v>
      </c>
      <c r="R196" t="s">
        <v>31</v>
      </c>
      <c r="T196" t="s">
        <v>27</v>
      </c>
      <c r="U196" t="s">
        <v>1103</v>
      </c>
    </row>
    <row r="197" spans="1:21" x14ac:dyDescent="0.3">
      <c r="A197">
        <v>648</v>
      </c>
      <c r="B197" t="s">
        <v>1096</v>
      </c>
      <c r="C197" t="s">
        <v>24</v>
      </c>
      <c r="D197" t="s">
        <v>1097</v>
      </c>
      <c r="J197" t="s">
        <v>1098</v>
      </c>
      <c r="K197" s="3">
        <v>640</v>
      </c>
      <c r="L197" s="2">
        <v>0</v>
      </c>
      <c r="M197" s="2">
        <f t="shared" si="4"/>
        <v>640</v>
      </c>
      <c r="N197" s="2">
        <f t="shared" si="5"/>
        <v>32</v>
      </c>
      <c r="O197" s="7">
        <v>32</v>
      </c>
      <c r="P197" s="2">
        <v>0</v>
      </c>
      <c r="Q197" s="2">
        <v>672</v>
      </c>
      <c r="R197" t="s">
        <v>45</v>
      </c>
      <c r="T197" t="s">
        <v>27</v>
      </c>
      <c r="U197" t="s">
        <v>1099</v>
      </c>
    </row>
    <row r="198" spans="1:21" x14ac:dyDescent="0.3">
      <c r="A198">
        <v>649</v>
      </c>
      <c r="B198" t="s">
        <v>1093</v>
      </c>
      <c r="C198" t="s">
        <v>24</v>
      </c>
      <c r="J198" t="s">
        <v>1094</v>
      </c>
      <c r="K198" s="3">
        <v>2425</v>
      </c>
      <c r="L198" s="2">
        <v>0</v>
      </c>
      <c r="M198" s="2">
        <f t="shared" si="4"/>
        <v>2425</v>
      </c>
      <c r="N198" s="2">
        <f t="shared" si="5"/>
        <v>121.25</v>
      </c>
      <c r="O198" s="7">
        <v>121.26</v>
      </c>
      <c r="P198" s="2">
        <v>-0.26</v>
      </c>
      <c r="Q198" s="2">
        <v>2546</v>
      </c>
      <c r="R198" t="s">
        <v>31</v>
      </c>
      <c r="T198" t="s">
        <v>27</v>
      </c>
      <c r="U198" t="s">
        <v>1095</v>
      </c>
    </row>
    <row r="199" spans="1:21" x14ac:dyDescent="0.3">
      <c r="A199">
        <v>650</v>
      </c>
      <c r="B199" t="s">
        <v>23</v>
      </c>
      <c r="C199" t="s">
        <v>24</v>
      </c>
      <c r="J199" t="s">
        <v>1091</v>
      </c>
      <c r="K199" s="3">
        <v>670</v>
      </c>
      <c r="L199" s="2">
        <v>0</v>
      </c>
      <c r="M199" s="2">
        <f t="shared" ref="M199:M262" si="6">K199-L199</f>
        <v>670</v>
      </c>
      <c r="N199" s="2">
        <f t="shared" ref="N199:N262" si="7">M199*5%</f>
        <v>33.5</v>
      </c>
      <c r="O199" s="7">
        <v>33.5</v>
      </c>
      <c r="P199" s="2">
        <v>0.5</v>
      </c>
      <c r="Q199" s="2">
        <v>704</v>
      </c>
      <c r="R199" t="s">
        <v>31</v>
      </c>
      <c r="T199" t="s">
        <v>27</v>
      </c>
      <c r="U199" t="s">
        <v>1092</v>
      </c>
    </row>
    <row r="200" spans="1:21" x14ac:dyDescent="0.3">
      <c r="A200">
        <v>651</v>
      </c>
      <c r="B200" t="s">
        <v>64</v>
      </c>
      <c r="C200" t="s">
        <v>24</v>
      </c>
      <c r="J200" t="s">
        <v>1089</v>
      </c>
      <c r="K200" s="3">
        <v>420</v>
      </c>
      <c r="L200" s="2">
        <v>0</v>
      </c>
      <c r="M200" s="2">
        <f t="shared" si="6"/>
        <v>420</v>
      </c>
      <c r="N200" s="2">
        <f t="shared" si="7"/>
        <v>21</v>
      </c>
      <c r="O200" s="7">
        <v>21</v>
      </c>
      <c r="P200" s="2">
        <v>0</v>
      </c>
      <c r="Q200" s="2">
        <v>441</v>
      </c>
      <c r="R200" t="s">
        <v>45</v>
      </c>
      <c r="T200" t="s">
        <v>27</v>
      </c>
      <c r="U200" t="s">
        <v>1090</v>
      </c>
    </row>
    <row r="201" spans="1:21" x14ac:dyDescent="0.3">
      <c r="A201">
        <v>652</v>
      </c>
      <c r="B201" t="s">
        <v>1085</v>
      </c>
      <c r="C201" t="s">
        <v>24</v>
      </c>
      <c r="D201" t="s">
        <v>1086</v>
      </c>
      <c r="J201" t="s">
        <v>1087</v>
      </c>
      <c r="K201" s="3">
        <v>1775</v>
      </c>
      <c r="L201" s="2">
        <v>177.5</v>
      </c>
      <c r="M201" s="2">
        <f t="shared" si="6"/>
        <v>1597.5</v>
      </c>
      <c r="N201" s="2">
        <f t="shared" si="7"/>
        <v>79.875</v>
      </c>
      <c r="O201" s="7">
        <v>79.88</v>
      </c>
      <c r="P201" s="2">
        <v>-0.38</v>
      </c>
      <c r="Q201" s="2">
        <v>1677</v>
      </c>
      <c r="R201" t="s">
        <v>31</v>
      </c>
      <c r="T201" t="s">
        <v>27</v>
      </c>
      <c r="U201" t="s">
        <v>1088</v>
      </c>
    </row>
    <row r="202" spans="1:21" x14ac:dyDescent="0.3">
      <c r="A202">
        <v>653</v>
      </c>
      <c r="B202" t="s">
        <v>1081</v>
      </c>
      <c r="C202" t="s">
        <v>24</v>
      </c>
      <c r="D202" t="s">
        <v>1082</v>
      </c>
      <c r="J202" t="s">
        <v>1083</v>
      </c>
      <c r="K202" s="3">
        <v>0</v>
      </c>
      <c r="L202" s="2">
        <v>0</v>
      </c>
      <c r="M202" s="2">
        <f t="shared" si="6"/>
        <v>0</v>
      </c>
      <c r="N202" s="2">
        <f t="shared" si="7"/>
        <v>0</v>
      </c>
      <c r="O202" s="7">
        <v>0</v>
      </c>
      <c r="P202" s="2">
        <v>0</v>
      </c>
      <c r="Q202" s="2">
        <v>0</v>
      </c>
      <c r="R202" t="s">
        <v>35</v>
      </c>
      <c r="T202" t="s">
        <v>27</v>
      </c>
      <c r="U202" t="s">
        <v>1084</v>
      </c>
    </row>
    <row r="203" spans="1:21" x14ac:dyDescent="0.3">
      <c r="A203">
        <v>654</v>
      </c>
      <c r="B203" t="s">
        <v>1078</v>
      </c>
      <c r="C203" t="s">
        <v>24</v>
      </c>
      <c r="J203" t="s">
        <v>1079</v>
      </c>
      <c r="K203" s="3">
        <v>525</v>
      </c>
      <c r="L203" s="2">
        <v>52.5</v>
      </c>
      <c r="M203" s="2">
        <f t="shared" si="6"/>
        <v>472.5</v>
      </c>
      <c r="N203" s="2">
        <f t="shared" si="7"/>
        <v>23.625</v>
      </c>
      <c r="O203" s="7">
        <v>23.62</v>
      </c>
      <c r="P203" s="2">
        <v>-0.12</v>
      </c>
      <c r="Q203" s="2">
        <v>496</v>
      </c>
      <c r="R203" t="s">
        <v>31</v>
      </c>
      <c r="T203" t="s">
        <v>27</v>
      </c>
      <c r="U203" t="s">
        <v>1080</v>
      </c>
    </row>
    <row r="204" spans="1:21" x14ac:dyDescent="0.3">
      <c r="A204">
        <v>655</v>
      </c>
      <c r="B204" t="s">
        <v>117</v>
      </c>
      <c r="C204" t="s">
        <v>24</v>
      </c>
      <c r="J204" t="s">
        <v>1076</v>
      </c>
      <c r="K204" s="3">
        <v>1168</v>
      </c>
      <c r="L204" s="2">
        <v>0</v>
      </c>
      <c r="M204" s="2">
        <f t="shared" si="6"/>
        <v>1168</v>
      </c>
      <c r="N204" s="2">
        <f t="shared" si="7"/>
        <v>58.400000000000006</v>
      </c>
      <c r="O204" s="7">
        <v>58.4</v>
      </c>
      <c r="P204" s="2">
        <v>-0.4</v>
      </c>
      <c r="Q204" s="2">
        <v>1226</v>
      </c>
      <c r="R204" t="s">
        <v>31</v>
      </c>
      <c r="T204" t="s">
        <v>27</v>
      </c>
      <c r="U204" t="s">
        <v>1077</v>
      </c>
    </row>
    <row r="205" spans="1:21" x14ac:dyDescent="0.3">
      <c r="A205">
        <v>656</v>
      </c>
      <c r="B205" t="s">
        <v>50</v>
      </c>
      <c r="C205" t="s">
        <v>24</v>
      </c>
      <c r="J205" t="s">
        <v>1074</v>
      </c>
      <c r="K205" s="3">
        <v>495</v>
      </c>
      <c r="L205" s="2">
        <v>0</v>
      </c>
      <c r="M205" s="2">
        <f t="shared" si="6"/>
        <v>495</v>
      </c>
      <c r="N205" s="2">
        <f t="shared" si="7"/>
        <v>24.75</v>
      </c>
      <c r="O205" s="7">
        <v>24.76</v>
      </c>
      <c r="P205" s="2">
        <v>0.24</v>
      </c>
      <c r="Q205" s="2">
        <v>520</v>
      </c>
      <c r="R205" t="s">
        <v>35</v>
      </c>
      <c r="T205" t="s">
        <v>27</v>
      </c>
      <c r="U205" t="s">
        <v>1075</v>
      </c>
    </row>
    <row r="206" spans="1:21" x14ac:dyDescent="0.3">
      <c r="A206">
        <v>657</v>
      </c>
      <c r="B206" t="s">
        <v>682</v>
      </c>
      <c r="C206" t="s">
        <v>24</v>
      </c>
      <c r="J206" t="s">
        <v>97</v>
      </c>
      <c r="K206" s="3">
        <v>60</v>
      </c>
      <c r="L206" s="2">
        <v>0</v>
      </c>
      <c r="M206" s="2">
        <f t="shared" si="6"/>
        <v>60</v>
      </c>
      <c r="N206" s="2">
        <f t="shared" si="7"/>
        <v>3</v>
      </c>
      <c r="O206" s="7">
        <v>0</v>
      </c>
      <c r="P206" s="2">
        <v>0</v>
      </c>
      <c r="Q206" s="2">
        <v>60</v>
      </c>
      <c r="R206" t="s">
        <v>35</v>
      </c>
      <c r="T206" t="s">
        <v>27</v>
      </c>
      <c r="U206" t="s">
        <v>1073</v>
      </c>
    </row>
    <row r="207" spans="1:21" x14ac:dyDescent="0.3">
      <c r="A207">
        <v>658</v>
      </c>
      <c r="B207" t="s">
        <v>64</v>
      </c>
      <c r="C207" t="s">
        <v>24</v>
      </c>
      <c r="J207" t="s">
        <v>807</v>
      </c>
      <c r="K207" s="3">
        <v>290</v>
      </c>
      <c r="L207" s="2">
        <v>0</v>
      </c>
      <c r="M207" s="2">
        <f t="shared" si="6"/>
        <v>290</v>
      </c>
      <c r="N207" s="2">
        <f t="shared" si="7"/>
        <v>14.5</v>
      </c>
      <c r="O207" s="7">
        <v>14.5</v>
      </c>
      <c r="P207" s="2">
        <v>0.5</v>
      </c>
      <c r="Q207" s="2">
        <v>305</v>
      </c>
      <c r="R207" t="s">
        <v>45</v>
      </c>
      <c r="T207" t="s">
        <v>27</v>
      </c>
      <c r="U207" t="s">
        <v>1072</v>
      </c>
    </row>
    <row r="208" spans="1:21" x14ac:dyDescent="0.3">
      <c r="A208">
        <v>659</v>
      </c>
      <c r="B208" t="s">
        <v>23</v>
      </c>
      <c r="C208" t="s">
        <v>24</v>
      </c>
      <c r="J208" t="s">
        <v>1070</v>
      </c>
      <c r="K208" s="3">
        <v>705</v>
      </c>
      <c r="L208" s="2">
        <v>0</v>
      </c>
      <c r="M208" s="2">
        <f t="shared" si="6"/>
        <v>705</v>
      </c>
      <c r="N208" s="2">
        <f t="shared" si="7"/>
        <v>35.25</v>
      </c>
      <c r="O208" s="7">
        <v>32.26</v>
      </c>
      <c r="P208" s="2">
        <v>-0.26</v>
      </c>
      <c r="Q208" s="2">
        <v>737</v>
      </c>
      <c r="R208" t="s">
        <v>45</v>
      </c>
      <c r="T208" t="s">
        <v>27</v>
      </c>
      <c r="U208" t="s">
        <v>1071</v>
      </c>
    </row>
    <row r="209" spans="1:21" x14ac:dyDescent="0.3">
      <c r="A209">
        <v>660</v>
      </c>
      <c r="B209" t="s">
        <v>61</v>
      </c>
      <c r="C209" t="s">
        <v>24</v>
      </c>
      <c r="J209" t="s">
        <v>1068</v>
      </c>
      <c r="K209" s="3">
        <v>1555</v>
      </c>
      <c r="L209" s="2">
        <v>0</v>
      </c>
      <c r="M209" s="2">
        <f t="shared" si="6"/>
        <v>1555</v>
      </c>
      <c r="N209" s="2">
        <f t="shared" si="7"/>
        <v>77.75</v>
      </c>
      <c r="O209" s="7">
        <v>77.760000000000005</v>
      </c>
      <c r="P209" s="2">
        <v>0.24</v>
      </c>
      <c r="Q209" s="2">
        <v>1633</v>
      </c>
      <c r="R209" t="s">
        <v>26</v>
      </c>
      <c r="T209" t="s">
        <v>27</v>
      </c>
      <c r="U209" t="s">
        <v>1069</v>
      </c>
    </row>
    <row r="210" spans="1:21" x14ac:dyDescent="0.3">
      <c r="A210">
        <v>661</v>
      </c>
      <c r="B210" t="s">
        <v>64</v>
      </c>
      <c r="C210" t="s">
        <v>24</v>
      </c>
      <c r="J210" t="s">
        <v>1066</v>
      </c>
      <c r="K210" s="3">
        <v>2494</v>
      </c>
      <c r="L210" s="2">
        <v>0</v>
      </c>
      <c r="M210" s="2">
        <f t="shared" si="6"/>
        <v>2494</v>
      </c>
      <c r="N210" s="2">
        <f t="shared" si="7"/>
        <v>124.7</v>
      </c>
      <c r="O210" s="7">
        <v>123.26</v>
      </c>
      <c r="P210" s="2">
        <v>-0.26</v>
      </c>
      <c r="Q210" s="2">
        <v>2617</v>
      </c>
      <c r="R210" t="s">
        <v>35</v>
      </c>
      <c r="T210" t="s">
        <v>27</v>
      </c>
      <c r="U210" t="s">
        <v>1067</v>
      </c>
    </row>
    <row r="211" spans="1:21" x14ac:dyDescent="0.3">
      <c r="A211">
        <v>662</v>
      </c>
      <c r="B211" t="s">
        <v>149</v>
      </c>
      <c r="C211" t="s">
        <v>24</v>
      </c>
      <c r="J211" t="s">
        <v>1064</v>
      </c>
      <c r="K211" s="3">
        <v>915</v>
      </c>
      <c r="L211" s="2">
        <v>137.25</v>
      </c>
      <c r="M211" s="2">
        <f t="shared" si="6"/>
        <v>777.75</v>
      </c>
      <c r="N211" s="2">
        <f t="shared" si="7"/>
        <v>38.887500000000003</v>
      </c>
      <c r="O211" s="7">
        <v>38.880000000000003</v>
      </c>
      <c r="P211" s="2">
        <v>0.37</v>
      </c>
      <c r="Q211" s="2">
        <v>817</v>
      </c>
      <c r="R211" t="s">
        <v>45</v>
      </c>
      <c r="T211" t="s">
        <v>27</v>
      </c>
      <c r="U211" t="s">
        <v>1065</v>
      </c>
    </row>
    <row r="212" spans="1:21" x14ac:dyDescent="0.3">
      <c r="A212">
        <v>663</v>
      </c>
      <c r="B212" t="s">
        <v>74</v>
      </c>
      <c r="C212" t="s">
        <v>24</v>
      </c>
      <c r="J212" t="s">
        <v>1062</v>
      </c>
      <c r="K212" s="3">
        <v>2225</v>
      </c>
      <c r="L212" s="2">
        <v>0</v>
      </c>
      <c r="M212" s="2">
        <f t="shared" si="6"/>
        <v>2225</v>
      </c>
      <c r="N212" s="2">
        <f t="shared" si="7"/>
        <v>111.25</v>
      </c>
      <c r="O212" s="7">
        <v>111.26</v>
      </c>
      <c r="P212" s="2">
        <v>-0.26</v>
      </c>
      <c r="Q212" s="2">
        <v>2336</v>
      </c>
      <c r="R212" t="s">
        <v>31</v>
      </c>
      <c r="T212" t="s">
        <v>27</v>
      </c>
      <c r="U212" t="s">
        <v>1063</v>
      </c>
    </row>
    <row r="213" spans="1:21" x14ac:dyDescent="0.3">
      <c r="A213">
        <v>664</v>
      </c>
      <c r="B213" t="s">
        <v>67</v>
      </c>
      <c r="C213" t="s">
        <v>24</v>
      </c>
      <c r="J213" t="s">
        <v>1060</v>
      </c>
      <c r="K213" s="3">
        <v>1090</v>
      </c>
      <c r="L213" s="2">
        <v>0</v>
      </c>
      <c r="M213" s="2">
        <f t="shared" si="6"/>
        <v>1090</v>
      </c>
      <c r="N213" s="2">
        <f t="shared" si="7"/>
        <v>54.5</v>
      </c>
      <c r="O213" s="7">
        <v>48.5</v>
      </c>
      <c r="P213" s="2">
        <v>0.5</v>
      </c>
      <c r="Q213" s="2">
        <v>1139</v>
      </c>
      <c r="R213" t="s">
        <v>26</v>
      </c>
      <c r="T213" t="s">
        <v>27</v>
      </c>
      <c r="U213" t="s">
        <v>1061</v>
      </c>
    </row>
    <row r="214" spans="1:21" x14ac:dyDescent="0.3">
      <c r="A214">
        <v>665</v>
      </c>
      <c r="B214" t="s">
        <v>1056</v>
      </c>
      <c r="C214" t="s">
        <v>24</v>
      </c>
      <c r="D214" t="s">
        <v>1057</v>
      </c>
      <c r="J214" t="s">
        <v>1058</v>
      </c>
      <c r="K214" s="3">
        <v>1135</v>
      </c>
      <c r="L214" s="2">
        <v>0</v>
      </c>
      <c r="M214" s="2">
        <f t="shared" si="6"/>
        <v>1135</v>
      </c>
      <c r="N214" s="2">
        <f t="shared" si="7"/>
        <v>56.75</v>
      </c>
      <c r="O214" s="7">
        <v>56.76</v>
      </c>
      <c r="P214" s="2">
        <v>0.24</v>
      </c>
      <c r="Q214" s="2">
        <v>1192</v>
      </c>
      <c r="R214" t="s">
        <v>31</v>
      </c>
      <c r="T214" t="s">
        <v>27</v>
      </c>
      <c r="U214" t="s">
        <v>1059</v>
      </c>
    </row>
    <row r="215" spans="1:21" x14ac:dyDescent="0.3">
      <c r="A215">
        <v>666</v>
      </c>
      <c r="B215" t="s">
        <v>23</v>
      </c>
      <c r="C215" t="s">
        <v>24</v>
      </c>
      <c r="J215" t="s">
        <v>1054</v>
      </c>
      <c r="K215" s="3">
        <v>405</v>
      </c>
      <c r="L215" s="2">
        <v>0</v>
      </c>
      <c r="M215" s="2">
        <f t="shared" si="6"/>
        <v>405</v>
      </c>
      <c r="N215" s="2">
        <f t="shared" si="7"/>
        <v>20.25</v>
      </c>
      <c r="O215" s="7">
        <v>20.260000000000002</v>
      </c>
      <c r="P215" s="2">
        <v>-0.26</v>
      </c>
      <c r="Q215" s="2">
        <v>425</v>
      </c>
      <c r="R215" t="s">
        <v>26</v>
      </c>
      <c r="T215" t="s">
        <v>27</v>
      </c>
      <c r="U215" t="s">
        <v>1055</v>
      </c>
    </row>
    <row r="216" spans="1:21" x14ac:dyDescent="0.3">
      <c r="A216">
        <v>667</v>
      </c>
      <c r="B216" t="s">
        <v>149</v>
      </c>
      <c r="C216" t="s">
        <v>24</v>
      </c>
      <c r="J216" t="s">
        <v>1052</v>
      </c>
      <c r="K216" s="3">
        <v>710</v>
      </c>
      <c r="L216" s="2">
        <v>0</v>
      </c>
      <c r="M216" s="2">
        <f t="shared" si="6"/>
        <v>710</v>
      </c>
      <c r="N216" s="2">
        <f t="shared" si="7"/>
        <v>35.5</v>
      </c>
      <c r="O216" s="7">
        <v>35.5</v>
      </c>
      <c r="P216" s="2">
        <v>0.5</v>
      </c>
      <c r="Q216" s="2">
        <v>746</v>
      </c>
      <c r="R216" t="s">
        <v>45</v>
      </c>
      <c r="T216" t="s">
        <v>27</v>
      </c>
      <c r="U216" t="s">
        <v>1053</v>
      </c>
    </row>
    <row r="217" spans="1:21" x14ac:dyDescent="0.3">
      <c r="A217">
        <v>668</v>
      </c>
      <c r="B217" t="s">
        <v>1049</v>
      </c>
      <c r="C217" t="s">
        <v>24</v>
      </c>
      <c r="J217" t="s">
        <v>1050</v>
      </c>
      <c r="K217" s="3">
        <v>1194</v>
      </c>
      <c r="L217" s="2">
        <v>0</v>
      </c>
      <c r="M217" s="2">
        <f t="shared" si="6"/>
        <v>1194</v>
      </c>
      <c r="N217" s="2">
        <f t="shared" si="7"/>
        <v>59.7</v>
      </c>
      <c r="O217" s="7">
        <v>56.76</v>
      </c>
      <c r="P217" s="2">
        <v>0.24</v>
      </c>
      <c r="Q217" s="2">
        <v>1251</v>
      </c>
      <c r="R217" t="s">
        <v>45</v>
      </c>
      <c r="T217" t="s">
        <v>27</v>
      </c>
      <c r="U217" t="s">
        <v>1051</v>
      </c>
    </row>
    <row r="218" spans="1:21" x14ac:dyDescent="0.3">
      <c r="A218">
        <v>669</v>
      </c>
      <c r="B218" t="s">
        <v>1046</v>
      </c>
      <c r="C218" t="s">
        <v>24</v>
      </c>
      <c r="J218" t="s">
        <v>1047</v>
      </c>
      <c r="K218" s="3">
        <v>1425</v>
      </c>
      <c r="L218" s="2">
        <v>0</v>
      </c>
      <c r="M218" s="2">
        <f t="shared" si="6"/>
        <v>1425</v>
      </c>
      <c r="N218" s="2">
        <f t="shared" si="7"/>
        <v>71.25</v>
      </c>
      <c r="O218" s="7">
        <v>71.260000000000005</v>
      </c>
      <c r="P218" s="2">
        <v>-0.26</v>
      </c>
      <c r="Q218" s="2">
        <v>1496</v>
      </c>
      <c r="R218" t="s">
        <v>35</v>
      </c>
      <c r="T218" t="s">
        <v>27</v>
      </c>
      <c r="U218" t="s">
        <v>1048</v>
      </c>
    </row>
    <row r="219" spans="1:21" x14ac:dyDescent="0.3">
      <c r="A219">
        <v>670</v>
      </c>
      <c r="B219" t="s">
        <v>1043</v>
      </c>
      <c r="C219" t="s">
        <v>24</v>
      </c>
      <c r="J219" t="s">
        <v>1044</v>
      </c>
      <c r="K219" s="3">
        <v>285</v>
      </c>
      <c r="L219" s="2">
        <v>0</v>
      </c>
      <c r="M219" s="2">
        <f t="shared" si="6"/>
        <v>285</v>
      </c>
      <c r="N219" s="2">
        <f t="shared" si="7"/>
        <v>14.25</v>
      </c>
      <c r="O219" s="7">
        <v>14.26</v>
      </c>
      <c r="P219" s="2">
        <v>-0.26</v>
      </c>
      <c r="Q219" s="2">
        <v>299</v>
      </c>
      <c r="R219" t="s">
        <v>45</v>
      </c>
      <c r="T219" t="s">
        <v>27</v>
      </c>
      <c r="U219" t="s">
        <v>1045</v>
      </c>
    </row>
    <row r="220" spans="1:21" x14ac:dyDescent="0.3">
      <c r="A220">
        <v>671</v>
      </c>
      <c r="B220" t="s">
        <v>50</v>
      </c>
      <c r="C220" t="s">
        <v>24</v>
      </c>
      <c r="J220" t="s">
        <v>1041</v>
      </c>
      <c r="K220" s="3">
        <v>1924</v>
      </c>
      <c r="L220" s="2">
        <v>0</v>
      </c>
      <c r="M220" s="2">
        <f t="shared" si="6"/>
        <v>1924</v>
      </c>
      <c r="N220" s="2">
        <f t="shared" si="7"/>
        <v>96.2</v>
      </c>
      <c r="O220" s="7">
        <v>93.26</v>
      </c>
      <c r="P220" s="2">
        <v>-0.26</v>
      </c>
      <c r="Q220" s="2">
        <v>2017</v>
      </c>
      <c r="R220" t="s">
        <v>45</v>
      </c>
      <c r="T220" t="s">
        <v>27</v>
      </c>
      <c r="U220" t="s">
        <v>1042</v>
      </c>
    </row>
    <row r="221" spans="1:21" x14ac:dyDescent="0.3">
      <c r="A221">
        <v>672</v>
      </c>
      <c r="B221" t="s">
        <v>1039</v>
      </c>
      <c r="C221" t="s">
        <v>24</v>
      </c>
      <c r="J221" t="s">
        <v>521</v>
      </c>
      <c r="K221" s="3">
        <v>425</v>
      </c>
      <c r="L221" s="2">
        <v>0</v>
      </c>
      <c r="M221" s="2">
        <f t="shared" si="6"/>
        <v>425</v>
      </c>
      <c r="N221" s="2">
        <f t="shared" si="7"/>
        <v>21.25</v>
      </c>
      <c r="O221" s="7">
        <v>21.26</v>
      </c>
      <c r="P221" s="2">
        <v>-0.26</v>
      </c>
      <c r="Q221" s="2">
        <v>446</v>
      </c>
      <c r="R221" t="s">
        <v>35</v>
      </c>
      <c r="T221" t="s">
        <v>27</v>
      </c>
      <c r="U221" t="s">
        <v>1040</v>
      </c>
    </row>
    <row r="222" spans="1:21" x14ac:dyDescent="0.3">
      <c r="A222">
        <v>673</v>
      </c>
      <c r="B222" t="s">
        <v>50</v>
      </c>
      <c r="C222" t="s">
        <v>24</v>
      </c>
      <c r="J222" t="s">
        <v>1037</v>
      </c>
      <c r="K222" s="3">
        <v>190</v>
      </c>
      <c r="L222" s="2">
        <v>0</v>
      </c>
      <c r="M222" s="2">
        <f t="shared" si="6"/>
        <v>190</v>
      </c>
      <c r="N222" s="2">
        <f t="shared" si="7"/>
        <v>9.5</v>
      </c>
      <c r="O222" s="7">
        <v>9.5</v>
      </c>
      <c r="P222" s="2">
        <v>0.5</v>
      </c>
      <c r="Q222" s="2">
        <v>200</v>
      </c>
      <c r="R222" t="s">
        <v>45</v>
      </c>
      <c r="T222" t="s">
        <v>27</v>
      </c>
      <c r="U222" t="s">
        <v>1038</v>
      </c>
    </row>
    <row r="223" spans="1:21" x14ac:dyDescent="0.3">
      <c r="A223">
        <v>674</v>
      </c>
      <c r="B223" t="s">
        <v>1034</v>
      </c>
      <c r="C223" t="s">
        <v>24</v>
      </c>
      <c r="J223" t="s">
        <v>1035</v>
      </c>
      <c r="K223" s="3">
        <v>520</v>
      </c>
      <c r="L223" s="2">
        <v>0</v>
      </c>
      <c r="M223" s="2">
        <f t="shared" si="6"/>
        <v>520</v>
      </c>
      <c r="N223" s="2">
        <f t="shared" si="7"/>
        <v>26</v>
      </c>
      <c r="O223" s="7">
        <v>26</v>
      </c>
      <c r="P223" s="2">
        <v>0</v>
      </c>
      <c r="Q223" s="2">
        <v>546</v>
      </c>
      <c r="R223" t="s">
        <v>45</v>
      </c>
      <c r="T223" t="s">
        <v>27</v>
      </c>
      <c r="U223" t="s">
        <v>1036</v>
      </c>
    </row>
    <row r="224" spans="1:21" x14ac:dyDescent="0.3">
      <c r="A224">
        <v>675</v>
      </c>
      <c r="B224" t="s">
        <v>1030</v>
      </c>
      <c r="C224" t="s">
        <v>24</v>
      </c>
      <c r="D224" t="s">
        <v>1031</v>
      </c>
      <c r="J224" t="s">
        <v>1032</v>
      </c>
      <c r="K224" s="3">
        <v>560</v>
      </c>
      <c r="L224" s="2">
        <v>0</v>
      </c>
      <c r="M224" s="2">
        <f t="shared" si="6"/>
        <v>560</v>
      </c>
      <c r="N224" s="2">
        <f t="shared" si="7"/>
        <v>28</v>
      </c>
      <c r="O224" s="7">
        <v>28</v>
      </c>
      <c r="P224" s="2">
        <v>0</v>
      </c>
      <c r="Q224" s="2">
        <v>588</v>
      </c>
      <c r="R224" t="s">
        <v>45</v>
      </c>
      <c r="T224" t="s">
        <v>27</v>
      </c>
      <c r="U224" t="s">
        <v>1033</v>
      </c>
    </row>
    <row r="225" spans="1:21" x14ac:dyDescent="0.3">
      <c r="A225">
        <v>676</v>
      </c>
      <c r="B225" t="s">
        <v>40</v>
      </c>
      <c r="C225" t="s">
        <v>24</v>
      </c>
      <c r="J225" t="s">
        <v>1028</v>
      </c>
      <c r="K225" s="3">
        <v>0</v>
      </c>
      <c r="L225" s="2">
        <v>0</v>
      </c>
      <c r="M225" s="2">
        <f t="shared" si="6"/>
        <v>0</v>
      </c>
      <c r="N225" s="2">
        <f t="shared" si="7"/>
        <v>0</v>
      </c>
      <c r="O225" s="7">
        <v>0</v>
      </c>
      <c r="P225" s="2">
        <v>0</v>
      </c>
      <c r="Q225" s="2">
        <v>0</v>
      </c>
      <c r="R225" t="s">
        <v>35</v>
      </c>
      <c r="T225" t="s">
        <v>27</v>
      </c>
      <c r="U225" t="s">
        <v>1029</v>
      </c>
    </row>
    <row r="226" spans="1:21" x14ac:dyDescent="0.3">
      <c r="A226">
        <v>677</v>
      </c>
      <c r="B226" t="s">
        <v>33</v>
      </c>
      <c r="C226" t="s">
        <v>24</v>
      </c>
      <c r="J226" t="s">
        <v>1026</v>
      </c>
      <c r="K226" s="3">
        <v>0</v>
      </c>
      <c r="L226" s="2">
        <v>0</v>
      </c>
      <c r="M226" s="2">
        <f t="shared" si="6"/>
        <v>0</v>
      </c>
      <c r="N226" s="2">
        <f t="shared" si="7"/>
        <v>0</v>
      </c>
      <c r="O226" s="7">
        <v>0</v>
      </c>
      <c r="P226" s="2">
        <v>0</v>
      </c>
      <c r="Q226" s="2">
        <v>0</v>
      </c>
      <c r="R226" t="s">
        <v>35</v>
      </c>
      <c r="T226" t="s">
        <v>27</v>
      </c>
      <c r="U226" t="s">
        <v>1027</v>
      </c>
    </row>
    <row r="227" spans="1:21" x14ac:dyDescent="0.3">
      <c r="A227">
        <v>678</v>
      </c>
      <c r="B227" t="s">
        <v>1023</v>
      </c>
      <c r="C227" t="s">
        <v>24</v>
      </c>
      <c r="J227" t="s">
        <v>1024</v>
      </c>
      <c r="K227" s="3">
        <v>845</v>
      </c>
      <c r="L227" s="2">
        <v>84.5</v>
      </c>
      <c r="M227" s="2">
        <f t="shared" si="6"/>
        <v>760.5</v>
      </c>
      <c r="N227" s="2">
        <f t="shared" si="7"/>
        <v>38.024999999999999</v>
      </c>
      <c r="O227" s="7">
        <v>35.32</v>
      </c>
      <c r="P227" s="2">
        <v>0.18</v>
      </c>
      <c r="Q227" s="2">
        <v>796</v>
      </c>
      <c r="R227" t="s">
        <v>35</v>
      </c>
      <c r="T227" t="s">
        <v>27</v>
      </c>
      <c r="U227" t="s">
        <v>1025</v>
      </c>
    </row>
    <row r="228" spans="1:21" x14ac:dyDescent="0.3">
      <c r="A228">
        <v>679</v>
      </c>
      <c r="B228" t="s">
        <v>50</v>
      </c>
      <c r="C228" t="s">
        <v>24</v>
      </c>
      <c r="J228" t="s">
        <v>1021</v>
      </c>
      <c r="K228" s="3">
        <v>3300</v>
      </c>
      <c r="L228" s="2">
        <v>330</v>
      </c>
      <c r="M228" s="2">
        <f t="shared" si="6"/>
        <v>2970</v>
      </c>
      <c r="N228" s="2">
        <f t="shared" si="7"/>
        <v>148.5</v>
      </c>
      <c r="O228" s="7">
        <v>148.5</v>
      </c>
      <c r="P228" s="2">
        <v>0.5</v>
      </c>
      <c r="Q228" s="2">
        <v>3119</v>
      </c>
      <c r="R228" t="s">
        <v>45</v>
      </c>
      <c r="T228" t="s">
        <v>27</v>
      </c>
      <c r="U228" t="s">
        <v>1022</v>
      </c>
    </row>
    <row r="229" spans="1:21" x14ac:dyDescent="0.3">
      <c r="A229">
        <v>680</v>
      </c>
      <c r="B229" t="s">
        <v>64</v>
      </c>
      <c r="C229" t="s">
        <v>24</v>
      </c>
      <c r="J229" t="s">
        <v>651</v>
      </c>
      <c r="K229" s="3">
        <v>560</v>
      </c>
      <c r="L229" s="2">
        <v>0</v>
      </c>
      <c r="M229" s="2">
        <f t="shared" si="6"/>
        <v>560</v>
      </c>
      <c r="N229" s="2">
        <f t="shared" si="7"/>
        <v>28</v>
      </c>
      <c r="O229" s="7">
        <v>28</v>
      </c>
      <c r="P229" s="2">
        <v>0</v>
      </c>
      <c r="Q229" s="2">
        <v>588</v>
      </c>
      <c r="R229" t="s">
        <v>35</v>
      </c>
      <c r="T229" t="s">
        <v>27</v>
      </c>
      <c r="U229" t="s">
        <v>1020</v>
      </c>
    </row>
    <row r="230" spans="1:21" x14ac:dyDescent="0.3">
      <c r="A230">
        <v>681</v>
      </c>
      <c r="B230" t="s">
        <v>682</v>
      </c>
      <c r="C230" t="s">
        <v>24</v>
      </c>
      <c r="J230" t="s">
        <v>332</v>
      </c>
      <c r="K230" s="3">
        <v>250</v>
      </c>
      <c r="L230" s="2">
        <v>0</v>
      </c>
      <c r="M230" s="2">
        <f t="shared" si="6"/>
        <v>250</v>
      </c>
      <c r="N230" s="2">
        <f t="shared" si="7"/>
        <v>12.5</v>
      </c>
      <c r="O230" s="7">
        <v>12.5</v>
      </c>
      <c r="P230" s="2">
        <v>0.5</v>
      </c>
      <c r="Q230" s="2">
        <v>263</v>
      </c>
      <c r="R230" t="s">
        <v>31</v>
      </c>
      <c r="T230" t="s">
        <v>27</v>
      </c>
      <c r="U230" t="s">
        <v>1019</v>
      </c>
    </row>
    <row r="231" spans="1:21" x14ac:dyDescent="0.3">
      <c r="A231">
        <v>682</v>
      </c>
      <c r="B231" t="s">
        <v>74</v>
      </c>
      <c r="C231" t="s">
        <v>24</v>
      </c>
      <c r="J231" t="s">
        <v>1017</v>
      </c>
      <c r="K231" s="3">
        <v>560</v>
      </c>
      <c r="L231" s="2">
        <v>0</v>
      </c>
      <c r="M231" s="2">
        <f t="shared" si="6"/>
        <v>560</v>
      </c>
      <c r="N231" s="2">
        <f t="shared" si="7"/>
        <v>28</v>
      </c>
      <c r="O231" s="7">
        <v>28</v>
      </c>
      <c r="P231" s="2">
        <v>0</v>
      </c>
      <c r="Q231" s="2">
        <v>588</v>
      </c>
      <c r="R231" t="s">
        <v>45</v>
      </c>
      <c r="T231" t="s">
        <v>27</v>
      </c>
      <c r="U231" t="s">
        <v>1018</v>
      </c>
    </row>
    <row r="232" spans="1:21" x14ac:dyDescent="0.3">
      <c r="A232">
        <v>683</v>
      </c>
      <c r="B232" t="s">
        <v>74</v>
      </c>
      <c r="C232" t="s">
        <v>24</v>
      </c>
      <c r="J232" t="s">
        <v>505</v>
      </c>
      <c r="K232" s="3">
        <v>320</v>
      </c>
      <c r="L232" s="2">
        <v>0</v>
      </c>
      <c r="M232" s="2">
        <f t="shared" si="6"/>
        <v>320</v>
      </c>
      <c r="N232" s="2">
        <f t="shared" si="7"/>
        <v>16</v>
      </c>
      <c r="O232" s="7">
        <v>16</v>
      </c>
      <c r="P232" s="2">
        <v>0</v>
      </c>
      <c r="Q232" s="2">
        <v>336</v>
      </c>
      <c r="R232" t="s">
        <v>45</v>
      </c>
      <c r="T232" t="s">
        <v>27</v>
      </c>
      <c r="U232" t="s">
        <v>1016</v>
      </c>
    </row>
    <row r="233" spans="1:21" x14ac:dyDescent="0.3">
      <c r="A233">
        <v>684</v>
      </c>
      <c r="B233" t="s">
        <v>64</v>
      </c>
      <c r="C233" t="s">
        <v>24</v>
      </c>
      <c r="J233" t="s">
        <v>1014</v>
      </c>
      <c r="K233" s="3">
        <v>1894</v>
      </c>
      <c r="L233" s="2">
        <v>0</v>
      </c>
      <c r="M233" s="2">
        <f t="shared" si="6"/>
        <v>1894</v>
      </c>
      <c r="N233" s="2">
        <f t="shared" si="7"/>
        <v>94.7</v>
      </c>
      <c r="O233" s="7">
        <v>92.76</v>
      </c>
      <c r="P233" s="2">
        <v>0.24</v>
      </c>
      <c r="Q233" s="2">
        <v>1987</v>
      </c>
      <c r="R233" t="s">
        <v>45</v>
      </c>
      <c r="T233" t="s">
        <v>27</v>
      </c>
      <c r="U233" t="s">
        <v>1015</v>
      </c>
    </row>
    <row r="234" spans="1:21" x14ac:dyDescent="0.3">
      <c r="A234">
        <v>685</v>
      </c>
      <c r="B234" t="s">
        <v>53</v>
      </c>
      <c r="C234" t="s">
        <v>24</v>
      </c>
      <c r="J234" t="s">
        <v>2003</v>
      </c>
      <c r="K234" s="3">
        <v>2245</v>
      </c>
      <c r="L234" s="2">
        <v>0</v>
      </c>
      <c r="M234" s="2">
        <f t="shared" si="6"/>
        <v>2245</v>
      </c>
      <c r="N234" s="2">
        <f t="shared" si="7"/>
        <v>112.25</v>
      </c>
      <c r="O234" s="7">
        <v>112.26</v>
      </c>
      <c r="P234" s="2">
        <v>-0.26</v>
      </c>
      <c r="Q234" s="2">
        <v>2357</v>
      </c>
      <c r="R234" t="s">
        <v>45</v>
      </c>
      <c r="T234" t="s">
        <v>27</v>
      </c>
      <c r="U234" t="s">
        <v>1013</v>
      </c>
    </row>
    <row r="235" spans="1:21" x14ac:dyDescent="0.3">
      <c r="A235">
        <v>686</v>
      </c>
      <c r="B235" t="s">
        <v>50</v>
      </c>
      <c r="C235" t="s">
        <v>24</v>
      </c>
      <c r="J235" t="s">
        <v>1011</v>
      </c>
      <c r="K235" s="3">
        <v>2175</v>
      </c>
      <c r="L235" s="2">
        <v>0</v>
      </c>
      <c r="M235" s="2">
        <f t="shared" si="6"/>
        <v>2175</v>
      </c>
      <c r="N235" s="2">
        <f t="shared" si="7"/>
        <v>108.75</v>
      </c>
      <c r="O235" s="7">
        <v>108.76</v>
      </c>
      <c r="P235" s="2">
        <v>0.24</v>
      </c>
      <c r="Q235" s="2">
        <v>2284</v>
      </c>
      <c r="R235" t="s">
        <v>35</v>
      </c>
      <c r="T235" t="s">
        <v>27</v>
      </c>
      <c r="U235" t="s">
        <v>1012</v>
      </c>
    </row>
    <row r="236" spans="1:21" x14ac:dyDescent="0.3">
      <c r="A236">
        <v>687</v>
      </c>
      <c r="B236" t="s">
        <v>149</v>
      </c>
      <c r="C236" t="s">
        <v>24</v>
      </c>
      <c r="J236" t="s">
        <v>898</v>
      </c>
      <c r="K236" s="3">
        <v>380</v>
      </c>
      <c r="L236" s="2">
        <v>0</v>
      </c>
      <c r="M236" s="2">
        <f t="shared" si="6"/>
        <v>380</v>
      </c>
      <c r="N236" s="2">
        <f t="shared" si="7"/>
        <v>19</v>
      </c>
      <c r="O236" s="7">
        <v>19</v>
      </c>
      <c r="P236" s="2">
        <v>0</v>
      </c>
      <c r="Q236" s="2">
        <v>399</v>
      </c>
      <c r="R236" t="s">
        <v>45</v>
      </c>
      <c r="T236" t="s">
        <v>27</v>
      </c>
      <c r="U236" t="s">
        <v>1010</v>
      </c>
    </row>
    <row r="237" spans="1:21" x14ac:dyDescent="0.3">
      <c r="A237">
        <v>688</v>
      </c>
      <c r="B237" t="s">
        <v>67</v>
      </c>
      <c r="C237" t="s">
        <v>24</v>
      </c>
      <c r="J237" t="s">
        <v>1008</v>
      </c>
      <c r="K237" s="3">
        <v>1150</v>
      </c>
      <c r="L237" s="2">
        <v>0</v>
      </c>
      <c r="M237" s="2">
        <f t="shared" si="6"/>
        <v>1150</v>
      </c>
      <c r="N237" s="2">
        <f t="shared" si="7"/>
        <v>57.5</v>
      </c>
      <c r="O237" s="7">
        <v>54.5</v>
      </c>
      <c r="P237" s="2">
        <v>0.5</v>
      </c>
      <c r="Q237" s="2">
        <v>1205</v>
      </c>
      <c r="R237" t="s">
        <v>26</v>
      </c>
      <c r="T237" t="s">
        <v>27</v>
      </c>
      <c r="U237" t="s">
        <v>1009</v>
      </c>
    </row>
    <row r="238" spans="1:21" x14ac:dyDescent="0.3">
      <c r="A238">
        <v>689</v>
      </c>
      <c r="B238" t="s">
        <v>64</v>
      </c>
      <c r="C238" t="s">
        <v>24</v>
      </c>
      <c r="J238" t="s">
        <v>1006</v>
      </c>
      <c r="K238" s="3">
        <v>1475</v>
      </c>
      <c r="L238" s="2">
        <v>0</v>
      </c>
      <c r="M238" s="2">
        <f t="shared" si="6"/>
        <v>1475</v>
      </c>
      <c r="N238" s="2">
        <f t="shared" si="7"/>
        <v>73.75</v>
      </c>
      <c r="O238" s="7">
        <v>73.760000000000005</v>
      </c>
      <c r="P238" s="2">
        <v>0.24</v>
      </c>
      <c r="Q238" s="2">
        <v>1549</v>
      </c>
      <c r="R238" t="s">
        <v>35</v>
      </c>
      <c r="T238" t="s">
        <v>27</v>
      </c>
      <c r="U238" t="s">
        <v>1007</v>
      </c>
    </row>
    <row r="239" spans="1:21" x14ac:dyDescent="0.3">
      <c r="A239">
        <v>690</v>
      </c>
      <c r="B239" t="s">
        <v>587</v>
      </c>
      <c r="C239" t="s">
        <v>24</v>
      </c>
      <c r="J239" t="s">
        <v>492</v>
      </c>
      <c r="K239" s="3">
        <v>190</v>
      </c>
      <c r="L239" s="2">
        <v>0</v>
      </c>
      <c r="M239" s="2">
        <f t="shared" si="6"/>
        <v>190</v>
      </c>
      <c r="N239" s="2">
        <f t="shared" si="7"/>
        <v>9.5</v>
      </c>
      <c r="O239" s="7">
        <v>9.5</v>
      </c>
      <c r="P239" s="2">
        <v>0.5</v>
      </c>
      <c r="Q239" s="2">
        <v>200</v>
      </c>
      <c r="R239" t="s">
        <v>45</v>
      </c>
      <c r="T239" t="s">
        <v>27</v>
      </c>
      <c r="U239" t="s">
        <v>1005</v>
      </c>
    </row>
    <row r="240" spans="1:21" x14ac:dyDescent="0.3">
      <c r="A240">
        <v>691</v>
      </c>
      <c r="B240" t="s">
        <v>53</v>
      </c>
      <c r="C240" t="s">
        <v>24</v>
      </c>
      <c r="J240" t="s">
        <v>715</v>
      </c>
      <c r="K240" s="3">
        <v>635</v>
      </c>
      <c r="L240" s="2">
        <v>0</v>
      </c>
      <c r="M240" s="2">
        <f t="shared" si="6"/>
        <v>635</v>
      </c>
      <c r="N240" s="2">
        <f t="shared" si="7"/>
        <v>31.75</v>
      </c>
      <c r="O240" s="7">
        <v>31.76</v>
      </c>
      <c r="P240" s="2">
        <v>0.24</v>
      </c>
      <c r="Q240" s="2">
        <v>667</v>
      </c>
      <c r="R240" t="s">
        <v>26</v>
      </c>
      <c r="T240" t="s">
        <v>27</v>
      </c>
      <c r="U240" t="s">
        <v>1004</v>
      </c>
    </row>
    <row r="241" spans="1:21" x14ac:dyDescent="0.3">
      <c r="A241">
        <v>692</v>
      </c>
      <c r="B241" t="s">
        <v>40</v>
      </c>
      <c r="C241" t="s">
        <v>24</v>
      </c>
      <c r="J241" t="s">
        <v>1002</v>
      </c>
      <c r="K241" s="3">
        <v>0</v>
      </c>
      <c r="L241" s="2">
        <v>0</v>
      </c>
      <c r="M241" s="2">
        <f t="shared" si="6"/>
        <v>0</v>
      </c>
      <c r="N241" s="2">
        <f t="shared" si="7"/>
        <v>0</v>
      </c>
      <c r="O241" s="7">
        <v>0</v>
      </c>
      <c r="P241" s="2">
        <v>0</v>
      </c>
      <c r="Q241" s="2">
        <v>0</v>
      </c>
      <c r="R241" t="s">
        <v>35</v>
      </c>
      <c r="T241" t="s">
        <v>27</v>
      </c>
      <c r="U241" t="s">
        <v>1003</v>
      </c>
    </row>
    <row r="242" spans="1:21" x14ac:dyDescent="0.3">
      <c r="A242">
        <v>693</v>
      </c>
      <c r="B242" t="s">
        <v>33</v>
      </c>
      <c r="C242" t="s">
        <v>24</v>
      </c>
      <c r="J242" t="s">
        <v>1000</v>
      </c>
      <c r="K242" s="3">
        <v>0</v>
      </c>
      <c r="L242" s="2">
        <v>0</v>
      </c>
      <c r="M242" s="2">
        <f t="shared" si="6"/>
        <v>0</v>
      </c>
      <c r="N242" s="2">
        <f t="shared" si="7"/>
        <v>0</v>
      </c>
      <c r="O242" s="7">
        <v>0</v>
      </c>
      <c r="P242" s="2">
        <v>0</v>
      </c>
      <c r="Q242" s="2">
        <v>0</v>
      </c>
      <c r="R242" t="s">
        <v>35</v>
      </c>
      <c r="T242" t="s">
        <v>27</v>
      </c>
      <c r="U242" t="s">
        <v>1001</v>
      </c>
    </row>
    <row r="243" spans="1:21" x14ac:dyDescent="0.3">
      <c r="A243">
        <v>694</v>
      </c>
      <c r="B243" t="s">
        <v>64</v>
      </c>
      <c r="C243" t="s">
        <v>24</v>
      </c>
      <c r="J243" t="s">
        <v>997</v>
      </c>
      <c r="K243" s="3">
        <v>535</v>
      </c>
      <c r="L243" s="2">
        <v>0</v>
      </c>
      <c r="M243" s="2">
        <f t="shared" si="6"/>
        <v>535</v>
      </c>
      <c r="N243" s="2">
        <f t="shared" si="7"/>
        <v>26.75</v>
      </c>
      <c r="O243" s="7">
        <v>26.76</v>
      </c>
      <c r="P243" s="2">
        <v>0.24</v>
      </c>
      <c r="Q243" s="2">
        <v>0</v>
      </c>
      <c r="R243" t="s">
        <v>209</v>
      </c>
      <c r="S243" t="s">
        <v>998</v>
      </c>
      <c r="T243" t="s">
        <v>27</v>
      </c>
      <c r="U243" t="s">
        <v>999</v>
      </c>
    </row>
    <row r="244" spans="1:21" x14ac:dyDescent="0.3">
      <c r="A244">
        <v>695</v>
      </c>
      <c r="B244" t="s">
        <v>37</v>
      </c>
      <c r="C244" t="s">
        <v>24</v>
      </c>
      <c r="J244" t="s">
        <v>995</v>
      </c>
      <c r="K244" s="3">
        <v>0</v>
      </c>
      <c r="L244" s="2">
        <v>0</v>
      </c>
      <c r="M244" s="2">
        <f t="shared" si="6"/>
        <v>0</v>
      </c>
      <c r="N244" s="2">
        <f t="shared" si="7"/>
        <v>0</v>
      </c>
      <c r="O244" s="7">
        <v>0</v>
      </c>
      <c r="P244" s="2">
        <v>0</v>
      </c>
      <c r="Q244" s="2">
        <v>0</v>
      </c>
      <c r="R244" t="s">
        <v>35</v>
      </c>
      <c r="T244" t="s">
        <v>27</v>
      </c>
      <c r="U244" t="s">
        <v>996</v>
      </c>
    </row>
    <row r="245" spans="1:21" x14ac:dyDescent="0.3">
      <c r="A245">
        <v>696</v>
      </c>
      <c r="B245" t="s">
        <v>50</v>
      </c>
      <c r="C245" t="s">
        <v>24</v>
      </c>
      <c r="J245" t="s">
        <v>993</v>
      </c>
      <c r="K245" s="3">
        <v>2353</v>
      </c>
      <c r="L245" s="2">
        <v>235.3</v>
      </c>
      <c r="M245" s="2">
        <f t="shared" si="6"/>
        <v>2117.6999999999998</v>
      </c>
      <c r="N245" s="2">
        <f t="shared" si="7"/>
        <v>105.88499999999999</v>
      </c>
      <c r="O245" s="7">
        <v>101.48</v>
      </c>
      <c r="P245" s="2">
        <v>-0.18</v>
      </c>
      <c r="Q245" s="2">
        <v>2219</v>
      </c>
      <c r="R245" t="s">
        <v>45</v>
      </c>
      <c r="T245" t="s">
        <v>27</v>
      </c>
      <c r="U245" t="s">
        <v>994</v>
      </c>
    </row>
    <row r="246" spans="1:21" x14ac:dyDescent="0.3">
      <c r="A246">
        <v>697</v>
      </c>
      <c r="B246" t="s">
        <v>682</v>
      </c>
      <c r="C246" t="s">
        <v>24</v>
      </c>
      <c r="J246" t="s">
        <v>803</v>
      </c>
      <c r="K246" s="3">
        <v>425</v>
      </c>
      <c r="L246" s="2">
        <v>0</v>
      </c>
      <c r="M246" s="2">
        <f t="shared" si="6"/>
        <v>425</v>
      </c>
      <c r="N246" s="2">
        <f t="shared" si="7"/>
        <v>21.25</v>
      </c>
      <c r="O246" s="7">
        <v>21.26</v>
      </c>
      <c r="P246" s="2">
        <v>-0.26</v>
      </c>
      <c r="Q246" s="2">
        <v>446</v>
      </c>
      <c r="R246" t="s">
        <v>31</v>
      </c>
      <c r="T246" t="s">
        <v>27</v>
      </c>
      <c r="U246" t="s">
        <v>992</v>
      </c>
    </row>
    <row r="247" spans="1:21" x14ac:dyDescent="0.3">
      <c r="A247">
        <v>346</v>
      </c>
      <c r="B247" t="s">
        <v>1944</v>
      </c>
      <c r="C247" t="s">
        <v>24</v>
      </c>
      <c r="D247" t="s">
        <v>1945</v>
      </c>
      <c r="J247" t="s">
        <v>30</v>
      </c>
      <c r="K247" s="3">
        <v>380</v>
      </c>
      <c r="L247" s="2">
        <v>0</v>
      </c>
      <c r="M247" s="2">
        <f t="shared" si="6"/>
        <v>380</v>
      </c>
      <c r="N247" s="2">
        <f t="shared" si="7"/>
        <v>19</v>
      </c>
      <c r="O247" s="7">
        <v>19</v>
      </c>
      <c r="P247" s="2">
        <v>0</v>
      </c>
      <c r="Q247" s="2">
        <v>399</v>
      </c>
      <c r="R247" t="s">
        <v>45</v>
      </c>
      <c r="T247" t="s">
        <v>27</v>
      </c>
      <c r="U247" t="s">
        <v>1946</v>
      </c>
    </row>
    <row r="248" spans="1:21" x14ac:dyDescent="0.3">
      <c r="A248">
        <v>347</v>
      </c>
      <c r="B248" t="s">
        <v>23</v>
      </c>
      <c r="C248" t="s">
        <v>24</v>
      </c>
      <c r="J248" t="s">
        <v>1942</v>
      </c>
      <c r="K248" s="3">
        <v>765</v>
      </c>
      <c r="L248" s="2">
        <v>0</v>
      </c>
      <c r="M248" s="2">
        <f t="shared" si="6"/>
        <v>765</v>
      </c>
      <c r="N248" s="2">
        <f t="shared" si="7"/>
        <v>38.25</v>
      </c>
      <c r="O248" s="7">
        <v>38.26</v>
      </c>
      <c r="P248" s="2">
        <v>-0.26</v>
      </c>
      <c r="Q248" s="2">
        <v>803</v>
      </c>
      <c r="R248" t="s">
        <v>31</v>
      </c>
      <c r="T248" t="s">
        <v>27</v>
      </c>
      <c r="U248" t="s">
        <v>1943</v>
      </c>
    </row>
    <row r="249" spans="1:21" x14ac:dyDescent="0.3">
      <c r="A249">
        <v>348</v>
      </c>
      <c r="B249" t="s">
        <v>1260</v>
      </c>
      <c r="C249" t="s">
        <v>24</v>
      </c>
      <c r="D249" t="s">
        <v>1939</v>
      </c>
      <c r="J249" t="s">
        <v>1940</v>
      </c>
      <c r="K249" s="3">
        <v>1095</v>
      </c>
      <c r="L249" s="2">
        <v>0</v>
      </c>
      <c r="M249" s="2">
        <f t="shared" si="6"/>
        <v>1095</v>
      </c>
      <c r="N249" s="2">
        <f t="shared" si="7"/>
        <v>54.75</v>
      </c>
      <c r="O249" s="7">
        <v>47.26</v>
      </c>
      <c r="P249" s="2">
        <v>-0.26</v>
      </c>
      <c r="Q249" s="2">
        <v>1142</v>
      </c>
      <c r="R249" t="s">
        <v>31</v>
      </c>
      <c r="T249" t="s">
        <v>27</v>
      </c>
      <c r="U249" t="s">
        <v>1941</v>
      </c>
    </row>
    <row r="250" spans="1:21" x14ac:dyDescent="0.3">
      <c r="A250">
        <v>349</v>
      </c>
      <c r="B250" t="s">
        <v>302</v>
      </c>
      <c r="C250" t="s">
        <v>24</v>
      </c>
      <c r="D250" t="s">
        <v>1710</v>
      </c>
      <c r="E250">
        <v>9916565965</v>
      </c>
      <c r="J250" t="s">
        <v>1937</v>
      </c>
      <c r="K250" s="3">
        <v>780</v>
      </c>
      <c r="L250" s="2">
        <v>117</v>
      </c>
      <c r="M250" s="2">
        <f t="shared" si="6"/>
        <v>663</v>
      </c>
      <c r="N250" s="2">
        <f t="shared" si="7"/>
        <v>33.15</v>
      </c>
      <c r="O250" s="7">
        <v>33.159999999999997</v>
      </c>
      <c r="P250" s="2">
        <v>-0.16</v>
      </c>
      <c r="Q250" s="2">
        <v>696</v>
      </c>
      <c r="R250" t="s">
        <v>45</v>
      </c>
      <c r="T250" t="s">
        <v>27</v>
      </c>
      <c r="U250" t="s">
        <v>1938</v>
      </c>
    </row>
    <row r="251" spans="1:21" x14ac:dyDescent="0.3">
      <c r="A251">
        <v>350</v>
      </c>
      <c r="B251" t="s">
        <v>1933</v>
      </c>
      <c r="C251" t="s">
        <v>24</v>
      </c>
      <c r="D251" t="s">
        <v>1934</v>
      </c>
      <c r="J251" t="s">
        <v>1935</v>
      </c>
      <c r="K251" s="3">
        <v>1585</v>
      </c>
      <c r="L251" s="2">
        <v>0</v>
      </c>
      <c r="M251" s="2">
        <f t="shared" si="6"/>
        <v>1585</v>
      </c>
      <c r="N251" s="2">
        <f t="shared" si="7"/>
        <v>79.25</v>
      </c>
      <c r="O251" s="7">
        <v>79.260000000000005</v>
      </c>
      <c r="P251" s="2">
        <v>-0.26</v>
      </c>
      <c r="Q251" s="2">
        <v>1664</v>
      </c>
      <c r="R251" t="s">
        <v>45</v>
      </c>
      <c r="T251" t="s">
        <v>27</v>
      </c>
      <c r="U251" t="s">
        <v>1936</v>
      </c>
    </row>
    <row r="252" spans="1:21" x14ac:dyDescent="0.3">
      <c r="A252">
        <v>351</v>
      </c>
      <c r="B252" t="s">
        <v>883</v>
      </c>
      <c r="C252" t="s">
        <v>24</v>
      </c>
      <c r="D252" t="s">
        <v>1930</v>
      </c>
      <c r="J252" t="s">
        <v>1931</v>
      </c>
      <c r="K252" s="3">
        <v>1015</v>
      </c>
      <c r="L252" s="2">
        <v>0</v>
      </c>
      <c r="M252" s="2">
        <f t="shared" si="6"/>
        <v>1015</v>
      </c>
      <c r="N252" s="2">
        <f t="shared" si="7"/>
        <v>50.75</v>
      </c>
      <c r="O252" s="7">
        <v>50.76</v>
      </c>
      <c r="P252" s="2">
        <v>0.24</v>
      </c>
      <c r="Q252" s="2">
        <v>1066</v>
      </c>
      <c r="R252" t="s">
        <v>35</v>
      </c>
      <c r="T252" t="s">
        <v>27</v>
      </c>
      <c r="U252" t="s">
        <v>1932</v>
      </c>
    </row>
    <row r="253" spans="1:21" x14ac:dyDescent="0.3">
      <c r="A253">
        <v>352</v>
      </c>
      <c r="B253" t="s">
        <v>1926</v>
      </c>
      <c r="C253" t="s">
        <v>24</v>
      </c>
      <c r="D253" t="s">
        <v>1927</v>
      </c>
      <c r="J253" t="s">
        <v>1928</v>
      </c>
      <c r="K253" s="3">
        <v>220</v>
      </c>
      <c r="L253" s="2">
        <v>0</v>
      </c>
      <c r="M253" s="2">
        <f t="shared" si="6"/>
        <v>220</v>
      </c>
      <c r="N253" s="2">
        <f t="shared" si="7"/>
        <v>11</v>
      </c>
      <c r="O253" s="7">
        <v>11</v>
      </c>
      <c r="P253" s="2">
        <v>0</v>
      </c>
      <c r="Q253" s="2">
        <v>231</v>
      </c>
      <c r="R253" t="s">
        <v>45</v>
      </c>
      <c r="T253" t="s">
        <v>27</v>
      </c>
      <c r="U253" t="s">
        <v>1929</v>
      </c>
    </row>
    <row r="254" spans="1:21" x14ac:dyDescent="0.3">
      <c r="A254">
        <v>353</v>
      </c>
      <c r="B254" t="s">
        <v>1922</v>
      </c>
      <c r="C254" t="s">
        <v>24</v>
      </c>
      <c r="D254" t="s">
        <v>1923</v>
      </c>
      <c r="J254" t="s">
        <v>1924</v>
      </c>
      <c r="K254" s="3">
        <v>810</v>
      </c>
      <c r="L254" s="2">
        <v>0</v>
      </c>
      <c r="M254" s="2">
        <f t="shared" si="6"/>
        <v>810</v>
      </c>
      <c r="N254" s="2">
        <f t="shared" si="7"/>
        <v>40.5</v>
      </c>
      <c r="O254" s="7">
        <v>33</v>
      </c>
      <c r="P254" s="2">
        <v>0</v>
      </c>
      <c r="Q254" s="2">
        <v>843</v>
      </c>
      <c r="R254" t="s">
        <v>31</v>
      </c>
      <c r="T254" t="s">
        <v>27</v>
      </c>
      <c r="U254" t="s">
        <v>1925</v>
      </c>
    </row>
    <row r="255" spans="1:21" x14ac:dyDescent="0.3">
      <c r="A255">
        <v>354</v>
      </c>
      <c r="B255" t="s">
        <v>1104</v>
      </c>
      <c r="C255" t="s">
        <v>24</v>
      </c>
      <c r="D255" t="s">
        <v>1920</v>
      </c>
      <c r="J255" t="s">
        <v>2017</v>
      </c>
      <c r="K255" s="3">
        <v>4705</v>
      </c>
      <c r="L255" s="2">
        <v>705.75</v>
      </c>
      <c r="M255" s="2">
        <f t="shared" si="6"/>
        <v>3999.25</v>
      </c>
      <c r="N255" s="2">
        <f t="shared" si="7"/>
        <v>199.96250000000001</v>
      </c>
      <c r="O255" s="7">
        <v>199.96</v>
      </c>
      <c r="P255" s="2">
        <v>-0.21</v>
      </c>
      <c r="Q255" s="2">
        <v>4199</v>
      </c>
      <c r="R255" t="s">
        <v>31</v>
      </c>
      <c r="T255" t="s">
        <v>27</v>
      </c>
      <c r="U255" t="s">
        <v>1921</v>
      </c>
    </row>
    <row r="256" spans="1:21" x14ac:dyDescent="0.3">
      <c r="A256">
        <v>355</v>
      </c>
      <c r="B256" t="s">
        <v>1916</v>
      </c>
      <c r="C256" t="s">
        <v>24</v>
      </c>
      <c r="D256" t="s">
        <v>1917</v>
      </c>
      <c r="J256" t="s">
        <v>1918</v>
      </c>
      <c r="K256" s="3">
        <v>950</v>
      </c>
      <c r="L256" s="2">
        <v>0</v>
      </c>
      <c r="M256" s="2">
        <f t="shared" si="6"/>
        <v>950</v>
      </c>
      <c r="N256" s="2">
        <f t="shared" si="7"/>
        <v>47.5</v>
      </c>
      <c r="O256" s="7">
        <v>47.5</v>
      </c>
      <c r="P256" s="2">
        <v>0.5</v>
      </c>
      <c r="Q256" s="2">
        <v>998</v>
      </c>
      <c r="R256" t="s">
        <v>45</v>
      </c>
      <c r="T256" t="s">
        <v>27</v>
      </c>
      <c r="U256" t="s">
        <v>1919</v>
      </c>
    </row>
    <row r="257" spans="1:21" x14ac:dyDescent="0.3">
      <c r="A257">
        <v>356</v>
      </c>
      <c r="B257" t="s">
        <v>1912</v>
      </c>
      <c r="C257" t="s">
        <v>24</v>
      </c>
      <c r="D257" t="s">
        <v>1913</v>
      </c>
      <c r="J257" t="s">
        <v>1914</v>
      </c>
      <c r="K257" s="3">
        <v>350</v>
      </c>
      <c r="L257" s="2">
        <v>52.5</v>
      </c>
      <c r="M257" s="2">
        <f t="shared" si="6"/>
        <v>297.5</v>
      </c>
      <c r="N257" s="2">
        <f t="shared" si="7"/>
        <v>14.875</v>
      </c>
      <c r="O257" s="7">
        <v>14.88</v>
      </c>
      <c r="P257" s="2">
        <v>-0.38</v>
      </c>
      <c r="Q257" s="2">
        <v>312</v>
      </c>
      <c r="R257" t="s">
        <v>31</v>
      </c>
      <c r="T257" t="s">
        <v>27</v>
      </c>
      <c r="U257" t="s">
        <v>1915</v>
      </c>
    </row>
    <row r="258" spans="1:21" x14ac:dyDescent="0.3">
      <c r="A258">
        <v>357</v>
      </c>
      <c r="B258" t="s">
        <v>1908</v>
      </c>
      <c r="C258" t="s">
        <v>24</v>
      </c>
      <c r="D258" t="s">
        <v>1909</v>
      </c>
      <c r="J258" t="s">
        <v>1910</v>
      </c>
      <c r="K258" s="3">
        <v>0</v>
      </c>
      <c r="L258" s="2">
        <v>0</v>
      </c>
      <c r="M258" s="2">
        <f t="shared" si="6"/>
        <v>0</v>
      </c>
      <c r="N258" s="2">
        <f t="shared" si="7"/>
        <v>0</v>
      </c>
      <c r="O258" s="7">
        <v>0</v>
      </c>
      <c r="P258" s="2">
        <v>0</v>
      </c>
      <c r="Q258" s="2">
        <v>0</v>
      </c>
      <c r="R258" t="s">
        <v>35</v>
      </c>
      <c r="T258" t="s">
        <v>27</v>
      </c>
      <c r="U258" t="s">
        <v>1911</v>
      </c>
    </row>
    <row r="259" spans="1:21" x14ac:dyDescent="0.3">
      <c r="A259">
        <v>358</v>
      </c>
      <c r="B259" t="s">
        <v>1523</v>
      </c>
      <c r="C259" t="s">
        <v>24</v>
      </c>
      <c r="D259" t="s">
        <v>1524</v>
      </c>
      <c r="J259" t="s">
        <v>1906</v>
      </c>
      <c r="K259" s="3">
        <v>2880</v>
      </c>
      <c r="L259" s="2">
        <v>0</v>
      </c>
      <c r="M259" s="2">
        <f t="shared" si="6"/>
        <v>2880</v>
      </c>
      <c r="N259" s="2">
        <f t="shared" si="7"/>
        <v>144</v>
      </c>
      <c r="O259" s="7">
        <v>144</v>
      </c>
      <c r="P259" s="2">
        <v>0</v>
      </c>
      <c r="Q259" s="2">
        <v>3024</v>
      </c>
      <c r="R259" t="s">
        <v>31</v>
      </c>
      <c r="T259" t="s">
        <v>27</v>
      </c>
      <c r="U259" t="s">
        <v>1907</v>
      </c>
    </row>
    <row r="260" spans="1:21" x14ac:dyDescent="0.3">
      <c r="A260">
        <v>698</v>
      </c>
      <c r="B260" t="s">
        <v>47</v>
      </c>
      <c r="C260" t="s">
        <v>24</v>
      </c>
      <c r="J260" t="s">
        <v>990</v>
      </c>
      <c r="K260" s="3">
        <v>1495</v>
      </c>
      <c r="L260" s="2">
        <v>224.25</v>
      </c>
      <c r="M260" s="2">
        <f t="shared" si="6"/>
        <v>1270.75</v>
      </c>
      <c r="N260" s="2">
        <f t="shared" si="7"/>
        <v>63.537500000000001</v>
      </c>
      <c r="O260" s="7">
        <v>63.54</v>
      </c>
      <c r="P260" s="2">
        <v>-0.28999999999999998</v>
      </c>
      <c r="Q260" s="2">
        <v>1334</v>
      </c>
      <c r="R260" t="s">
        <v>35</v>
      </c>
      <c r="T260" t="s">
        <v>27</v>
      </c>
      <c r="U260" t="s">
        <v>991</v>
      </c>
    </row>
    <row r="261" spans="1:21" x14ac:dyDescent="0.3">
      <c r="A261">
        <v>699</v>
      </c>
      <c r="B261" t="s">
        <v>64</v>
      </c>
      <c r="C261" t="s">
        <v>24</v>
      </c>
      <c r="J261" t="s">
        <v>988</v>
      </c>
      <c r="K261" s="3">
        <v>1700</v>
      </c>
      <c r="L261" s="2">
        <v>170</v>
      </c>
      <c r="M261" s="2">
        <f t="shared" si="6"/>
        <v>1530</v>
      </c>
      <c r="N261" s="2">
        <f t="shared" si="7"/>
        <v>76.5</v>
      </c>
      <c r="O261" s="7">
        <v>73.8</v>
      </c>
      <c r="P261" s="2">
        <v>0.2</v>
      </c>
      <c r="Q261" s="2">
        <v>1604</v>
      </c>
      <c r="R261" t="s">
        <v>45</v>
      </c>
      <c r="T261" t="s">
        <v>27</v>
      </c>
      <c r="U261" t="s">
        <v>989</v>
      </c>
    </row>
    <row r="262" spans="1:21" x14ac:dyDescent="0.3">
      <c r="A262">
        <v>700</v>
      </c>
      <c r="B262" t="s">
        <v>984</v>
      </c>
      <c r="C262" t="s">
        <v>24</v>
      </c>
      <c r="D262" t="s">
        <v>985</v>
      </c>
      <c r="J262" t="s">
        <v>986</v>
      </c>
      <c r="K262" s="3">
        <v>950</v>
      </c>
      <c r="L262" s="2">
        <v>95</v>
      </c>
      <c r="M262" s="2">
        <f t="shared" si="6"/>
        <v>855</v>
      </c>
      <c r="N262" s="2">
        <f t="shared" si="7"/>
        <v>42.75</v>
      </c>
      <c r="O262" s="7">
        <v>42.76</v>
      </c>
      <c r="P262" s="2">
        <v>0.24</v>
      </c>
      <c r="Q262" s="2">
        <v>898</v>
      </c>
      <c r="R262" t="s">
        <v>31</v>
      </c>
      <c r="T262" t="s">
        <v>27</v>
      </c>
      <c r="U262" t="s">
        <v>987</v>
      </c>
    </row>
    <row r="263" spans="1:21" x14ac:dyDescent="0.3">
      <c r="A263">
        <v>701</v>
      </c>
      <c r="B263" t="s">
        <v>67</v>
      </c>
      <c r="C263" t="s">
        <v>24</v>
      </c>
      <c r="J263" t="s">
        <v>982</v>
      </c>
      <c r="K263" s="3">
        <v>620</v>
      </c>
      <c r="L263" s="2">
        <v>0</v>
      </c>
      <c r="M263" s="2">
        <f t="shared" ref="M263:M326" si="8">K263-L263</f>
        <v>620</v>
      </c>
      <c r="N263" s="2">
        <f t="shared" ref="N263:N326" si="9">M263*5%</f>
        <v>31</v>
      </c>
      <c r="O263" s="7">
        <v>29</v>
      </c>
      <c r="P263" s="2">
        <v>0</v>
      </c>
      <c r="Q263" s="2">
        <v>649</v>
      </c>
      <c r="R263" t="s">
        <v>45</v>
      </c>
      <c r="T263" t="s">
        <v>27</v>
      </c>
      <c r="U263" t="s">
        <v>983</v>
      </c>
    </row>
    <row r="264" spans="1:21" x14ac:dyDescent="0.3">
      <c r="A264">
        <v>702</v>
      </c>
      <c r="B264" t="s">
        <v>523</v>
      </c>
      <c r="C264" t="s">
        <v>24</v>
      </c>
      <c r="J264" t="s">
        <v>980</v>
      </c>
      <c r="K264" s="3">
        <v>1035</v>
      </c>
      <c r="L264" s="2">
        <v>103.5</v>
      </c>
      <c r="M264" s="2">
        <f t="shared" si="8"/>
        <v>931.5</v>
      </c>
      <c r="N264" s="2">
        <f t="shared" si="9"/>
        <v>46.575000000000003</v>
      </c>
      <c r="O264" s="7">
        <v>46.58</v>
      </c>
      <c r="P264" s="2">
        <v>-0.08</v>
      </c>
      <c r="Q264" s="2">
        <v>978</v>
      </c>
      <c r="R264" t="s">
        <v>45</v>
      </c>
      <c r="T264" t="s">
        <v>27</v>
      </c>
      <c r="U264" t="s">
        <v>981</v>
      </c>
    </row>
    <row r="265" spans="1:21" x14ac:dyDescent="0.3">
      <c r="A265">
        <v>703</v>
      </c>
      <c r="B265" t="s">
        <v>137</v>
      </c>
      <c r="C265" t="s">
        <v>24</v>
      </c>
      <c r="J265" t="s">
        <v>129</v>
      </c>
      <c r="K265" s="3">
        <v>325</v>
      </c>
      <c r="L265" s="2">
        <v>0</v>
      </c>
      <c r="M265" s="2">
        <f t="shared" si="8"/>
        <v>325</v>
      </c>
      <c r="N265" s="2">
        <f t="shared" si="9"/>
        <v>16.25</v>
      </c>
      <c r="O265" s="7">
        <v>16.260000000000002</v>
      </c>
      <c r="P265" s="2">
        <v>-0.26</v>
      </c>
      <c r="Q265" s="2">
        <v>341</v>
      </c>
      <c r="R265" t="s">
        <v>31</v>
      </c>
      <c r="T265" t="s">
        <v>27</v>
      </c>
      <c r="U265" t="s">
        <v>979</v>
      </c>
    </row>
    <row r="266" spans="1:21" x14ac:dyDescent="0.3">
      <c r="A266">
        <v>704</v>
      </c>
      <c r="B266" t="s">
        <v>975</v>
      </c>
      <c r="C266" t="s">
        <v>24</v>
      </c>
      <c r="D266" t="s">
        <v>976</v>
      </c>
      <c r="J266" t="s">
        <v>977</v>
      </c>
      <c r="K266" s="3">
        <v>2425</v>
      </c>
      <c r="L266" s="2">
        <v>0</v>
      </c>
      <c r="M266" s="2">
        <f t="shared" si="8"/>
        <v>2425</v>
      </c>
      <c r="N266" s="2">
        <f t="shared" si="9"/>
        <v>121.25</v>
      </c>
      <c r="O266" s="7">
        <v>121.26</v>
      </c>
      <c r="P266" s="2">
        <v>-0.26</v>
      </c>
      <c r="Q266" s="2">
        <v>2546</v>
      </c>
      <c r="R266" t="s">
        <v>31</v>
      </c>
      <c r="T266" t="s">
        <v>27</v>
      </c>
      <c r="U266" t="s">
        <v>978</v>
      </c>
    </row>
    <row r="267" spans="1:21" x14ac:dyDescent="0.3">
      <c r="A267">
        <v>705</v>
      </c>
      <c r="B267" t="s">
        <v>971</v>
      </c>
      <c r="C267" t="s">
        <v>24</v>
      </c>
      <c r="D267" t="s">
        <v>972</v>
      </c>
      <c r="J267" t="s">
        <v>973</v>
      </c>
      <c r="K267" s="3">
        <v>510</v>
      </c>
      <c r="L267" s="2">
        <v>76.5</v>
      </c>
      <c r="M267" s="2">
        <f t="shared" si="8"/>
        <v>433.5</v>
      </c>
      <c r="N267" s="2">
        <f t="shared" si="9"/>
        <v>21.675000000000001</v>
      </c>
      <c r="O267" s="7">
        <v>19.12</v>
      </c>
      <c r="P267" s="2">
        <v>0.38</v>
      </c>
      <c r="Q267" s="2">
        <v>453</v>
      </c>
      <c r="R267" t="s">
        <v>45</v>
      </c>
      <c r="T267" t="s">
        <v>27</v>
      </c>
      <c r="U267" t="s">
        <v>974</v>
      </c>
    </row>
    <row r="268" spans="1:21" x14ac:dyDescent="0.3">
      <c r="A268">
        <v>706</v>
      </c>
      <c r="B268" t="s">
        <v>149</v>
      </c>
      <c r="C268" t="s">
        <v>24</v>
      </c>
      <c r="J268" t="s">
        <v>969</v>
      </c>
      <c r="K268" s="3">
        <v>725</v>
      </c>
      <c r="L268" s="2">
        <v>0</v>
      </c>
      <c r="M268" s="2">
        <f t="shared" si="8"/>
        <v>725</v>
      </c>
      <c r="N268" s="2">
        <f t="shared" si="9"/>
        <v>36.25</v>
      </c>
      <c r="O268" s="7">
        <v>36.26</v>
      </c>
      <c r="P268" s="2">
        <v>-0.26</v>
      </c>
      <c r="Q268" s="2">
        <v>761</v>
      </c>
      <c r="R268" t="s">
        <v>31</v>
      </c>
      <c r="T268" t="s">
        <v>27</v>
      </c>
      <c r="U268" t="s">
        <v>970</v>
      </c>
    </row>
    <row r="269" spans="1:21" x14ac:dyDescent="0.3">
      <c r="A269">
        <v>707</v>
      </c>
      <c r="B269" t="s">
        <v>61</v>
      </c>
      <c r="C269" t="s">
        <v>24</v>
      </c>
      <c r="J269" t="s">
        <v>106</v>
      </c>
      <c r="K269" s="3">
        <v>250</v>
      </c>
      <c r="L269" s="2">
        <v>0</v>
      </c>
      <c r="M269" s="2">
        <f t="shared" si="8"/>
        <v>250</v>
      </c>
      <c r="N269" s="2">
        <f t="shared" si="9"/>
        <v>12.5</v>
      </c>
      <c r="O269" s="7">
        <v>12.5</v>
      </c>
      <c r="P269" s="2">
        <v>0.5</v>
      </c>
      <c r="Q269" s="2">
        <v>263</v>
      </c>
      <c r="R269" t="s">
        <v>31</v>
      </c>
      <c r="T269" t="s">
        <v>27</v>
      </c>
      <c r="U269" t="s">
        <v>968</v>
      </c>
    </row>
    <row r="270" spans="1:21" x14ac:dyDescent="0.3">
      <c r="A270">
        <v>708</v>
      </c>
      <c r="B270" t="s">
        <v>965</v>
      </c>
      <c r="C270" t="s">
        <v>24</v>
      </c>
      <c r="J270" t="s">
        <v>966</v>
      </c>
      <c r="K270" s="3">
        <v>1230</v>
      </c>
      <c r="L270" s="2">
        <v>0</v>
      </c>
      <c r="M270" s="2">
        <f t="shared" si="8"/>
        <v>1230</v>
      </c>
      <c r="N270" s="2">
        <f t="shared" si="9"/>
        <v>61.5</v>
      </c>
      <c r="O270" s="7">
        <v>61.5</v>
      </c>
      <c r="P270" s="2">
        <v>0.5</v>
      </c>
      <c r="Q270" s="2">
        <v>1292</v>
      </c>
      <c r="R270" t="s">
        <v>35</v>
      </c>
      <c r="T270" t="s">
        <v>27</v>
      </c>
      <c r="U270" t="s">
        <v>967</v>
      </c>
    </row>
    <row r="271" spans="1:21" x14ac:dyDescent="0.3">
      <c r="A271">
        <v>709</v>
      </c>
      <c r="B271" t="s">
        <v>961</v>
      </c>
      <c r="C271" t="s">
        <v>24</v>
      </c>
      <c r="D271" t="s">
        <v>962</v>
      </c>
      <c r="J271" t="s">
        <v>963</v>
      </c>
      <c r="K271" s="3">
        <v>1955</v>
      </c>
      <c r="L271" s="2">
        <v>195.5</v>
      </c>
      <c r="M271" s="2">
        <f t="shared" si="8"/>
        <v>1759.5</v>
      </c>
      <c r="N271" s="2">
        <f t="shared" si="9"/>
        <v>87.975000000000009</v>
      </c>
      <c r="O271" s="7">
        <v>87.98</v>
      </c>
      <c r="P271" s="2">
        <v>-0.48</v>
      </c>
      <c r="Q271" s="2">
        <v>1847</v>
      </c>
      <c r="R271" t="s">
        <v>31</v>
      </c>
      <c r="T271" t="s">
        <v>27</v>
      </c>
      <c r="U271" t="s">
        <v>964</v>
      </c>
    </row>
    <row r="272" spans="1:21" x14ac:dyDescent="0.3">
      <c r="A272">
        <v>710</v>
      </c>
      <c r="B272" t="s">
        <v>957</v>
      </c>
      <c r="C272" t="s">
        <v>24</v>
      </c>
      <c r="D272" t="s">
        <v>958</v>
      </c>
      <c r="J272" t="s">
        <v>959</v>
      </c>
      <c r="K272" s="3">
        <v>1850</v>
      </c>
      <c r="L272" s="2">
        <v>185</v>
      </c>
      <c r="M272" s="2">
        <f t="shared" si="8"/>
        <v>1665</v>
      </c>
      <c r="N272" s="2">
        <f t="shared" si="9"/>
        <v>83.25</v>
      </c>
      <c r="O272" s="7">
        <v>83.26</v>
      </c>
      <c r="P272" s="2">
        <v>-0.26</v>
      </c>
      <c r="Q272" s="2">
        <v>1748</v>
      </c>
      <c r="R272" t="s">
        <v>26</v>
      </c>
      <c r="T272" t="s">
        <v>27</v>
      </c>
      <c r="U272" t="s">
        <v>960</v>
      </c>
    </row>
    <row r="273" spans="1:21" x14ac:dyDescent="0.3">
      <c r="A273">
        <v>711</v>
      </c>
      <c r="B273" t="s">
        <v>954</v>
      </c>
      <c r="C273" t="s">
        <v>24</v>
      </c>
      <c r="J273" t="s">
        <v>955</v>
      </c>
      <c r="K273" s="3">
        <v>1660</v>
      </c>
      <c r="L273" s="2">
        <v>0</v>
      </c>
      <c r="M273" s="2">
        <f t="shared" si="8"/>
        <v>1660</v>
      </c>
      <c r="N273" s="2">
        <f t="shared" si="9"/>
        <v>83</v>
      </c>
      <c r="O273" s="7">
        <v>63.5</v>
      </c>
      <c r="P273" s="2">
        <v>0.5</v>
      </c>
      <c r="Q273" s="2">
        <v>1724</v>
      </c>
      <c r="R273" t="s">
        <v>31</v>
      </c>
      <c r="T273" t="s">
        <v>27</v>
      </c>
      <c r="U273" t="s">
        <v>956</v>
      </c>
    </row>
    <row r="274" spans="1:21" x14ac:dyDescent="0.3">
      <c r="A274">
        <v>712</v>
      </c>
      <c r="B274" t="s">
        <v>853</v>
      </c>
      <c r="C274" t="s">
        <v>24</v>
      </c>
      <c r="J274" t="s">
        <v>2002</v>
      </c>
      <c r="K274" s="3">
        <v>15438</v>
      </c>
      <c r="L274" s="2">
        <v>2315.6999999999998</v>
      </c>
      <c r="M274" s="2">
        <f t="shared" si="8"/>
        <v>13122.3</v>
      </c>
      <c r="N274" s="2">
        <f t="shared" si="9"/>
        <v>656.11500000000001</v>
      </c>
      <c r="O274" s="7">
        <v>921.32</v>
      </c>
      <c r="P274" s="2">
        <v>0.38</v>
      </c>
      <c r="Q274" s="2">
        <v>14044</v>
      </c>
      <c r="R274" t="s">
        <v>31</v>
      </c>
      <c r="T274" t="s">
        <v>27</v>
      </c>
      <c r="U274" t="s">
        <v>953</v>
      </c>
    </row>
    <row r="275" spans="1:21" x14ac:dyDescent="0.3">
      <c r="A275">
        <v>713</v>
      </c>
      <c r="B275" t="s">
        <v>944</v>
      </c>
      <c r="C275" t="s">
        <v>24</v>
      </c>
      <c r="D275" t="s">
        <v>951</v>
      </c>
      <c r="J275" t="s">
        <v>97</v>
      </c>
      <c r="K275" s="3">
        <v>60</v>
      </c>
      <c r="L275" s="2">
        <v>0</v>
      </c>
      <c r="M275" s="2">
        <f t="shared" si="8"/>
        <v>60</v>
      </c>
      <c r="N275" s="2">
        <f t="shared" si="9"/>
        <v>3</v>
      </c>
      <c r="O275" s="7">
        <v>0</v>
      </c>
      <c r="P275" s="2">
        <v>0</v>
      </c>
      <c r="Q275" s="2">
        <v>60</v>
      </c>
      <c r="R275" t="s">
        <v>45</v>
      </c>
      <c r="T275" t="s">
        <v>27</v>
      </c>
      <c r="U275" t="s">
        <v>952</v>
      </c>
    </row>
    <row r="276" spans="1:21" x14ac:dyDescent="0.3">
      <c r="A276">
        <v>714</v>
      </c>
      <c r="B276" t="s">
        <v>948</v>
      </c>
      <c r="C276" t="s">
        <v>24</v>
      </c>
      <c r="D276" t="s">
        <v>949</v>
      </c>
      <c r="J276" t="s">
        <v>898</v>
      </c>
      <c r="K276" s="3">
        <v>380</v>
      </c>
      <c r="L276" s="2">
        <v>0</v>
      </c>
      <c r="M276" s="2">
        <f t="shared" si="8"/>
        <v>380</v>
      </c>
      <c r="N276" s="2">
        <f t="shared" si="9"/>
        <v>19</v>
      </c>
      <c r="O276" s="7">
        <v>19</v>
      </c>
      <c r="P276" s="2">
        <v>0</v>
      </c>
      <c r="Q276" s="2">
        <v>399</v>
      </c>
      <c r="R276" t="s">
        <v>45</v>
      </c>
      <c r="T276" t="s">
        <v>27</v>
      </c>
      <c r="U276" t="s">
        <v>950</v>
      </c>
    </row>
    <row r="277" spans="1:21" x14ac:dyDescent="0.3">
      <c r="A277">
        <v>715</v>
      </c>
      <c r="B277" t="s">
        <v>944</v>
      </c>
      <c r="C277" t="s">
        <v>24</v>
      </c>
      <c r="D277" t="s">
        <v>945</v>
      </c>
      <c r="J277" t="s">
        <v>946</v>
      </c>
      <c r="K277" s="3">
        <v>660</v>
      </c>
      <c r="L277" s="2">
        <v>0</v>
      </c>
      <c r="M277" s="2">
        <f t="shared" si="8"/>
        <v>660</v>
      </c>
      <c r="N277" s="2">
        <f t="shared" si="9"/>
        <v>33</v>
      </c>
      <c r="O277" s="7">
        <v>33</v>
      </c>
      <c r="P277" s="2">
        <v>0</v>
      </c>
      <c r="Q277" s="2">
        <v>693</v>
      </c>
      <c r="R277" t="s">
        <v>45</v>
      </c>
      <c r="T277" t="s">
        <v>27</v>
      </c>
      <c r="U277" t="s">
        <v>947</v>
      </c>
    </row>
    <row r="278" spans="1:21" x14ac:dyDescent="0.3">
      <c r="A278">
        <v>716</v>
      </c>
      <c r="B278" t="s">
        <v>206</v>
      </c>
      <c r="C278" t="s">
        <v>24</v>
      </c>
      <c r="D278" t="s">
        <v>941</v>
      </c>
      <c r="J278" t="s">
        <v>942</v>
      </c>
      <c r="K278" s="3">
        <v>2065</v>
      </c>
      <c r="L278" s="2">
        <v>206.5</v>
      </c>
      <c r="M278" s="2">
        <f t="shared" si="8"/>
        <v>1858.5</v>
      </c>
      <c r="N278" s="2">
        <f t="shared" si="9"/>
        <v>92.925000000000011</v>
      </c>
      <c r="O278" s="7">
        <v>92.92</v>
      </c>
      <c r="P278" s="2">
        <v>-0.42</v>
      </c>
      <c r="Q278" s="2">
        <v>1951</v>
      </c>
      <c r="R278" t="s">
        <v>31</v>
      </c>
      <c r="T278" t="s">
        <v>27</v>
      </c>
      <c r="U278" t="s">
        <v>943</v>
      </c>
    </row>
    <row r="279" spans="1:21" x14ac:dyDescent="0.3">
      <c r="A279">
        <v>717</v>
      </c>
      <c r="B279" t="s">
        <v>146</v>
      </c>
      <c r="C279" t="s">
        <v>24</v>
      </c>
      <c r="J279" t="s">
        <v>939</v>
      </c>
      <c r="K279" s="3">
        <v>875</v>
      </c>
      <c r="L279" s="2">
        <v>87.5</v>
      </c>
      <c r="M279" s="2">
        <f t="shared" si="8"/>
        <v>787.5</v>
      </c>
      <c r="N279" s="2">
        <f t="shared" si="9"/>
        <v>39.375</v>
      </c>
      <c r="O279" s="7">
        <v>39.380000000000003</v>
      </c>
      <c r="P279" s="2">
        <v>0.12</v>
      </c>
      <c r="Q279" s="2">
        <v>827</v>
      </c>
      <c r="R279" t="s">
        <v>31</v>
      </c>
      <c r="T279" t="s">
        <v>27</v>
      </c>
      <c r="U279" t="s">
        <v>940</v>
      </c>
    </row>
    <row r="280" spans="1:21" x14ac:dyDescent="0.3">
      <c r="A280">
        <v>718</v>
      </c>
      <c r="B280" t="s">
        <v>936</v>
      </c>
      <c r="C280" t="s">
        <v>24</v>
      </c>
      <c r="J280" t="s">
        <v>937</v>
      </c>
      <c r="K280" s="3">
        <v>1020</v>
      </c>
      <c r="L280" s="2">
        <v>102</v>
      </c>
      <c r="M280" s="2">
        <f t="shared" si="8"/>
        <v>918</v>
      </c>
      <c r="N280" s="2">
        <f t="shared" si="9"/>
        <v>45.900000000000006</v>
      </c>
      <c r="O280" s="7">
        <v>45.9</v>
      </c>
      <c r="P280" s="2">
        <v>0.1</v>
      </c>
      <c r="Q280" s="2">
        <v>964</v>
      </c>
      <c r="R280" t="s">
        <v>26</v>
      </c>
      <c r="T280" t="s">
        <v>27</v>
      </c>
      <c r="U280" t="s">
        <v>938</v>
      </c>
    </row>
    <row r="281" spans="1:21" x14ac:dyDescent="0.3">
      <c r="A281">
        <v>719</v>
      </c>
      <c r="B281" t="s">
        <v>932</v>
      </c>
      <c r="C281" t="s">
        <v>24</v>
      </c>
      <c r="D281" t="s">
        <v>933</v>
      </c>
      <c r="J281" t="s">
        <v>934</v>
      </c>
      <c r="K281" s="3">
        <v>495</v>
      </c>
      <c r="L281" s="2">
        <v>0</v>
      </c>
      <c r="M281" s="2">
        <f t="shared" si="8"/>
        <v>495</v>
      </c>
      <c r="N281" s="2">
        <f t="shared" si="9"/>
        <v>24.75</v>
      </c>
      <c r="O281" s="7">
        <v>24.76</v>
      </c>
      <c r="P281" s="2">
        <v>0.24</v>
      </c>
      <c r="Q281" s="2">
        <v>520</v>
      </c>
      <c r="R281" t="s">
        <v>45</v>
      </c>
      <c r="T281" t="s">
        <v>27</v>
      </c>
      <c r="U281" t="s">
        <v>935</v>
      </c>
    </row>
    <row r="282" spans="1:21" x14ac:dyDescent="0.3">
      <c r="A282">
        <v>720</v>
      </c>
      <c r="B282" t="s">
        <v>929</v>
      </c>
      <c r="C282" t="s">
        <v>24</v>
      </c>
      <c r="J282" t="s">
        <v>930</v>
      </c>
      <c r="K282" s="3">
        <v>290</v>
      </c>
      <c r="L282" s="2">
        <v>0</v>
      </c>
      <c r="M282" s="2">
        <f t="shared" si="8"/>
        <v>290</v>
      </c>
      <c r="N282" s="2">
        <f t="shared" si="9"/>
        <v>14.5</v>
      </c>
      <c r="O282" s="7">
        <v>14.5</v>
      </c>
      <c r="P282" s="2">
        <v>0.5</v>
      </c>
      <c r="Q282" s="2">
        <v>305</v>
      </c>
      <c r="R282" t="s">
        <v>31</v>
      </c>
      <c r="T282" t="s">
        <v>27</v>
      </c>
      <c r="U282" t="s">
        <v>931</v>
      </c>
    </row>
    <row r="283" spans="1:21" x14ac:dyDescent="0.3">
      <c r="A283">
        <v>721</v>
      </c>
      <c r="B283" t="s">
        <v>926</v>
      </c>
      <c r="C283" t="s">
        <v>24</v>
      </c>
      <c r="J283" t="s">
        <v>927</v>
      </c>
      <c r="K283" s="3">
        <v>830</v>
      </c>
      <c r="L283" s="2">
        <v>83</v>
      </c>
      <c r="M283" s="2">
        <f t="shared" si="8"/>
        <v>747</v>
      </c>
      <c r="N283" s="2">
        <f t="shared" si="9"/>
        <v>37.35</v>
      </c>
      <c r="O283" s="7">
        <v>37.36</v>
      </c>
      <c r="P283" s="2">
        <v>-0.36</v>
      </c>
      <c r="Q283" s="2">
        <v>784</v>
      </c>
      <c r="R283" t="s">
        <v>26</v>
      </c>
      <c r="T283" t="s">
        <v>27</v>
      </c>
      <c r="U283" t="s">
        <v>928</v>
      </c>
    </row>
    <row r="284" spans="1:21" x14ac:dyDescent="0.3">
      <c r="A284">
        <v>722</v>
      </c>
      <c r="B284" t="s">
        <v>23</v>
      </c>
      <c r="C284" t="s">
        <v>24</v>
      </c>
      <c r="J284" t="s">
        <v>923</v>
      </c>
      <c r="K284" s="3">
        <v>1150</v>
      </c>
      <c r="L284" s="2">
        <v>115</v>
      </c>
      <c r="M284" s="2">
        <f t="shared" si="8"/>
        <v>1035</v>
      </c>
      <c r="N284" s="2">
        <f t="shared" si="9"/>
        <v>51.75</v>
      </c>
      <c r="O284" s="7">
        <v>51.76</v>
      </c>
      <c r="P284" s="2">
        <v>0.24</v>
      </c>
      <c r="Q284" s="2">
        <v>0</v>
      </c>
      <c r="R284" t="s">
        <v>209</v>
      </c>
      <c r="S284" t="s">
        <v>924</v>
      </c>
      <c r="T284" t="s">
        <v>27</v>
      </c>
      <c r="U284" t="s">
        <v>925</v>
      </c>
    </row>
    <row r="285" spans="1:21" x14ac:dyDescent="0.3">
      <c r="A285">
        <v>723</v>
      </c>
      <c r="B285" t="s">
        <v>53</v>
      </c>
      <c r="C285" t="s">
        <v>24</v>
      </c>
      <c r="J285" t="s">
        <v>921</v>
      </c>
      <c r="K285" s="3">
        <v>1155</v>
      </c>
      <c r="L285" s="2">
        <v>0</v>
      </c>
      <c r="M285" s="2">
        <f t="shared" si="8"/>
        <v>1155</v>
      </c>
      <c r="N285" s="2">
        <f t="shared" si="9"/>
        <v>57.75</v>
      </c>
      <c r="O285" s="7">
        <v>57.76</v>
      </c>
      <c r="P285" s="2">
        <v>0.24</v>
      </c>
      <c r="Q285" s="2">
        <v>1213</v>
      </c>
      <c r="R285" t="s">
        <v>45</v>
      </c>
      <c r="T285" t="s">
        <v>27</v>
      </c>
      <c r="U285" t="s">
        <v>922</v>
      </c>
    </row>
    <row r="286" spans="1:21" x14ac:dyDescent="0.3">
      <c r="A286">
        <v>724</v>
      </c>
      <c r="B286" t="s">
        <v>918</v>
      </c>
      <c r="C286" t="s">
        <v>24</v>
      </c>
      <c r="J286" t="s">
        <v>919</v>
      </c>
      <c r="K286" s="3">
        <v>1065</v>
      </c>
      <c r="L286" s="2">
        <v>106.5</v>
      </c>
      <c r="M286" s="2">
        <f t="shared" si="8"/>
        <v>958.5</v>
      </c>
      <c r="N286" s="2">
        <f t="shared" si="9"/>
        <v>47.925000000000004</v>
      </c>
      <c r="O286" s="7">
        <v>47.92</v>
      </c>
      <c r="P286" s="2">
        <v>-0.42</v>
      </c>
      <c r="Q286" s="2">
        <v>1006</v>
      </c>
      <c r="R286" t="s">
        <v>35</v>
      </c>
      <c r="T286" t="s">
        <v>27</v>
      </c>
      <c r="U286" t="s">
        <v>920</v>
      </c>
    </row>
    <row r="287" spans="1:21" x14ac:dyDescent="0.3">
      <c r="A287">
        <v>725</v>
      </c>
      <c r="B287" t="s">
        <v>915</v>
      </c>
      <c r="C287" t="s">
        <v>24</v>
      </c>
      <c r="J287" t="s">
        <v>916</v>
      </c>
      <c r="K287" s="3">
        <v>895</v>
      </c>
      <c r="L287" s="2">
        <v>0</v>
      </c>
      <c r="M287" s="2">
        <f t="shared" si="8"/>
        <v>895</v>
      </c>
      <c r="N287" s="2">
        <f t="shared" si="9"/>
        <v>44.75</v>
      </c>
      <c r="O287" s="7">
        <v>44.76</v>
      </c>
      <c r="P287" s="2">
        <v>0.24</v>
      </c>
      <c r="Q287" s="2">
        <v>940</v>
      </c>
      <c r="R287" t="s">
        <v>26</v>
      </c>
      <c r="T287" t="s">
        <v>27</v>
      </c>
      <c r="U287" t="s">
        <v>917</v>
      </c>
    </row>
    <row r="288" spans="1:21" x14ac:dyDescent="0.3">
      <c r="A288">
        <v>726</v>
      </c>
      <c r="B288" t="s">
        <v>913</v>
      </c>
      <c r="C288" t="s">
        <v>24</v>
      </c>
      <c r="J288" t="s">
        <v>353</v>
      </c>
      <c r="K288" s="3">
        <v>295</v>
      </c>
      <c r="L288" s="2">
        <v>0</v>
      </c>
      <c r="M288" s="2">
        <f t="shared" si="8"/>
        <v>295</v>
      </c>
      <c r="N288" s="2">
        <f t="shared" si="9"/>
        <v>14.75</v>
      </c>
      <c r="O288" s="7">
        <v>14.76</v>
      </c>
      <c r="P288" s="2">
        <v>0.24</v>
      </c>
      <c r="Q288" s="2">
        <v>310</v>
      </c>
      <c r="R288" t="s">
        <v>31</v>
      </c>
      <c r="T288" t="s">
        <v>27</v>
      </c>
      <c r="U288" t="s">
        <v>914</v>
      </c>
    </row>
    <row r="289" spans="1:21" x14ac:dyDescent="0.3">
      <c r="A289">
        <v>727</v>
      </c>
      <c r="B289" t="s">
        <v>876</v>
      </c>
      <c r="C289" t="s">
        <v>24</v>
      </c>
      <c r="D289" t="s">
        <v>910</v>
      </c>
      <c r="J289" t="s">
        <v>911</v>
      </c>
      <c r="K289" s="3">
        <v>935</v>
      </c>
      <c r="L289" s="2">
        <v>93.5</v>
      </c>
      <c r="M289" s="2">
        <f t="shared" si="8"/>
        <v>841.5</v>
      </c>
      <c r="N289" s="2">
        <f t="shared" si="9"/>
        <v>42.075000000000003</v>
      </c>
      <c r="O289" s="7">
        <v>42.08</v>
      </c>
      <c r="P289" s="2">
        <v>0.42</v>
      </c>
      <c r="Q289" s="2">
        <v>884</v>
      </c>
      <c r="R289" t="s">
        <v>31</v>
      </c>
      <c r="T289" t="s">
        <v>27</v>
      </c>
      <c r="U289" t="s">
        <v>912</v>
      </c>
    </row>
    <row r="290" spans="1:21" x14ac:dyDescent="0.3">
      <c r="A290">
        <v>728</v>
      </c>
      <c r="B290" t="s">
        <v>23</v>
      </c>
      <c r="C290" t="s">
        <v>24</v>
      </c>
      <c r="J290" t="s">
        <v>908</v>
      </c>
      <c r="K290" s="3">
        <v>1095</v>
      </c>
      <c r="L290" s="2">
        <v>0</v>
      </c>
      <c r="M290" s="2">
        <f t="shared" si="8"/>
        <v>1095</v>
      </c>
      <c r="N290" s="2">
        <f t="shared" si="9"/>
        <v>54.75</v>
      </c>
      <c r="O290" s="7">
        <v>54.76</v>
      </c>
      <c r="P290" s="2">
        <v>0.24</v>
      </c>
      <c r="Q290" s="2">
        <v>1150</v>
      </c>
      <c r="R290" t="s">
        <v>26</v>
      </c>
      <c r="T290" t="s">
        <v>27</v>
      </c>
      <c r="U290" t="s">
        <v>909</v>
      </c>
    </row>
    <row r="291" spans="1:21" x14ac:dyDescent="0.3">
      <c r="A291">
        <v>729</v>
      </c>
      <c r="B291" t="s">
        <v>906</v>
      </c>
      <c r="C291" t="s">
        <v>24</v>
      </c>
      <c r="J291" t="s">
        <v>651</v>
      </c>
      <c r="K291" s="3">
        <v>280</v>
      </c>
      <c r="L291" s="2">
        <v>0</v>
      </c>
      <c r="M291" s="2">
        <f t="shared" si="8"/>
        <v>280</v>
      </c>
      <c r="N291" s="2">
        <f t="shared" si="9"/>
        <v>14</v>
      </c>
      <c r="O291" s="7">
        <v>14</v>
      </c>
      <c r="P291" s="2">
        <v>0</v>
      </c>
      <c r="Q291" s="2">
        <v>294</v>
      </c>
      <c r="R291" t="s">
        <v>45</v>
      </c>
      <c r="T291" t="s">
        <v>27</v>
      </c>
      <c r="U291" t="s">
        <v>907</v>
      </c>
    </row>
    <row r="292" spans="1:21" x14ac:dyDescent="0.3">
      <c r="A292">
        <v>730</v>
      </c>
      <c r="B292" t="s">
        <v>902</v>
      </c>
      <c r="C292" t="s">
        <v>24</v>
      </c>
      <c r="D292" t="s">
        <v>903</v>
      </c>
      <c r="J292" t="s">
        <v>904</v>
      </c>
      <c r="K292" s="3">
        <v>380</v>
      </c>
      <c r="L292" s="2">
        <v>0</v>
      </c>
      <c r="M292" s="2">
        <f t="shared" si="8"/>
        <v>380</v>
      </c>
      <c r="N292" s="2">
        <f t="shared" si="9"/>
        <v>19</v>
      </c>
      <c r="O292" s="7">
        <v>19</v>
      </c>
      <c r="P292" s="2">
        <v>0</v>
      </c>
      <c r="Q292" s="2">
        <v>399</v>
      </c>
      <c r="R292" t="s">
        <v>45</v>
      </c>
      <c r="T292" t="s">
        <v>27</v>
      </c>
      <c r="U292" t="s">
        <v>905</v>
      </c>
    </row>
    <row r="293" spans="1:21" x14ac:dyDescent="0.3">
      <c r="A293">
        <v>731</v>
      </c>
      <c r="B293" t="s">
        <v>519</v>
      </c>
      <c r="C293" t="s">
        <v>24</v>
      </c>
      <c r="D293" t="s">
        <v>900</v>
      </c>
      <c r="J293" t="s">
        <v>135</v>
      </c>
      <c r="K293" s="3">
        <v>165</v>
      </c>
      <c r="L293" s="2">
        <v>0</v>
      </c>
      <c r="M293" s="2">
        <f t="shared" si="8"/>
        <v>165</v>
      </c>
      <c r="N293" s="2">
        <f t="shared" si="9"/>
        <v>8.25</v>
      </c>
      <c r="O293" s="7">
        <v>8.26</v>
      </c>
      <c r="P293" s="2">
        <v>-0.26</v>
      </c>
      <c r="Q293" s="2">
        <v>173</v>
      </c>
      <c r="R293" t="s">
        <v>31</v>
      </c>
      <c r="T293" t="s">
        <v>27</v>
      </c>
      <c r="U293" t="s">
        <v>901</v>
      </c>
    </row>
    <row r="294" spans="1:21" x14ac:dyDescent="0.3">
      <c r="A294">
        <v>732</v>
      </c>
      <c r="B294" t="s">
        <v>896</v>
      </c>
      <c r="C294" t="s">
        <v>24</v>
      </c>
      <c r="D294" t="s">
        <v>897</v>
      </c>
      <c r="J294" t="s">
        <v>898</v>
      </c>
      <c r="K294" s="3">
        <v>380</v>
      </c>
      <c r="L294" s="2">
        <v>0</v>
      </c>
      <c r="M294" s="2">
        <f t="shared" si="8"/>
        <v>380</v>
      </c>
      <c r="N294" s="2">
        <f t="shared" si="9"/>
        <v>19</v>
      </c>
      <c r="O294" s="7">
        <v>19</v>
      </c>
      <c r="P294" s="2">
        <v>0</v>
      </c>
      <c r="Q294" s="2">
        <v>399</v>
      </c>
      <c r="R294" t="s">
        <v>45</v>
      </c>
      <c r="T294" t="s">
        <v>27</v>
      </c>
      <c r="U294" t="s">
        <v>899</v>
      </c>
    </row>
    <row r="295" spans="1:21" x14ac:dyDescent="0.3">
      <c r="A295">
        <v>733</v>
      </c>
      <c r="B295" t="s">
        <v>259</v>
      </c>
      <c r="C295" t="s">
        <v>24</v>
      </c>
      <c r="J295" t="s">
        <v>894</v>
      </c>
      <c r="K295" s="3">
        <v>830</v>
      </c>
      <c r="L295" s="2">
        <v>0</v>
      </c>
      <c r="M295" s="2">
        <f t="shared" si="8"/>
        <v>830</v>
      </c>
      <c r="N295" s="2">
        <f t="shared" si="9"/>
        <v>41.5</v>
      </c>
      <c r="O295" s="7">
        <v>41.5</v>
      </c>
      <c r="P295" s="2">
        <v>0.5</v>
      </c>
      <c r="Q295" s="2">
        <v>872</v>
      </c>
      <c r="R295" t="s">
        <v>45</v>
      </c>
      <c r="T295" t="s">
        <v>27</v>
      </c>
      <c r="U295" t="s">
        <v>895</v>
      </c>
    </row>
    <row r="296" spans="1:21" x14ac:dyDescent="0.3">
      <c r="A296">
        <v>734</v>
      </c>
      <c r="B296" t="s">
        <v>122</v>
      </c>
      <c r="C296" t="s">
        <v>24</v>
      </c>
      <c r="D296" t="s">
        <v>892</v>
      </c>
      <c r="J296" t="s">
        <v>282</v>
      </c>
      <c r="K296" s="3">
        <v>425</v>
      </c>
      <c r="L296" s="2">
        <v>0</v>
      </c>
      <c r="M296" s="2">
        <f t="shared" si="8"/>
        <v>425</v>
      </c>
      <c r="N296" s="2">
        <f t="shared" si="9"/>
        <v>21.25</v>
      </c>
      <c r="O296" s="7">
        <v>21.26</v>
      </c>
      <c r="P296" s="2">
        <v>-0.26</v>
      </c>
      <c r="Q296" s="2">
        <v>446</v>
      </c>
      <c r="R296" t="s">
        <v>45</v>
      </c>
      <c r="T296" t="s">
        <v>27</v>
      </c>
      <c r="U296" t="s">
        <v>893</v>
      </c>
    </row>
    <row r="297" spans="1:21" x14ac:dyDescent="0.3">
      <c r="A297">
        <v>735</v>
      </c>
      <c r="B297" t="s">
        <v>889</v>
      </c>
      <c r="C297" t="s">
        <v>24</v>
      </c>
      <c r="J297" t="s">
        <v>890</v>
      </c>
      <c r="K297" s="3">
        <v>450</v>
      </c>
      <c r="L297" s="2">
        <v>0</v>
      </c>
      <c r="M297" s="2">
        <f t="shared" si="8"/>
        <v>450</v>
      </c>
      <c r="N297" s="2">
        <f t="shared" si="9"/>
        <v>22.5</v>
      </c>
      <c r="O297" s="7">
        <v>22.5</v>
      </c>
      <c r="P297" s="2">
        <v>0.5</v>
      </c>
      <c r="Q297" s="2">
        <v>473</v>
      </c>
      <c r="R297" t="s">
        <v>45</v>
      </c>
      <c r="T297" t="s">
        <v>27</v>
      </c>
      <c r="U297" t="s">
        <v>891</v>
      </c>
    </row>
    <row r="298" spans="1:21" x14ac:dyDescent="0.3">
      <c r="A298">
        <v>736</v>
      </c>
      <c r="B298" t="s">
        <v>886</v>
      </c>
      <c r="C298" t="s">
        <v>24</v>
      </c>
      <c r="J298" t="s">
        <v>887</v>
      </c>
      <c r="K298" s="3">
        <v>725</v>
      </c>
      <c r="L298" s="2">
        <v>72.5</v>
      </c>
      <c r="M298" s="2">
        <f t="shared" si="8"/>
        <v>652.5</v>
      </c>
      <c r="N298" s="2">
        <f t="shared" si="9"/>
        <v>32.625</v>
      </c>
      <c r="O298" s="7">
        <v>32.619999999999997</v>
      </c>
      <c r="P298" s="2">
        <v>-0.12</v>
      </c>
      <c r="Q298" s="2">
        <v>685</v>
      </c>
      <c r="R298" t="s">
        <v>31</v>
      </c>
      <c r="T298" t="s">
        <v>27</v>
      </c>
      <c r="U298" t="s">
        <v>888</v>
      </c>
    </row>
    <row r="299" spans="1:21" x14ac:dyDescent="0.3">
      <c r="A299">
        <v>737</v>
      </c>
      <c r="B299" t="s">
        <v>883</v>
      </c>
      <c r="C299" t="s">
        <v>24</v>
      </c>
      <c r="J299" t="s">
        <v>884</v>
      </c>
      <c r="K299" s="3">
        <v>190</v>
      </c>
      <c r="L299" s="2">
        <v>0</v>
      </c>
      <c r="M299" s="2">
        <f t="shared" si="8"/>
        <v>190</v>
      </c>
      <c r="N299" s="2">
        <f t="shared" si="9"/>
        <v>9.5</v>
      </c>
      <c r="O299" s="7">
        <v>9.5</v>
      </c>
      <c r="P299" s="2">
        <v>0.5</v>
      </c>
      <c r="Q299" s="2">
        <v>200</v>
      </c>
      <c r="R299" t="s">
        <v>31</v>
      </c>
      <c r="T299" t="s">
        <v>27</v>
      </c>
      <c r="U299" t="s">
        <v>885</v>
      </c>
    </row>
    <row r="300" spans="1:21" x14ac:dyDescent="0.3">
      <c r="A300">
        <v>738</v>
      </c>
      <c r="B300" t="s">
        <v>879</v>
      </c>
      <c r="C300" t="s">
        <v>24</v>
      </c>
      <c r="D300" t="s">
        <v>880</v>
      </c>
      <c r="J300" t="s">
        <v>881</v>
      </c>
      <c r="K300" s="3">
        <v>554</v>
      </c>
      <c r="L300" s="2">
        <v>55.4</v>
      </c>
      <c r="M300" s="2">
        <f t="shared" si="8"/>
        <v>498.6</v>
      </c>
      <c r="N300" s="2">
        <f t="shared" si="9"/>
        <v>24.930000000000003</v>
      </c>
      <c r="O300" s="7">
        <v>24.94</v>
      </c>
      <c r="P300" s="2">
        <v>0.46</v>
      </c>
      <c r="Q300" s="2">
        <v>524</v>
      </c>
      <c r="R300" t="s">
        <v>45</v>
      </c>
      <c r="T300" t="s">
        <v>27</v>
      </c>
      <c r="U300" t="s">
        <v>882</v>
      </c>
    </row>
    <row r="301" spans="1:21" x14ac:dyDescent="0.3">
      <c r="A301">
        <v>739</v>
      </c>
      <c r="B301" t="s">
        <v>876</v>
      </c>
      <c r="C301" t="s">
        <v>24</v>
      </c>
      <c r="J301" t="s">
        <v>877</v>
      </c>
      <c r="K301" s="3">
        <v>909</v>
      </c>
      <c r="L301" s="2">
        <v>90.9</v>
      </c>
      <c r="M301" s="2">
        <f t="shared" si="8"/>
        <v>818.1</v>
      </c>
      <c r="N301" s="2">
        <f t="shared" si="9"/>
        <v>40.905000000000001</v>
      </c>
      <c r="O301" s="7">
        <v>40.9</v>
      </c>
      <c r="P301" s="2">
        <v>0</v>
      </c>
      <c r="Q301" s="2">
        <v>859</v>
      </c>
      <c r="R301" t="s">
        <v>45</v>
      </c>
      <c r="T301" t="s">
        <v>27</v>
      </c>
      <c r="U301" t="s">
        <v>878</v>
      </c>
    </row>
    <row r="302" spans="1:21" x14ac:dyDescent="0.3">
      <c r="A302">
        <v>740</v>
      </c>
      <c r="B302" t="s">
        <v>23</v>
      </c>
      <c r="C302" t="s">
        <v>24</v>
      </c>
      <c r="J302" t="s">
        <v>874</v>
      </c>
      <c r="K302" s="3">
        <v>790</v>
      </c>
      <c r="L302" s="2">
        <v>79</v>
      </c>
      <c r="M302" s="2">
        <f t="shared" si="8"/>
        <v>711</v>
      </c>
      <c r="N302" s="2">
        <f t="shared" si="9"/>
        <v>35.550000000000004</v>
      </c>
      <c r="O302" s="7">
        <v>35.54</v>
      </c>
      <c r="P302" s="2">
        <v>0.46</v>
      </c>
      <c r="Q302" s="2">
        <v>747</v>
      </c>
      <c r="R302" t="s">
        <v>35</v>
      </c>
      <c r="T302" t="s">
        <v>27</v>
      </c>
      <c r="U302" t="s">
        <v>875</v>
      </c>
    </row>
    <row r="303" spans="1:21" x14ac:dyDescent="0.3">
      <c r="A303">
        <v>741</v>
      </c>
      <c r="B303" t="s">
        <v>482</v>
      </c>
      <c r="C303" t="s">
        <v>24</v>
      </c>
      <c r="D303" t="s">
        <v>483</v>
      </c>
      <c r="E303">
        <v>9536971573</v>
      </c>
      <c r="J303" t="s">
        <v>872</v>
      </c>
      <c r="K303" s="3">
        <v>2315</v>
      </c>
      <c r="L303" s="2">
        <v>0</v>
      </c>
      <c r="M303" s="2">
        <f t="shared" si="8"/>
        <v>2315</v>
      </c>
      <c r="N303" s="2">
        <f t="shared" si="9"/>
        <v>115.75</v>
      </c>
      <c r="O303" s="7">
        <v>115.76</v>
      </c>
      <c r="P303" s="2">
        <v>0.24</v>
      </c>
      <c r="Q303" s="2">
        <v>2431</v>
      </c>
      <c r="R303" t="s">
        <v>31</v>
      </c>
      <c r="T303" t="s">
        <v>27</v>
      </c>
      <c r="U303" t="s">
        <v>873</v>
      </c>
    </row>
    <row r="304" spans="1:21" x14ac:dyDescent="0.3">
      <c r="A304">
        <v>742</v>
      </c>
      <c r="B304" t="s">
        <v>131</v>
      </c>
      <c r="C304" t="s">
        <v>24</v>
      </c>
      <c r="J304" t="s">
        <v>870</v>
      </c>
      <c r="K304" s="3">
        <v>0</v>
      </c>
      <c r="L304" s="2">
        <v>0</v>
      </c>
      <c r="M304" s="2">
        <f t="shared" si="8"/>
        <v>0</v>
      </c>
      <c r="N304" s="2">
        <f t="shared" si="9"/>
        <v>0</v>
      </c>
      <c r="O304" s="7">
        <v>0</v>
      </c>
      <c r="P304" s="2">
        <v>0</v>
      </c>
      <c r="Q304" s="2">
        <v>0</v>
      </c>
      <c r="R304" t="s">
        <v>35</v>
      </c>
      <c r="T304" t="s">
        <v>27</v>
      </c>
      <c r="U304" t="s">
        <v>871</v>
      </c>
    </row>
    <row r="305" spans="1:21" x14ac:dyDescent="0.3">
      <c r="A305">
        <v>743</v>
      </c>
      <c r="B305" t="s">
        <v>428</v>
      </c>
      <c r="C305" t="s">
        <v>24</v>
      </c>
      <c r="J305" t="s">
        <v>868</v>
      </c>
      <c r="K305" s="3">
        <v>585</v>
      </c>
      <c r="L305" s="2">
        <v>0</v>
      </c>
      <c r="M305" s="2">
        <f t="shared" si="8"/>
        <v>585</v>
      </c>
      <c r="N305" s="2">
        <f t="shared" si="9"/>
        <v>29.25</v>
      </c>
      <c r="O305" s="7">
        <v>29.26</v>
      </c>
      <c r="P305" s="2">
        <v>-0.26</v>
      </c>
      <c r="Q305" s="2">
        <v>614</v>
      </c>
      <c r="R305" t="s">
        <v>31</v>
      </c>
      <c r="T305" t="s">
        <v>27</v>
      </c>
      <c r="U305" t="s">
        <v>869</v>
      </c>
    </row>
    <row r="306" spans="1:21" x14ac:dyDescent="0.3">
      <c r="A306">
        <v>744</v>
      </c>
      <c r="B306" t="s">
        <v>67</v>
      </c>
      <c r="C306" t="s">
        <v>24</v>
      </c>
      <c r="J306" t="s">
        <v>866</v>
      </c>
      <c r="K306" s="3">
        <v>599</v>
      </c>
      <c r="L306" s="2">
        <v>89.85</v>
      </c>
      <c r="M306" s="2">
        <f t="shared" si="8"/>
        <v>509.15</v>
      </c>
      <c r="N306" s="2">
        <f t="shared" si="9"/>
        <v>25.4575</v>
      </c>
      <c r="O306" s="7">
        <v>25.46</v>
      </c>
      <c r="P306" s="2">
        <v>0.39</v>
      </c>
      <c r="Q306" s="2">
        <v>535</v>
      </c>
      <c r="R306" t="s">
        <v>45</v>
      </c>
      <c r="T306" t="s">
        <v>27</v>
      </c>
      <c r="U306" t="s">
        <v>867</v>
      </c>
    </row>
    <row r="307" spans="1:21" x14ac:dyDescent="0.3">
      <c r="A307">
        <v>745</v>
      </c>
      <c r="B307" t="s">
        <v>61</v>
      </c>
      <c r="C307" t="s">
        <v>24</v>
      </c>
      <c r="J307" t="s">
        <v>864</v>
      </c>
      <c r="K307" s="3">
        <v>645</v>
      </c>
      <c r="L307" s="2">
        <v>64.5</v>
      </c>
      <c r="M307" s="2">
        <f t="shared" si="8"/>
        <v>580.5</v>
      </c>
      <c r="N307" s="2">
        <f t="shared" si="9"/>
        <v>29.025000000000002</v>
      </c>
      <c r="O307" s="7">
        <v>29.02</v>
      </c>
      <c r="P307" s="2">
        <v>0.48</v>
      </c>
      <c r="Q307" s="2">
        <v>610</v>
      </c>
      <c r="R307" t="s">
        <v>45</v>
      </c>
      <c r="T307" t="s">
        <v>27</v>
      </c>
      <c r="U307" t="s">
        <v>865</v>
      </c>
    </row>
    <row r="308" spans="1:21" x14ac:dyDescent="0.3">
      <c r="A308">
        <v>746</v>
      </c>
      <c r="B308" t="s">
        <v>37</v>
      </c>
      <c r="C308" t="s">
        <v>24</v>
      </c>
      <c r="J308" t="s">
        <v>862</v>
      </c>
      <c r="K308" s="3">
        <v>0</v>
      </c>
      <c r="L308" s="2">
        <v>0</v>
      </c>
      <c r="M308" s="2">
        <f t="shared" si="8"/>
        <v>0</v>
      </c>
      <c r="N308" s="2">
        <f t="shared" si="9"/>
        <v>0</v>
      </c>
      <c r="O308" s="7">
        <v>0</v>
      </c>
      <c r="P308" s="2">
        <v>0</v>
      </c>
      <c r="Q308" s="2">
        <v>0</v>
      </c>
      <c r="R308" t="s">
        <v>45</v>
      </c>
      <c r="T308" t="s">
        <v>27</v>
      </c>
      <c r="U308" t="s">
        <v>863</v>
      </c>
    </row>
    <row r="309" spans="1:21" x14ac:dyDescent="0.3">
      <c r="A309">
        <v>747</v>
      </c>
      <c r="B309" t="s">
        <v>67</v>
      </c>
      <c r="C309" t="s">
        <v>24</v>
      </c>
      <c r="J309" t="s">
        <v>860</v>
      </c>
      <c r="K309" s="3">
        <v>644</v>
      </c>
      <c r="L309" s="2">
        <v>64.400000000000006</v>
      </c>
      <c r="M309" s="2">
        <f t="shared" si="8"/>
        <v>579.6</v>
      </c>
      <c r="N309" s="2">
        <f t="shared" si="9"/>
        <v>28.980000000000004</v>
      </c>
      <c r="O309" s="7">
        <v>26.32</v>
      </c>
      <c r="P309" s="2">
        <v>0.08</v>
      </c>
      <c r="Q309" s="2">
        <v>606</v>
      </c>
      <c r="R309" t="s">
        <v>31</v>
      </c>
      <c r="T309" t="s">
        <v>27</v>
      </c>
      <c r="U309" t="s">
        <v>861</v>
      </c>
    </row>
    <row r="310" spans="1:21" x14ac:dyDescent="0.3">
      <c r="A310">
        <v>748</v>
      </c>
      <c r="B310" t="s">
        <v>23</v>
      </c>
      <c r="C310" t="s">
        <v>24</v>
      </c>
      <c r="J310" t="s">
        <v>858</v>
      </c>
      <c r="K310" s="3">
        <v>500</v>
      </c>
      <c r="L310" s="2">
        <v>50</v>
      </c>
      <c r="M310" s="2">
        <f t="shared" si="8"/>
        <v>450</v>
      </c>
      <c r="N310" s="2">
        <f t="shared" si="9"/>
        <v>22.5</v>
      </c>
      <c r="O310" s="7">
        <v>22.5</v>
      </c>
      <c r="P310" s="2">
        <v>0.5</v>
      </c>
      <c r="Q310" s="2">
        <v>473</v>
      </c>
      <c r="R310" t="s">
        <v>45</v>
      </c>
      <c r="T310" t="s">
        <v>27</v>
      </c>
      <c r="U310" t="s">
        <v>859</v>
      </c>
    </row>
    <row r="311" spans="1:21" x14ac:dyDescent="0.3">
      <c r="A311">
        <v>749</v>
      </c>
      <c r="B311" t="s">
        <v>74</v>
      </c>
      <c r="C311" t="s">
        <v>24</v>
      </c>
      <c r="J311" t="s">
        <v>856</v>
      </c>
      <c r="K311" s="3">
        <v>2690</v>
      </c>
      <c r="L311" s="2">
        <v>269</v>
      </c>
      <c r="M311" s="2">
        <f t="shared" si="8"/>
        <v>2421</v>
      </c>
      <c r="N311" s="2">
        <f t="shared" si="9"/>
        <v>121.05000000000001</v>
      </c>
      <c r="O311" s="7">
        <v>121.06</v>
      </c>
      <c r="P311" s="2">
        <v>-0.06</v>
      </c>
      <c r="Q311" s="2">
        <v>2542</v>
      </c>
      <c r="R311" t="s">
        <v>45</v>
      </c>
      <c r="T311" t="s">
        <v>27</v>
      </c>
      <c r="U311" t="s">
        <v>857</v>
      </c>
    </row>
    <row r="312" spans="1:21" x14ac:dyDescent="0.3">
      <c r="A312">
        <v>750</v>
      </c>
      <c r="B312" t="s">
        <v>853</v>
      </c>
      <c r="C312" t="s">
        <v>24</v>
      </c>
      <c r="J312" t="s">
        <v>854</v>
      </c>
      <c r="K312" s="3">
        <v>12090</v>
      </c>
      <c r="L312" s="2">
        <v>1813.5</v>
      </c>
      <c r="M312" s="2">
        <f t="shared" si="8"/>
        <v>10276.5</v>
      </c>
      <c r="N312" s="2">
        <f t="shared" si="9"/>
        <v>513.82500000000005</v>
      </c>
      <c r="O312" s="7">
        <v>818.12</v>
      </c>
      <c r="P312" s="2">
        <v>0.38</v>
      </c>
      <c r="Q312" s="2">
        <v>11095</v>
      </c>
      <c r="R312" t="s">
        <v>45</v>
      </c>
      <c r="T312" t="s">
        <v>27</v>
      </c>
      <c r="U312" t="s">
        <v>855</v>
      </c>
    </row>
    <row r="313" spans="1:21" x14ac:dyDescent="0.3">
      <c r="A313">
        <v>751</v>
      </c>
      <c r="B313" t="s">
        <v>851</v>
      </c>
      <c r="C313" t="s">
        <v>24</v>
      </c>
      <c r="J313" t="s">
        <v>2001</v>
      </c>
      <c r="K313" s="3">
        <v>3474</v>
      </c>
      <c r="L313" s="2">
        <v>347.4</v>
      </c>
      <c r="M313" s="2">
        <f t="shared" si="8"/>
        <v>3126.6</v>
      </c>
      <c r="N313" s="2">
        <f t="shared" si="9"/>
        <v>156.33000000000001</v>
      </c>
      <c r="O313" s="7">
        <v>146.91999999999999</v>
      </c>
      <c r="P313" s="2">
        <v>0.48</v>
      </c>
      <c r="Q313" s="2">
        <v>3274</v>
      </c>
      <c r="R313" t="s">
        <v>31</v>
      </c>
      <c r="T313" t="s">
        <v>27</v>
      </c>
      <c r="U313" t="s">
        <v>852</v>
      </c>
    </row>
    <row r="314" spans="1:21" x14ac:dyDescent="0.3">
      <c r="A314">
        <v>752</v>
      </c>
      <c r="B314" t="s">
        <v>849</v>
      </c>
      <c r="C314" t="s">
        <v>24</v>
      </c>
      <c r="J314" t="s">
        <v>2000</v>
      </c>
      <c r="K314" s="3">
        <v>3185</v>
      </c>
      <c r="L314" s="2">
        <v>318.5</v>
      </c>
      <c r="M314" s="2">
        <f t="shared" si="8"/>
        <v>2866.5</v>
      </c>
      <c r="N314" s="2">
        <f t="shared" si="9"/>
        <v>143.32500000000002</v>
      </c>
      <c r="O314" s="7">
        <v>143.32</v>
      </c>
      <c r="P314" s="2">
        <v>0.18</v>
      </c>
      <c r="Q314" s="2">
        <v>3010</v>
      </c>
      <c r="R314" t="s">
        <v>31</v>
      </c>
      <c r="T314" t="s">
        <v>27</v>
      </c>
      <c r="U314" t="s">
        <v>850</v>
      </c>
    </row>
    <row r="315" spans="1:21" x14ac:dyDescent="0.3">
      <c r="A315">
        <v>753</v>
      </c>
      <c r="B315" t="s">
        <v>259</v>
      </c>
      <c r="C315" t="s">
        <v>24</v>
      </c>
      <c r="J315" t="s">
        <v>847</v>
      </c>
      <c r="K315" s="3">
        <v>920</v>
      </c>
      <c r="L315" s="2">
        <v>0</v>
      </c>
      <c r="M315" s="2">
        <f t="shared" si="8"/>
        <v>920</v>
      </c>
      <c r="N315" s="2">
        <f t="shared" si="9"/>
        <v>46</v>
      </c>
      <c r="O315" s="7">
        <v>46</v>
      </c>
      <c r="P315" s="2">
        <v>0</v>
      </c>
      <c r="Q315" s="2">
        <v>966</v>
      </c>
      <c r="R315" t="s">
        <v>31</v>
      </c>
      <c r="T315" t="s">
        <v>27</v>
      </c>
      <c r="U315" t="s">
        <v>848</v>
      </c>
    </row>
    <row r="316" spans="1:21" x14ac:dyDescent="0.3">
      <c r="A316">
        <v>754</v>
      </c>
      <c r="B316" t="s">
        <v>843</v>
      </c>
      <c r="C316" t="s">
        <v>24</v>
      </c>
      <c r="D316" t="s">
        <v>844</v>
      </c>
      <c r="J316" t="s">
        <v>845</v>
      </c>
      <c r="K316" s="3">
        <v>1300</v>
      </c>
      <c r="L316" s="2">
        <v>0</v>
      </c>
      <c r="M316" s="2">
        <f t="shared" si="8"/>
        <v>1300</v>
      </c>
      <c r="N316" s="2">
        <f t="shared" si="9"/>
        <v>65</v>
      </c>
      <c r="O316" s="7">
        <v>65</v>
      </c>
      <c r="P316" s="2">
        <v>0</v>
      </c>
      <c r="Q316" s="2">
        <v>1365</v>
      </c>
      <c r="R316" t="s">
        <v>31</v>
      </c>
      <c r="T316" t="s">
        <v>27</v>
      </c>
      <c r="U316" t="s">
        <v>846</v>
      </c>
    </row>
    <row r="317" spans="1:21" x14ac:dyDescent="0.3">
      <c r="A317">
        <v>755</v>
      </c>
      <c r="B317" t="s">
        <v>61</v>
      </c>
      <c r="C317" t="s">
        <v>24</v>
      </c>
      <c r="J317" t="s">
        <v>328</v>
      </c>
      <c r="K317" s="3">
        <v>345</v>
      </c>
      <c r="L317" s="2">
        <v>0</v>
      </c>
      <c r="M317" s="2">
        <f t="shared" si="8"/>
        <v>345</v>
      </c>
      <c r="N317" s="2">
        <f t="shared" si="9"/>
        <v>17.25</v>
      </c>
      <c r="O317" s="7">
        <v>17.260000000000002</v>
      </c>
      <c r="P317" s="2">
        <v>-0.26</v>
      </c>
      <c r="Q317" s="2">
        <v>362</v>
      </c>
      <c r="R317" t="s">
        <v>26</v>
      </c>
      <c r="T317" t="s">
        <v>27</v>
      </c>
      <c r="U317" t="s">
        <v>842</v>
      </c>
    </row>
    <row r="318" spans="1:21" x14ac:dyDescent="0.3">
      <c r="A318">
        <v>756</v>
      </c>
      <c r="B318" t="s">
        <v>650</v>
      </c>
      <c r="C318" t="s">
        <v>24</v>
      </c>
      <c r="J318" t="s">
        <v>840</v>
      </c>
      <c r="K318" s="3">
        <v>1015</v>
      </c>
      <c r="L318" s="2">
        <v>101.5</v>
      </c>
      <c r="M318" s="2">
        <f t="shared" si="8"/>
        <v>913.5</v>
      </c>
      <c r="N318" s="2">
        <f t="shared" si="9"/>
        <v>45.675000000000004</v>
      </c>
      <c r="O318" s="7">
        <v>45.68</v>
      </c>
      <c r="P318" s="2">
        <v>-0.18</v>
      </c>
      <c r="Q318" s="2">
        <v>959</v>
      </c>
      <c r="R318" t="s">
        <v>26</v>
      </c>
      <c r="T318" t="s">
        <v>27</v>
      </c>
      <c r="U318" t="s">
        <v>841</v>
      </c>
    </row>
    <row r="319" spans="1:21" x14ac:dyDescent="0.3">
      <c r="A319">
        <v>757</v>
      </c>
      <c r="B319" t="s">
        <v>836</v>
      </c>
      <c r="C319" t="s">
        <v>24</v>
      </c>
      <c r="D319" t="s">
        <v>837</v>
      </c>
      <c r="J319" t="s">
        <v>838</v>
      </c>
      <c r="K319" s="3">
        <v>540</v>
      </c>
      <c r="L319" s="2">
        <v>0</v>
      </c>
      <c r="M319" s="2">
        <f t="shared" si="8"/>
        <v>540</v>
      </c>
      <c r="N319" s="2">
        <f t="shared" si="9"/>
        <v>27</v>
      </c>
      <c r="O319" s="7">
        <v>27</v>
      </c>
      <c r="P319" s="2">
        <v>0</v>
      </c>
      <c r="Q319" s="2">
        <v>567</v>
      </c>
      <c r="R319" t="s">
        <v>35</v>
      </c>
      <c r="T319" t="s">
        <v>27</v>
      </c>
      <c r="U319" t="s">
        <v>839</v>
      </c>
    </row>
    <row r="320" spans="1:21" x14ac:dyDescent="0.3">
      <c r="A320">
        <v>758</v>
      </c>
      <c r="B320" t="s">
        <v>832</v>
      </c>
      <c r="C320" t="s">
        <v>24</v>
      </c>
      <c r="D320" t="s">
        <v>833</v>
      </c>
      <c r="J320" t="s">
        <v>834</v>
      </c>
      <c r="K320" s="3">
        <v>765</v>
      </c>
      <c r="L320" s="2">
        <v>0</v>
      </c>
      <c r="M320" s="2">
        <f t="shared" si="8"/>
        <v>765</v>
      </c>
      <c r="N320" s="2">
        <f t="shared" si="9"/>
        <v>38.25</v>
      </c>
      <c r="O320" s="7">
        <v>38.26</v>
      </c>
      <c r="P320" s="2">
        <v>-0.26</v>
      </c>
      <c r="Q320" s="2">
        <v>803</v>
      </c>
      <c r="R320" t="s">
        <v>45</v>
      </c>
      <c r="T320" t="s">
        <v>27</v>
      </c>
      <c r="U320" t="s">
        <v>835</v>
      </c>
    </row>
    <row r="321" spans="1:21" x14ac:dyDescent="0.3">
      <c r="A321">
        <v>759</v>
      </c>
      <c r="B321" t="s">
        <v>682</v>
      </c>
      <c r="C321" t="s">
        <v>24</v>
      </c>
      <c r="J321" t="s">
        <v>830</v>
      </c>
      <c r="K321" s="3">
        <v>295</v>
      </c>
      <c r="L321" s="2">
        <v>0</v>
      </c>
      <c r="M321" s="2">
        <f t="shared" si="8"/>
        <v>295</v>
      </c>
      <c r="N321" s="2">
        <f t="shared" si="9"/>
        <v>14.75</v>
      </c>
      <c r="O321" s="7">
        <v>14.76</v>
      </c>
      <c r="P321" s="2">
        <v>0.24</v>
      </c>
      <c r="Q321" s="2">
        <v>310</v>
      </c>
      <c r="R321" t="s">
        <v>45</v>
      </c>
      <c r="T321" t="s">
        <v>27</v>
      </c>
      <c r="U321" t="s">
        <v>831</v>
      </c>
    </row>
    <row r="322" spans="1:21" x14ac:dyDescent="0.3">
      <c r="A322">
        <v>760</v>
      </c>
      <c r="B322" t="s">
        <v>245</v>
      </c>
      <c r="C322" t="s">
        <v>24</v>
      </c>
      <c r="J322" t="s">
        <v>828</v>
      </c>
      <c r="K322" s="3">
        <v>1250</v>
      </c>
      <c r="L322" s="2">
        <v>187.5</v>
      </c>
      <c r="M322" s="2">
        <f t="shared" si="8"/>
        <v>1062.5</v>
      </c>
      <c r="N322" s="2">
        <f t="shared" si="9"/>
        <v>53.125</v>
      </c>
      <c r="O322" s="7">
        <v>53.12</v>
      </c>
      <c r="P322" s="2">
        <v>0.38</v>
      </c>
      <c r="Q322" s="2">
        <v>1116</v>
      </c>
      <c r="R322" t="s">
        <v>31</v>
      </c>
      <c r="T322" t="s">
        <v>27</v>
      </c>
      <c r="U322" t="s">
        <v>829</v>
      </c>
    </row>
    <row r="323" spans="1:21" x14ac:dyDescent="0.3">
      <c r="A323">
        <v>761</v>
      </c>
      <c r="B323" t="s">
        <v>825</v>
      </c>
      <c r="C323" t="s">
        <v>24</v>
      </c>
      <c r="J323" t="s">
        <v>826</v>
      </c>
      <c r="K323" s="3">
        <v>1085</v>
      </c>
      <c r="L323" s="2">
        <v>108.5</v>
      </c>
      <c r="M323" s="2">
        <f t="shared" si="8"/>
        <v>976.5</v>
      </c>
      <c r="N323" s="2">
        <f t="shared" si="9"/>
        <v>48.825000000000003</v>
      </c>
      <c r="O323" s="7">
        <v>48.82</v>
      </c>
      <c r="P323" s="2">
        <v>-0.32</v>
      </c>
      <c r="Q323" s="2">
        <v>1025</v>
      </c>
      <c r="R323" t="s">
        <v>45</v>
      </c>
      <c r="T323" t="s">
        <v>27</v>
      </c>
      <c r="U323" t="s">
        <v>827</v>
      </c>
    </row>
    <row r="324" spans="1:21" x14ac:dyDescent="0.3">
      <c r="A324">
        <v>762</v>
      </c>
      <c r="B324" t="s">
        <v>672</v>
      </c>
      <c r="C324" t="s">
        <v>24</v>
      </c>
      <c r="J324" t="s">
        <v>823</v>
      </c>
      <c r="K324" s="3">
        <v>470</v>
      </c>
      <c r="L324" s="2">
        <v>47</v>
      </c>
      <c r="M324" s="2">
        <f t="shared" si="8"/>
        <v>423</v>
      </c>
      <c r="N324" s="2">
        <f t="shared" si="9"/>
        <v>21.150000000000002</v>
      </c>
      <c r="O324" s="7">
        <v>21.16</v>
      </c>
      <c r="P324" s="2">
        <v>-0.16</v>
      </c>
      <c r="Q324" s="2">
        <v>444</v>
      </c>
      <c r="R324" t="s">
        <v>45</v>
      </c>
      <c r="T324" t="s">
        <v>27</v>
      </c>
      <c r="U324" t="s">
        <v>824</v>
      </c>
    </row>
    <row r="325" spans="1:21" x14ac:dyDescent="0.3">
      <c r="A325">
        <v>763</v>
      </c>
      <c r="B325" t="s">
        <v>820</v>
      </c>
      <c r="C325" t="s">
        <v>24</v>
      </c>
      <c r="J325" t="s">
        <v>821</v>
      </c>
      <c r="K325" s="3">
        <v>710</v>
      </c>
      <c r="L325" s="2">
        <v>71</v>
      </c>
      <c r="M325" s="2">
        <f t="shared" si="8"/>
        <v>639</v>
      </c>
      <c r="N325" s="2">
        <f t="shared" si="9"/>
        <v>31.950000000000003</v>
      </c>
      <c r="O325" s="7">
        <v>31.96</v>
      </c>
      <c r="P325" s="2">
        <v>0.04</v>
      </c>
      <c r="Q325" s="2">
        <v>671</v>
      </c>
      <c r="R325" t="s">
        <v>31</v>
      </c>
      <c r="T325" t="s">
        <v>27</v>
      </c>
      <c r="U325" t="s">
        <v>822</v>
      </c>
    </row>
    <row r="326" spans="1:21" x14ac:dyDescent="0.3">
      <c r="A326">
        <v>764</v>
      </c>
      <c r="B326" t="s">
        <v>816</v>
      </c>
      <c r="C326" t="s">
        <v>24</v>
      </c>
      <c r="D326" t="s">
        <v>817</v>
      </c>
      <c r="J326" t="s">
        <v>818</v>
      </c>
      <c r="K326" s="3">
        <v>885</v>
      </c>
      <c r="L326" s="2">
        <v>88.5</v>
      </c>
      <c r="M326" s="2">
        <f t="shared" si="8"/>
        <v>796.5</v>
      </c>
      <c r="N326" s="2">
        <f t="shared" si="9"/>
        <v>39.825000000000003</v>
      </c>
      <c r="O326" s="7">
        <v>39.82</v>
      </c>
      <c r="P326" s="2">
        <v>-0.32</v>
      </c>
      <c r="Q326" s="2">
        <v>836</v>
      </c>
      <c r="R326" t="s">
        <v>31</v>
      </c>
      <c r="T326" t="s">
        <v>27</v>
      </c>
      <c r="U326" t="s">
        <v>819</v>
      </c>
    </row>
    <row r="327" spans="1:21" x14ac:dyDescent="0.3">
      <c r="A327">
        <v>765</v>
      </c>
      <c r="B327" t="s">
        <v>813</v>
      </c>
      <c r="C327" t="s">
        <v>24</v>
      </c>
      <c r="J327" t="s">
        <v>814</v>
      </c>
      <c r="K327" s="3">
        <v>470</v>
      </c>
      <c r="L327" s="2">
        <v>47</v>
      </c>
      <c r="M327" s="2">
        <f t="shared" ref="M327:M390" si="10">K327-L327</f>
        <v>423</v>
      </c>
      <c r="N327" s="2">
        <f t="shared" ref="N327:N390" si="11">M327*5%</f>
        <v>21.150000000000002</v>
      </c>
      <c r="O327" s="7">
        <v>21.16</v>
      </c>
      <c r="P327" s="2">
        <v>-0.16</v>
      </c>
      <c r="Q327" s="2">
        <v>444</v>
      </c>
      <c r="R327" t="s">
        <v>45</v>
      </c>
      <c r="T327" t="s">
        <v>27</v>
      </c>
      <c r="U327" t="s">
        <v>815</v>
      </c>
    </row>
    <row r="328" spans="1:21" x14ac:dyDescent="0.3">
      <c r="A328">
        <v>766</v>
      </c>
      <c r="B328" t="s">
        <v>809</v>
      </c>
      <c r="C328" t="s">
        <v>24</v>
      </c>
      <c r="D328" t="s">
        <v>810</v>
      </c>
      <c r="J328" t="s">
        <v>811</v>
      </c>
      <c r="K328" s="3">
        <v>1480</v>
      </c>
      <c r="L328" s="2">
        <v>148</v>
      </c>
      <c r="M328" s="2">
        <f t="shared" si="10"/>
        <v>1332</v>
      </c>
      <c r="N328" s="2">
        <f t="shared" si="11"/>
        <v>66.600000000000009</v>
      </c>
      <c r="O328" s="7">
        <v>66.599999999999994</v>
      </c>
      <c r="P328" s="2">
        <v>0.4</v>
      </c>
      <c r="Q328" s="2">
        <v>1399</v>
      </c>
      <c r="R328" t="s">
        <v>45</v>
      </c>
      <c r="T328" t="s">
        <v>27</v>
      </c>
      <c r="U328" t="s">
        <v>812</v>
      </c>
    </row>
    <row r="329" spans="1:21" x14ac:dyDescent="0.3">
      <c r="A329">
        <v>767</v>
      </c>
      <c r="B329" t="s">
        <v>47</v>
      </c>
      <c r="C329" t="s">
        <v>24</v>
      </c>
      <c r="J329" t="s">
        <v>807</v>
      </c>
      <c r="K329" s="3">
        <v>290</v>
      </c>
      <c r="L329" s="2">
        <v>29</v>
      </c>
      <c r="M329" s="2">
        <f t="shared" si="10"/>
        <v>261</v>
      </c>
      <c r="N329" s="2">
        <f t="shared" si="11"/>
        <v>13.05</v>
      </c>
      <c r="O329" s="7">
        <v>13.06</v>
      </c>
      <c r="P329" s="2">
        <v>-0.06</v>
      </c>
      <c r="Q329" s="2">
        <v>274</v>
      </c>
      <c r="R329" t="s">
        <v>45</v>
      </c>
      <c r="T329" t="s">
        <v>27</v>
      </c>
      <c r="U329" t="s">
        <v>808</v>
      </c>
    </row>
    <row r="330" spans="1:21" x14ac:dyDescent="0.3">
      <c r="A330">
        <v>768</v>
      </c>
      <c r="B330" t="s">
        <v>74</v>
      </c>
      <c r="C330" t="s">
        <v>24</v>
      </c>
      <c r="J330" t="s">
        <v>805</v>
      </c>
      <c r="K330" s="3">
        <v>529</v>
      </c>
      <c r="L330" s="2">
        <v>0</v>
      </c>
      <c r="M330" s="2">
        <f t="shared" si="10"/>
        <v>529</v>
      </c>
      <c r="N330" s="2">
        <f t="shared" si="11"/>
        <v>26.450000000000003</v>
      </c>
      <c r="O330" s="7">
        <v>26.46</v>
      </c>
      <c r="P330" s="2">
        <v>-0.46</v>
      </c>
      <c r="Q330" s="2">
        <v>555</v>
      </c>
      <c r="R330" t="s">
        <v>45</v>
      </c>
      <c r="T330" t="s">
        <v>27</v>
      </c>
      <c r="U330" t="s">
        <v>806</v>
      </c>
    </row>
    <row r="331" spans="1:21" x14ac:dyDescent="0.3">
      <c r="A331">
        <v>769</v>
      </c>
      <c r="B331" t="s">
        <v>801</v>
      </c>
      <c r="C331" t="s">
        <v>24</v>
      </c>
      <c r="D331" t="s">
        <v>802</v>
      </c>
      <c r="J331" t="s">
        <v>803</v>
      </c>
      <c r="K331" s="3">
        <v>425</v>
      </c>
      <c r="L331" s="2">
        <v>42.5</v>
      </c>
      <c r="M331" s="2">
        <f t="shared" si="10"/>
        <v>382.5</v>
      </c>
      <c r="N331" s="2">
        <f t="shared" si="11"/>
        <v>19.125</v>
      </c>
      <c r="O331" s="7">
        <v>19.12</v>
      </c>
      <c r="P331" s="2">
        <v>0.38</v>
      </c>
      <c r="Q331" s="2">
        <v>402</v>
      </c>
      <c r="R331" t="s">
        <v>31</v>
      </c>
      <c r="T331" t="s">
        <v>27</v>
      </c>
      <c r="U331" t="s">
        <v>804</v>
      </c>
    </row>
    <row r="332" spans="1:21" x14ac:dyDescent="0.3">
      <c r="A332">
        <v>770</v>
      </c>
      <c r="B332" t="s">
        <v>798</v>
      </c>
      <c r="C332" t="s">
        <v>24</v>
      </c>
      <c r="J332" t="s">
        <v>799</v>
      </c>
      <c r="K332" s="3">
        <v>985</v>
      </c>
      <c r="L332" s="2">
        <v>98.5</v>
      </c>
      <c r="M332" s="2">
        <f t="shared" si="10"/>
        <v>886.5</v>
      </c>
      <c r="N332" s="2">
        <f t="shared" si="11"/>
        <v>44.325000000000003</v>
      </c>
      <c r="O332" s="7">
        <v>44.32</v>
      </c>
      <c r="P332" s="2">
        <v>0.18</v>
      </c>
      <c r="Q332" s="2">
        <v>931</v>
      </c>
      <c r="R332" t="s">
        <v>45</v>
      </c>
      <c r="T332" t="s">
        <v>27</v>
      </c>
      <c r="U332" t="s">
        <v>800</v>
      </c>
    </row>
    <row r="333" spans="1:21" x14ac:dyDescent="0.3">
      <c r="A333">
        <v>771</v>
      </c>
      <c r="B333" t="s">
        <v>795</v>
      </c>
      <c r="C333" t="s">
        <v>24</v>
      </c>
      <c r="J333" t="s">
        <v>796</v>
      </c>
      <c r="K333" s="3">
        <v>380</v>
      </c>
      <c r="L333" s="2">
        <v>0</v>
      </c>
      <c r="M333" s="2">
        <f t="shared" si="10"/>
        <v>380</v>
      </c>
      <c r="N333" s="2">
        <f t="shared" si="11"/>
        <v>19</v>
      </c>
      <c r="O333" s="7">
        <v>19</v>
      </c>
      <c r="P333" s="2">
        <v>0</v>
      </c>
      <c r="Q333" s="2">
        <v>399</v>
      </c>
      <c r="R333" t="s">
        <v>45</v>
      </c>
      <c r="T333" t="s">
        <v>27</v>
      </c>
      <c r="U333" t="s">
        <v>797</v>
      </c>
    </row>
    <row r="334" spans="1:21" x14ac:dyDescent="0.3">
      <c r="A334">
        <v>772</v>
      </c>
      <c r="B334" t="s">
        <v>793</v>
      </c>
      <c r="C334" t="s">
        <v>24</v>
      </c>
      <c r="J334" t="s">
        <v>383</v>
      </c>
      <c r="K334" s="3">
        <v>280</v>
      </c>
      <c r="L334" s="2">
        <v>0</v>
      </c>
      <c r="M334" s="2">
        <f t="shared" si="10"/>
        <v>280</v>
      </c>
      <c r="N334" s="2">
        <f t="shared" si="11"/>
        <v>14</v>
      </c>
      <c r="O334" s="7">
        <v>14</v>
      </c>
      <c r="P334" s="2">
        <v>0</v>
      </c>
      <c r="Q334" s="2">
        <v>294</v>
      </c>
      <c r="R334" t="s">
        <v>45</v>
      </c>
      <c r="T334" t="s">
        <v>27</v>
      </c>
      <c r="U334" t="s">
        <v>794</v>
      </c>
    </row>
    <row r="335" spans="1:21" x14ac:dyDescent="0.3">
      <c r="A335">
        <v>773</v>
      </c>
      <c r="B335" t="s">
        <v>790</v>
      </c>
      <c r="C335" t="s">
        <v>24</v>
      </c>
      <c r="J335" t="s">
        <v>791</v>
      </c>
      <c r="K335" s="3">
        <v>670</v>
      </c>
      <c r="L335" s="2">
        <v>0</v>
      </c>
      <c r="M335" s="2">
        <f t="shared" si="10"/>
        <v>670</v>
      </c>
      <c r="N335" s="2">
        <f t="shared" si="11"/>
        <v>33.5</v>
      </c>
      <c r="O335" s="7">
        <v>33.5</v>
      </c>
      <c r="P335" s="2">
        <v>0.5</v>
      </c>
      <c r="Q335" s="2">
        <v>704</v>
      </c>
      <c r="R335" t="s">
        <v>31</v>
      </c>
      <c r="T335" t="s">
        <v>27</v>
      </c>
      <c r="U335" t="s">
        <v>792</v>
      </c>
    </row>
    <row r="336" spans="1:21" x14ac:dyDescent="0.3">
      <c r="A336">
        <v>774</v>
      </c>
      <c r="B336" t="s">
        <v>787</v>
      </c>
      <c r="C336" t="s">
        <v>24</v>
      </c>
      <c r="J336" t="s">
        <v>788</v>
      </c>
      <c r="K336" s="3">
        <v>630</v>
      </c>
      <c r="L336" s="2">
        <v>63</v>
      </c>
      <c r="M336" s="2">
        <f t="shared" si="10"/>
        <v>567</v>
      </c>
      <c r="N336" s="2">
        <f t="shared" si="11"/>
        <v>28.35</v>
      </c>
      <c r="O336" s="7">
        <v>28.36</v>
      </c>
      <c r="P336" s="2">
        <v>-0.36</v>
      </c>
      <c r="Q336" s="2">
        <v>595</v>
      </c>
      <c r="R336" t="s">
        <v>45</v>
      </c>
      <c r="T336" t="s">
        <v>27</v>
      </c>
      <c r="U336" t="s">
        <v>789</v>
      </c>
    </row>
    <row r="337" spans="1:21" x14ac:dyDescent="0.3">
      <c r="A337">
        <v>775</v>
      </c>
      <c r="B337" t="s">
        <v>785</v>
      </c>
      <c r="C337" t="s">
        <v>24</v>
      </c>
      <c r="J337" t="s">
        <v>654</v>
      </c>
      <c r="K337" s="3">
        <v>320</v>
      </c>
      <c r="L337" s="2">
        <v>0</v>
      </c>
      <c r="M337" s="2">
        <f t="shared" si="10"/>
        <v>320</v>
      </c>
      <c r="N337" s="2">
        <f t="shared" si="11"/>
        <v>16</v>
      </c>
      <c r="O337" s="7">
        <v>16</v>
      </c>
      <c r="P337" s="2">
        <v>0</v>
      </c>
      <c r="Q337" s="2">
        <v>336</v>
      </c>
      <c r="R337" t="s">
        <v>45</v>
      </c>
      <c r="T337" t="s">
        <v>27</v>
      </c>
      <c r="U337" t="s">
        <v>786</v>
      </c>
    </row>
    <row r="338" spans="1:21" x14ac:dyDescent="0.3">
      <c r="A338">
        <v>776</v>
      </c>
      <c r="B338" t="s">
        <v>782</v>
      </c>
      <c r="C338" t="s">
        <v>24</v>
      </c>
      <c r="J338" t="s">
        <v>783</v>
      </c>
      <c r="K338" s="3">
        <v>520</v>
      </c>
      <c r="L338" s="2">
        <v>0</v>
      </c>
      <c r="M338" s="2">
        <f t="shared" si="10"/>
        <v>520</v>
      </c>
      <c r="N338" s="2">
        <f t="shared" si="11"/>
        <v>26</v>
      </c>
      <c r="O338" s="7">
        <v>26</v>
      </c>
      <c r="P338" s="2">
        <v>0</v>
      </c>
      <c r="Q338" s="2">
        <v>546</v>
      </c>
      <c r="R338" t="s">
        <v>45</v>
      </c>
      <c r="T338" t="s">
        <v>27</v>
      </c>
      <c r="U338" t="s">
        <v>784</v>
      </c>
    </row>
    <row r="339" spans="1:21" x14ac:dyDescent="0.3">
      <c r="A339">
        <v>777</v>
      </c>
      <c r="B339" t="s">
        <v>780</v>
      </c>
      <c r="C339" t="s">
        <v>24</v>
      </c>
      <c r="J339" t="s">
        <v>97</v>
      </c>
      <c r="K339" s="3">
        <v>60</v>
      </c>
      <c r="L339" s="2">
        <v>0</v>
      </c>
      <c r="M339" s="2">
        <f t="shared" si="10"/>
        <v>60</v>
      </c>
      <c r="N339" s="2">
        <f t="shared" si="11"/>
        <v>3</v>
      </c>
      <c r="O339" s="7">
        <v>0</v>
      </c>
      <c r="P339" s="2">
        <v>0</v>
      </c>
      <c r="Q339" s="2">
        <v>60</v>
      </c>
      <c r="R339" t="s">
        <v>45</v>
      </c>
      <c r="T339" t="s">
        <v>27</v>
      </c>
      <c r="U339" t="s">
        <v>781</v>
      </c>
    </row>
    <row r="340" spans="1:21" x14ac:dyDescent="0.3">
      <c r="A340">
        <v>778</v>
      </c>
      <c r="B340" t="s">
        <v>50</v>
      </c>
      <c r="C340" t="s">
        <v>24</v>
      </c>
      <c r="D340" t="s">
        <v>778</v>
      </c>
      <c r="J340" t="s">
        <v>413</v>
      </c>
      <c r="K340" s="3">
        <v>122</v>
      </c>
      <c r="L340" s="2">
        <v>0</v>
      </c>
      <c r="M340" s="2">
        <f t="shared" si="10"/>
        <v>122</v>
      </c>
      <c r="N340" s="2">
        <f t="shared" si="11"/>
        <v>6.1000000000000005</v>
      </c>
      <c r="O340" s="7">
        <v>21.96</v>
      </c>
      <c r="P340" s="2">
        <v>0.04</v>
      </c>
      <c r="Q340" s="2">
        <v>144</v>
      </c>
      <c r="R340" t="s">
        <v>45</v>
      </c>
      <c r="T340" t="s">
        <v>27</v>
      </c>
      <c r="U340" t="s">
        <v>779</v>
      </c>
    </row>
    <row r="341" spans="1:21" x14ac:dyDescent="0.3">
      <c r="A341">
        <v>779</v>
      </c>
      <c r="B341" t="s">
        <v>775</v>
      </c>
      <c r="C341" t="s">
        <v>24</v>
      </c>
      <c r="J341" t="s">
        <v>776</v>
      </c>
      <c r="K341" s="3">
        <v>290</v>
      </c>
      <c r="L341" s="2">
        <v>0</v>
      </c>
      <c r="M341" s="2">
        <f t="shared" si="10"/>
        <v>290</v>
      </c>
      <c r="N341" s="2">
        <f t="shared" si="11"/>
        <v>14.5</v>
      </c>
      <c r="O341" s="7">
        <v>14.5</v>
      </c>
      <c r="P341" s="2">
        <v>0.5</v>
      </c>
      <c r="Q341" s="2">
        <v>305</v>
      </c>
      <c r="R341" t="s">
        <v>45</v>
      </c>
      <c r="T341" t="s">
        <v>27</v>
      </c>
      <c r="U341" t="s">
        <v>777</v>
      </c>
    </row>
    <row r="342" spans="1:21" x14ac:dyDescent="0.3">
      <c r="A342">
        <v>780</v>
      </c>
      <c r="B342" t="s">
        <v>519</v>
      </c>
      <c r="C342" t="s">
        <v>24</v>
      </c>
      <c r="J342" t="s">
        <v>773</v>
      </c>
      <c r="K342" s="3">
        <v>455</v>
      </c>
      <c r="L342" s="2">
        <v>0</v>
      </c>
      <c r="M342" s="2">
        <f t="shared" si="10"/>
        <v>455</v>
      </c>
      <c r="N342" s="2">
        <f t="shared" si="11"/>
        <v>22.75</v>
      </c>
      <c r="O342" s="7">
        <v>22.76</v>
      </c>
      <c r="P342" s="2">
        <v>0.24</v>
      </c>
      <c r="Q342" s="2">
        <v>478</v>
      </c>
      <c r="R342" t="s">
        <v>45</v>
      </c>
      <c r="T342" t="s">
        <v>27</v>
      </c>
      <c r="U342" t="s">
        <v>774</v>
      </c>
    </row>
    <row r="343" spans="1:21" x14ac:dyDescent="0.3">
      <c r="A343">
        <v>781</v>
      </c>
      <c r="B343" t="s">
        <v>122</v>
      </c>
      <c r="C343" t="s">
        <v>24</v>
      </c>
      <c r="J343" t="s">
        <v>135</v>
      </c>
      <c r="K343" s="3">
        <v>165</v>
      </c>
      <c r="L343" s="2">
        <v>0</v>
      </c>
      <c r="M343" s="2">
        <f t="shared" si="10"/>
        <v>165</v>
      </c>
      <c r="N343" s="2">
        <f t="shared" si="11"/>
        <v>8.25</v>
      </c>
      <c r="O343" s="7">
        <v>8.26</v>
      </c>
      <c r="P343" s="2">
        <v>-0.26</v>
      </c>
      <c r="Q343" s="2">
        <v>173</v>
      </c>
      <c r="R343" t="s">
        <v>45</v>
      </c>
      <c r="T343" t="s">
        <v>27</v>
      </c>
      <c r="U343" t="s">
        <v>772</v>
      </c>
    </row>
    <row r="344" spans="1:21" x14ac:dyDescent="0.3">
      <c r="A344">
        <v>782</v>
      </c>
      <c r="B344" t="s">
        <v>769</v>
      </c>
      <c r="C344" t="s">
        <v>24</v>
      </c>
      <c r="J344" t="s">
        <v>770</v>
      </c>
      <c r="K344" s="3">
        <v>1665</v>
      </c>
      <c r="L344" s="2">
        <v>0</v>
      </c>
      <c r="M344" s="2">
        <f t="shared" si="10"/>
        <v>1665</v>
      </c>
      <c r="N344" s="2">
        <f t="shared" si="11"/>
        <v>83.25</v>
      </c>
      <c r="O344" s="7">
        <v>83.26</v>
      </c>
      <c r="P344" s="2">
        <v>-0.26</v>
      </c>
      <c r="Q344" s="2">
        <v>1748</v>
      </c>
      <c r="R344" t="s">
        <v>31</v>
      </c>
      <c r="T344" t="s">
        <v>27</v>
      </c>
      <c r="U344" t="s">
        <v>771</v>
      </c>
    </row>
    <row r="345" spans="1:21" x14ac:dyDescent="0.3">
      <c r="A345">
        <v>783</v>
      </c>
      <c r="B345" t="s">
        <v>131</v>
      </c>
      <c r="C345" t="s">
        <v>24</v>
      </c>
      <c r="J345" t="s">
        <v>767</v>
      </c>
      <c r="K345" s="3">
        <v>0</v>
      </c>
      <c r="L345" s="2">
        <v>0</v>
      </c>
      <c r="M345" s="2">
        <f t="shared" si="10"/>
        <v>0</v>
      </c>
      <c r="N345" s="2">
        <f t="shared" si="11"/>
        <v>0</v>
      </c>
      <c r="O345" s="7">
        <v>0</v>
      </c>
      <c r="P345" s="2">
        <v>0</v>
      </c>
      <c r="Q345" s="2">
        <v>0</v>
      </c>
      <c r="R345" t="s">
        <v>35</v>
      </c>
      <c r="T345" t="s">
        <v>27</v>
      </c>
      <c r="U345" t="s">
        <v>768</v>
      </c>
    </row>
    <row r="346" spans="1:21" x14ac:dyDescent="0.3">
      <c r="A346">
        <v>784</v>
      </c>
      <c r="B346" t="s">
        <v>137</v>
      </c>
      <c r="C346" t="s">
        <v>24</v>
      </c>
      <c r="J346" t="s">
        <v>765</v>
      </c>
      <c r="K346" s="3">
        <v>0</v>
      </c>
      <c r="L346" s="2">
        <v>0</v>
      </c>
      <c r="M346" s="2">
        <f t="shared" si="10"/>
        <v>0</v>
      </c>
      <c r="N346" s="2">
        <f t="shared" si="11"/>
        <v>0</v>
      </c>
      <c r="O346" s="7">
        <v>0</v>
      </c>
      <c r="P346" s="2">
        <v>0</v>
      </c>
      <c r="Q346" s="2">
        <v>0</v>
      </c>
      <c r="R346" t="s">
        <v>35</v>
      </c>
      <c r="T346" t="s">
        <v>27</v>
      </c>
      <c r="U346" t="s">
        <v>766</v>
      </c>
    </row>
    <row r="347" spans="1:21" x14ac:dyDescent="0.3">
      <c r="A347">
        <v>785</v>
      </c>
      <c r="B347" t="s">
        <v>762</v>
      </c>
      <c r="C347" t="s">
        <v>24</v>
      </c>
      <c r="J347" t="s">
        <v>763</v>
      </c>
      <c r="K347" s="3">
        <v>690</v>
      </c>
      <c r="L347" s="2">
        <v>0</v>
      </c>
      <c r="M347" s="2">
        <f t="shared" si="10"/>
        <v>690</v>
      </c>
      <c r="N347" s="2">
        <f t="shared" si="11"/>
        <v>34.5</v>
      </c>
      <c r="O347" s="7">
        <v>34.5</v>
      </c>
      <c r="P347" s="2">
        <v>0.5</v>
      </c>
      <c r="Q347" s="2">
        <v>725</v>
      </c>
      <c r="R347" t="s">
        <v>31</v>
      </c>
      <c r="T347" t="s">
        <v>27</v>
      </c>
      <c r="U347" t="s">
        <v>764</v>
      </c>
    </row>
    <row r="348" spans="1:21" x14ac:dyDescent="0.3">
      <c r="A348">
        <v>786</v>
      </c>
      <c r="B348" t="s">
        <v>653</v>
      </c>
      <c r="C348" t="s">
        <v>24</v>
      </c>
      <c r="J348" t="s">
        <v>129</v>
      </c>
      <c r="K348" s="3">
        <v>325</v>
      </c>
      <c r="L348" s="2">
        <v>32.5</v>
      </c>
      <c r="M348" s="2">
        <f t="shared" si="10"/>
        <v>292.5</v>
      </c>
      <c r="N348" s="2">
        <f t="shared" si="11"/>
        <v>14.625</v>
      </c>
      <c r="O348" s="7">
        <v>14.62</v>
      </c>
      <c r="P348" s="2">
        <v>-0.12</v>
      </c>
      <c r="Q348" s="2">
        <v>307</v>
      </c>
      <c r="R348" t="s">
        <v>31</v>
      </c>
      <c r="T348" t="s">
        <v>27</v>
      </c>
      <c r="U348" t="s">
        <v>761</v>
      </c>
    </row>
    <row r="349" spans="1:21" x14ac:dyDescent="0.3">
      <c r="A349">
        <v>787</v>
      </c>
      <c r="B349" t="s">
        <v>722</v>
      </c>
      <c r="C349" t="s">
        <v>24</v>
      </c>
      <c r="J349" t="s">
        <v>759</v>
      </c>
      <c r="K349" s="3">
        <v>1325</v>
      </c>
      <c r="L349" s="2">
        <v>0</v>
      </c>
      <c r="M349" s="2">
        <f t="shared" si="10"/>
        <v>1325</v>
      </c>
      <c r="N349" s="2">
        <f t="shared" si="11"/>
        <v>66.25</v>
      </c>
      <c r="O349" s="7">
        <v>66.260000000000005</v>
      </c>
      <c r="P349" s="2">
        <v>-0.26</v>
      </c>
      <c r="Q349" s="2">
        <v>1391</v>
      </c>
      <c r="R349" t="s">
        <v>26</v>
      </c>
      <c r="T349" t="s">
        <v>27</v>
      </c>
      <c r="U349" t="s">
        <v>760</v>
      </c>
    </row>
    <row r="350" spans="1:21" x14ac:dyDescent="0.3">
      <c r="A350">
        <v>788</v>
      </c>
      <c r="B350" t="s">
        <v>23</v>
      </c>
      <c r="C350" t="s">
        <v>24</v>
      </c>
      <c r="J350" t="s">
        <v>757</v>
      </c>
      <c r="K350" s="3">
        <v>940</v>
      </c>
      <c r="L350" s="2">
        <v>0</v>
      </c>
      <c r="M350" s="2">
        <f t="shared" si="10"/>
        <v>940</v>
      </c>
      <c r="N350" s="2">
        <f t="shared" si="11"/>
        <v>47</v>
      </c>
      <c r="O350" s="7">
        <v>47</v>
      </c>
      <c r="P350" s="2">
        <v>0</v>
      </c>
      <c r="Q350" s="2">
        <v>987</v>
      </c>
      <c r="R350" t="s">
        <v>35</v>
      </c>
      <c r="T350" t="s">
        <v>27</v>
      </c>
      <c r="U350" t="s">
        <v>758</v>
      </c>
    </row>
    <row r="351" spans="1:21" x14ac:dyDescent="0.3">
      <c r="A351">
        <v>789</v>
      </c>
      <c r="B351" t="s">
        <v>587</v>
      </c>
      <c r="C351" t="s">
        <v>24</v>
      </c>
      <c r="J351" t="s">
        <v>755</v>
      </c>
      <c r="K351" s="3">
        <v>520</v>
      </c>
      <c r="L351" s="2">
        <v>52</v>
      </c>
      <c r="M351" s="2">
        <f t="shared" si="10"/>
        <v>468</v>
      </c>
      <c r="N351" s="2">
        <f t="shared" si="11"/>
        <v>23.400000000000002</v>
      </c>
      <c r="O351" s="7">
        <v>23.4</v>
      </c>
      <c r="P351" s="2">
        <v>-0.4</v>
      </c>
      <c r="Q351" s="2">
        <v>491</v>
      </c>
      <c r="R351" t="s">
        <v>45</v>
      </c>
      <c r="T351" t="s">
        <v>27</v>
      </c>
      <c r="U351" t="s">
        <v>756</v>
      </c>
    </row>
    <row r="352" spans="1:21" x14ac:dyDescent="0.3">
      <c r="A352">
        <v>790</v>
      </c>
      <c r="B352" t="s">
        <v>722</v>
      </c>
      <c r="C352" t="s">
        <v>24</v>
      </c>
      <c r="J352" t="s">
        <v>753</v>
      </c>
      <c r="K352" s="3">
        <v>855</v>
      </c>
      <c r="L352" s="2">
        <v>0</v>
      </c>
      <c r="M352" s="2">
        <f t="shared" si="10"/>
        <v>855</v>
      </c>
      <c r="N352" s="2">
        <f t="shared" si="11"/>
        <v>42.75</v>
      </c>
      <c r="O352" s="7">
        <v>42.76</v>
      </c>
      <c r="P352" s="2">
        <v>0.24</v>
      </c>
      <c r="Q352" s="2">
        <v>898</v>
      </c>
      <c r="R352" t="s">
        <v>31</v>
      </c>
      <c r="T352" t="s">
        <v>27</v>
      </c>
      <c r="U352" t="s">
        <v>754</v>
      </c>
    </row>
    <row r="353" spans="1:21" x14ac:dyDescent="0.3">
      <c r="A353">
        <v>791</v>
      </c>
      <c r="B353" t="s">
        <v>47</v>
      </c>
      <c r="C353" t="s">
        <v>24</v>
      </c>
      <c r="J353" t="s">
        <v>751</v>
      </c>
      <c r="K353" s="3">
        <v>460</v>
      </c>
      <c r="L353" s="2">
        <v>0</v>
      </c>
      <c r="M353" s="2">
        <f t="shared" si="10"/>
        <v>460</v>
      </c>
      <c r="N353" s="2">
        <f t="shared" si="11"/>
        <v>23</v>
      </c>
      <c r="O353" s="7">
        <v>23</v>
      </c>
      <c r="P353" s="2">
        <v>0</v>
      </c>
      <c r="Q353" s="2">
        <v>483</v>
      </c>
      <c r="R353" t="s">
        <v>35</v>
      </c>
      <c r="T353" t="s">
        <v>27</v>
      </c>
      <c r="U353" t="s">
        <v>752</v>
      </c>
    </row>
    <row r="354" spans="1:21" x14ac:dyDescent="0.3">
      <c r="A354">
        <v>792</v>
      </c>
      <c r="B354" t="s">
        <v>50</v>
      </c>
      <c r="C354" t="s">
        <v>24</v>
      </c>
      <c r="J354" t="s">
        <v>749</v>
      </c>
      <c r="K354" s="3">
        <v>1715</v>
      </c>
      <c r="L354" s="2">
        <v>171.5</v>
      </c>
      <c r="M354" s="2">
        <f t="shared" si="10"/>
        <v>1543.5</v>
      </c>
      <c r="N354" s="2">
        <f t="shared" si="11"/>
        <v>77.175000000000011</v>
      </c>
      <c r="O354" s="7">
        <v>77.180000000000007</v>
      </c>
      <c r="P354" s="2">
        <v>0.32</v>
      </c>
      <c r="Q354" s="2">
        <v>1621</v>
      </c>
      <c r="R354" t="s">
        <v>31</v>
      </c>
      <c r="T354" t="s">
        <v>27</v>
      </c>
      <c r="U354" t="s">
        <v>750</v>
      </c>
    </row>
    <row r="355" spans="1:21" x14ac:dyDescent="0.3">
      <c r="A355">
        <v>793</v>
      </c>
      <c r="B355" t="s">
        <v>64</v>
      </c>
      <c r="C355" t="s">
        <v>24</v>
      </c>
      <c r="J355" t="s">
        <v>747</v>
      </c>
      <c r="K355" s="3">
        <v>1520</v>
      </c>
      <c r="L355" s="2">
        <v>152</v>
      </c>
      <c r="M355" s="2">
        <f t="shared" si="10"/>
        <v>1368</v>
      </c>
      <c r="N355" s="2">
        <f t="shared" si="11"/>
        <v>68.400000000000006</v>
      </c>
      <c r="O355" s="7">
        <v>68.400000000000006</v>
      </c>
      <c r="P355" s="2">
        <v>-0.4</v>
      </c>
      <c r="Q355" s="2">
        <v>1436</v>
      </c>
      <c r="R355" t="s">
        <v>45</v>
      </c>
      <c r="T355" t="s">
        <v>27</v>
      </c>
      <c r="U355" t="s">
        <v>748</v>
      </c>
    </row>
    <row r="356" spans="1:21" x14ac:dyDescent="0.3">
      <c r="A356">
        <v>794</v>
      </c>
      <c r="B356" t="s">
        <v>682</v>
      </c>
      <c r="C356" t="s">
        <v>24</v>
      </c>
      <c r="J356" t="s">
        <v>97</v>
      </c>
      <c r="K356" s="3">
        <v>60</v>
      </c>
      <c r="L356" s="2">
        <v>0</v>
      </c>
      <c r="M356" s="2">
        <f t="shared" si="10"/>
        <v>60</v>
      </c>
      <c r="N356" s="2">
        <f t="shared" si="11"/>
        <v>3</v>
      </c>
      <c r="O356" s="7">
        <v>0</v>
      </c>
      <c r="P356" s="2">
        <v>0</v>
      </c>
      <c r="Q356" s="2">
        <v>60</v>
      </c>
      <c r="R356" t="s">
        <v>45</v>
      </c>
      <c r="T356" t="s">
        <v>27</v>
      </c>
      <c r="U356" t="s">
        <v>746</v>
      </c>
    </row>
    <row r="357" spans="1:21" x14ac:dyDescent="0.3">
      <c r="A357">
        <v>795</v>
      </c>
      <c r="B357" t="s">
        <v>23</v>
      </c>
      <c r="C357" t="s">
        <v>24</v>
      </c>
      <c r="J357" t="s">
        <v>744</v>
      </c>
      <c r="K357" s="3">
        <v>1099</v>
      </c>
      <c r="L357" s="2">
        <v>109.9</v>
      </c>
      <c r="M357" s="2">
        <f t="shared" si="10"/>
        <v>989.1</v>
      </c>
      <c r="N357" s="2">
        <f t="shared" si="11"/>
        <v>49.455000000000005</v>
      </c>
      <c r="O357" s="7">
        <v>38.26</v>
      </c>
      <c r="P357" s="2">
        <v>-0.36</v>
      </c>
      <c r="Q357" s="2">
        <v>1027</v>
      </c>
      <c r="R357" t="s">
        <v>31</v>
      </c>
      <c r="T357" t="s">
        <v>27</v>
      </c>
      <c r="U357" t="s">
        <v>745</v>
      </c>
    </row>
    <row r="358" spans="1:21" x14ac:dyDescent="0.3">
      <c r="A358">
        <v>796</v>
      </c>
      <c r="B358" t="s">
        <v>47</v>
      </c>
      <c r="C358" t="s">
        <v>24</v>
      </c>
      <c r="J358" t="s">
        <v>742</v>
      </c>
      <c r="K358" s="3">
        <v>865</v>
      </c>
      <c r="L358" s="2">
        <v>86.5</v>
      </c>
      <c r="M358" s="2">
        <f t="shared" si="10"/>
        <v>778.5</v>
      </c>
      <c r="N358" s="2">
        <f t="shared" si="11"/>
        <v>38.925000000000004</v>
      </c>
      <c r="O358" s="7">
        <v>38.92</v>
      </c>
      <c r="P358" s="2">
        <v>-0.42</v>
      </c>
      <c r="Q358" s="2">
        <v>817</v>
      </c>
      <c r="R358" t="s">
        <v>45</v>
      </c>
      <c r="T358" t="s">
        <v>27</v>
      </c>
      <c r="U358" t="s">
        <v>743</v>
      </c>
    </row>
    <row r="359" spans="1:21" x14ac:dyDescent="0.3">
      <c r="A359">
        <v>797</v>
      </c>
      <c r="B359" t="s">
        <v>336</v>
      </c>
      <c r="C359" t="s">
        <v>24</v>
      </c>
      <c r="J359" t="s">
        <v>138</v>
      </c>
      <c r="K359" s="3">
        <v>0</v>
      </c>
      <c r="L359" s="2">
        <v>0</v>
      </c>
      <c r="M359" s="2">
        <f t="shared" si="10"/>
        <v>0</v>
      </c>
      <c r="N359" s="2">
        <f t="shared" si="11"/>
        <v>0</v>
      </c>
      <c r="O359" s="7">
        <v>0</v>
      </c>
      <c r="P359" s="2">
        <v>0</v>
      </c>
      <c r="Q359" s="2">
        <v>0</v>
      </c>
      <c r="R359" t="s">
        <v>35</v>
      </c>
      <c r="T359" t="s">
        <v>27</v>
      </c>
      <c r="U359" t="s">
        <v>741</v>
      </c>
    </row>
    <row r="360" spans="1:21" x14ac:dyDescent="0.3">
      <c r="A360">
        <v>798</v>
      </c>
      <c r="B360" t="s">
        <v>131</v>
      </c>
      <c r="C360" t="s">
        <v>24</v>
      </c>
      <c r="J360" t="s">
        <v>739</v>
      </c>
      <c r="K360" s="3">
        <v>0</v>
      </c>
      <c r="L360" s="2">
        <v>0</v>
      </c>
      <c r="M360" s="2">
        <f t="shared" si="10"/>
        <v>0</v>
      </c>
      <c r="N360" s="2">
        <f t="shared" si="11"/>
        <v>0</v>
      </c>
      <c r="O360" s="7">
        <v>0</v>
      </c>
      <c r="P360" s="2">
        <v>0</v>
      </c>
      <c r="Q360" s="2">
        <v>0</v>
      </c>
      <c r="R360" t="s">
        <v>35</v>
      </c>
      <c r="T360" t="s">
        <v>27</v>
      </c>
      <c r="U360" t="s">
        <v>740</v>
      </c>
    </row>
    <row r="361" spans="1:21" x14ac:dyDescent="0.3">
      <c r="A361">
        <v>799</v>
      </c>
      <c r="B361" t="s">
        <v>53</v>
      </c>
      <c r="C361" t="s">
        <v>24</v>
      </c>
      <c r="J361" t="s">
        <v>737</v>
      </c>
      <c r="K361" s="3">
        <v>1935</v>
      </c>
      <c r="L361" s="2">
        <v>193.5</v>
      </c>
      <c r="M361" s="2">
        <f t="shared" si="10"/>
        <v>1741.5</v>
      </c>
      <c r="N361" s="2">
        <f t="shared" si="11"/>
        <v>87.075000000000003</v>
      </c>
      <c r="O361" s="7">
        <v>84.38</v>
      </c>
      <c r="P361" s="2">
        <v>0.12</v>
      </c>
      <c r="Q361" s="2">
        <v>1826</v>
      </c>
      <c r="R361" t="s">
        <v>45</v>
      </c>
      <c r="T361" t="s">
        <v>27</v>
      </c>
      <c r="U361" t="s">
        <v>738</v>
      </c>
    </row>
    <row r="362" spans="1:21" x14ac:dyDescent="0.3">
      <c r="A362">
        <v>800</v>
      </c>
      <c r="B362" t="s">
        <v>47</v>
      </c>
      <c r="C362" t="s">
        <v>24</v>
      </c>
      <c r="J362" t="s">
        <v>735</v>
      </c>
      <c r="K362" s="3">
        <v>1000</v>
      </c>
      <c r="L362" s="2">
        <v>100</v>
      </c>
      <c r="M362" s="2">
        <f t="shared" si="10"/>
        <v>900</v>
      </c>
      <c r="N362" s="2">
        <f t="shared" si="11"/>
        <v>45</v>
      </c>
      <c r="O362" s="7">
        <v>45</v>
      </c>
      <c r="P362" s="2">
        <v>0</v>
      </c>
      <c r="Q362" s="2">
        <v>945</v>
      </c>
      <c r="R362" t="s">
        <v>35</v>
      </c>
      <c r="T362" t="s">
        <v>27</v>
      </c>
      <c r="U362" t="s">
        <v>736</v>
      </c>
    </row>
    <row r="363" spans="1:21" x14ac:dyDescent="0.3">
      <c r="A363">
        <v>801</v>
      </c>
      <c r="B363" t="s">
        <v>693</v>
      </c>
      <c r="C363" t="s">
        <v>24</v>
      </c>
      <c r="J363" t="s">
        <v>733</v>
      </c>
      <c r="K363" s="3">
        <v>1847</v>
      </c>
      <c r="L363" s="2">
        <v>0</v>
      </c>
      <c r="M363" s="2">
        <f t="shared" si="10"/>
        <v>1847</v>
      </c>
      <c r="N363" s="2">
        <f t="shared" si="11"/>
        <v>92.350000000000009</v>
      </c>
      <c r="O363" s="7">
        <v>78.84</v>
      </c>
      <c r="P363" s="2">
        <v>0.16</v>
      </c>
      <c r="Q363" s="2">
        <v>1926</v>
      </c>
      <c r="R363" t="s">
        <v>31</v>
      </c>
      <c r="T363" t="s">
        <v>27</v>
      </c>
      <c r="U363" t="s">
        <v>734</v>
      </c>
    </row>
    <row r="364" spans="1:21" x14ac:dyDescent="0.3">
      <c r="A364">
        <v>802</v>
      </c>
      <c r="B364" t="s">
        <v>50</v>
      </c>
      <c r="C364" t="s">
        <v>24</v>
      </c>
      <c r="J364" t="s">
        <v>731</v>
      </c>
      <c r="K364" s="3">
        <v>910</v>
      </c>
      <c r="L364" s="2">
        <v>0</v>
      </c>
      <c r="M364" s="2">
        <f t="shared" si="10"/>
        <v>910</v>
      </c>
      <c r="N364" s="2">
        <f t="shared" si="11"/>
        <v>45.5</v>
      </c>
      <c r="O364" s="7">
        <v>45.5</v>
      </c>
      <c r="P364" s="2">
        <v>0.5</v>
      </c>
      <c r="Q364" s="2">
        <v>956</v>
      </c>
      <c r="R364" t="s">
        <v>45</v>
      </c>
      <c r="T364" t="s">
        <v>27</v>
      </c>
      <c r="U364" t="s">
        <v>732</v>
      </c>
    </row>
    <row r="365" spans="1:21" x14ac:dyDescent="0.3">
      <c r="A365">
        <v>803</v>
      </c>
      <c r="B365" t="s">
        <v>50</v>
      </c>
      <c r="C365" t="s">
        <v>24</v>
      </c>
      <c r="J365" t="s">
        <v>729</v>
      </c>
      <c r="K365" s="3">
        <v>1635</v>
      </c>
      <c r="L365" s="2">
        <v>163.5</v>
      </c>
      <c r="M365" s="2">
        <f t="shared" si="10"/>
        <v>1471.5</v>
      </c>
      <c r="N365" s="2">
        <f t="shared" si="11"/>
        <v>73.575000000000003</v>
      </c>
      <c r="O365" s="7">
        <v>73.58</v>
      </c>
      <c r="P365" s="2">
        <v>-0.08</v>
      </c>
      <c r="Q365" s="2">
        <v>1545</v>
      </c>
      <c r="R365" t="s">
        <v>45</v>
      </c>
      <c r="T365" t="s">
        <v>27</v>
      </c>
      <c r="U365" t="s">
        <v>730</v>
      </c>
    </row>
    <row r="366" spans="1:21" x14ac:dyDescent="0.3">
      <c r="A366">
        <v>804</v>
      </c>
      <c r="B366" t="s">
        <v>23</v>
      </c>
      <c r="C366" t="s">
        <v>24</v>
      </c>
      <c r="J366" t="s">
        <v>727</v>
      </c>
      <c r="K366" s="3">
        <v>1095</v>
      </c>
      <c r="L366" s="2">
        <v>109.5</v>
      </c>
      <c r="M366" s="2">
        <f t="shared" si="10"/>
        <v>985.5</v>
      </c>
      <c r="N366" s="2">
        <f t="shared" si="11"/>
        <v>49.275000000000006</v>
      </c>
      <c r="O366" s="7">
        <v>49.28</v>
      </c>
      <c r="P366" s="2">
        <v>0.22</v>
      </c>
      <c r="Q366" s="2">
        <v>1035</v>
      </c>
      <c r="R366" t="s">
        <v>45</v>
      </c>
      <c r="T366" t="s">
        <v>27</v>
      </c>
      <c r="U366" t="s">
        <v>728</v>
      </c>
    </row>
    <row r="367" spans="1:21" x14ac:dyDescent="0.3">
      <c r="A367">
        <v>805</v>
      </c>
      <c r="B367" t="s">
        <v>717</v>
      </c>
      <c r="C367" t="s">
        <v>24</v>
      </c>
      <c r="J367" t="s">
        <v>725</v>
      </c>
      <c r="K367" s="3">
        <v>280</v>
      </c>
      <c r="L367" s="2">
        <v>0</v>
      </c>
      <c r="M367" s="2">
        <f t="shared" si="10"/>
        <v>280</v>
      </c>
      <c r="N367" s="2">
        <f t="shared" si="11"/>
        <v>14</v>
      </c>
      <c r="O367" s="7">
        <v>14</v>
      </c>
      <c r="P367" s="2">
        <v>0</v>
      </c>
      <c r="Q367" s="2">
        <v>294</v>
      </c>
      <c r="R367" t="s">
        <v>45</v>
      </c>
      <c r="T367" t="s">
        <v>27</v>
      </c>
      <c r="U367" t="s">
        <v>726</v>
      </c>
    </row>
    <row r="368" spans="1:21" x14ac:dyDescent="0.3">
      <c r="A368">
        <v>806</v>
      </c>
      <c r="B368" t="s">
        <v>722</v>
      </c>
      <c r="C368" t="s">
        <v>24</v>
      </c>
      <c r="J368" t="s">
        <v>723</v>
      </c>
      <c r="K368" s="3">
        <v>930</v>
      </c>
      <c r="L368" s="2">
        <v>93</v>
      </c>
      <c r="M368" s="2">
        <f t="shared" si="10"/>
        <v>837</v>
      </c>
      <c r="N368" s="2">
        <f t="shared" si="11"/>
        <v>41.85</v>
      </c>
      <c r="O368" s="7">
        <v>41.86</v>
      </c>
      <c r="P368" s="2">
        <v>0.14000000000000001</v>
      </c>
      <c r="Q368" s="2">
        <v>879</v>
      </c>
      <c r="R368" t="s">
        <v>45</v>
      </c>
      <c r="T368" t="s">
        <v>27</v>
      </c>
      <c r="U368" t="s">
        <v>724</v>
      </c>
    </row>
    <row r="369" spans="1:21" x14ac:dyDescent="0.3">
      <c r="A369">
        <v>807</v>
      </c>
      <c r="B369" t="s">
        <v>64</v>
      </c>
      <c r="C369" t="s">
        <v>24</v>
      </c>
      <c r="J369" t="s">
        <v>720</v>
      </c>
      <c r="K369" s="3">
        <v>2260</v>
      </c>
      <c r="L369" s="2">
        <v>226</v>
      </c>
      <c r="M369" s="2">
        <f t="shared" si="10"/>
        <v>2034</v>
      </c>
      <c r="N369" s="2">
        <f t="shared" si="11"/>
        <v>101.7</v>
      </c>
      <c r="O369" s="7">
        <v>101.7</v>
      </c>
      <c r="P369" s="2">
        <v>0.3</v>
      </c>
      <c r="Q369" s="2">
        <v>2136</v>
      </c>
      <c r="R369" t="s">
        <v>31</v>
      </c>
      <c r="T369" t="s">
        <v>27</v>
      </c>
      <c r="U369" t="s">
        <v>721</v>
      </c>
    </row>
    <row r="370" spans="1:21" x14ac:dyDescent="0.3">
      <c r="A370">
        <v>808</v>
      </c>
      <c r="B370" t="s">
        <v>717</v>
      </c>
      <c r="C370" t="s">
        <v>24</v>
      </c>
      <c r="J370" t="s">
        <v>718</v>
      </c>
      <c r="K370" s="3">
        <v>895</v>
      </c>
      <c r="L370" s="2">
        <v>89.5</v>
      </c>
      <c r="M370" s="2">
        <f t="shared" si="10"/>
        <v>805.5</v>
      </c>
      <c r="N370" s="2">
        <f t="shared" si="11"/>
        <v>40.275000000000006</v>
      </c>
      <c r="O370" s="7">
        <v>40.28</v>
      </c>
      <c r="P370" s="2">
        <v>0.22</v>
      </c>
      <c r="Q370" s="2">
        <v>846</v>
      </c>
      <c r="R370" t="s">
        <v>45</v>
      </c>
      <c r="T370" t="s">
        <v>27</v>
      </c>
      <c r="U370" t="s">
        <v>719</v>
      </c>
    </row>
    <row r="371" spans="1:21" x14ac:dyDescent="0.3">
      <c r="A371">
        <v>809</v>
      </c>
      <c r="B371" t="s">
        <v>23</v>
      </c>
      <c r="C371" t="s">
        <v>24</v>
      </c>
      <c r="J371" t="s">
        <v>715</v>
      </c>
      <c r="K371" s="3">
        <v>635</v>
      </c>
      <c r="L371" s="2">
        <v>63.5</v>
      </c>
      <c r="M371" s="2">
        <f t="shared" si="10"/>
        <v>571.5</v>
      </c>
      <c r="N371" s="2">
        <f t="shared" si="11"/>
        <v>28.575000000000003</v>
      </c>
      <c r="O371" s="7">
        <v>28.58</v>
      </c>
      <c r="P371" s="2">
        <v>-0.08</v>
      </c>
      <c r="Q371" s="2">
        <v>600</v>
      </c>
      <c r="R371" t="s">
        <v>31</v>
      </c>
      <c r="T371" t="s">
        <v>27</v>
      </c>
      <c r="U371" t="s">
        <v>716</v>
      </c>
    </row>
    <row r="372" spans="1:21" x14ac:dyDescent="0.3">
      <c r="A372">
        <v>810</v>
      </c>
      <c r="B372" t="s">
        <v>61</v>
      </c>
      <c r="C372" t="s">
        <v>24</v>
      </c>
      <c r="J372" t="s">
        <v>712</v>
      </c>
      <c r="K372" s="3">
        <v>1769</v>
      </c>
      <c r="L372" s="2">
        <v>0</v>
      </c>
      <c r="M372" s="2">
        <f t="shared" si="10"/>
        <v>1769</v>
      </c>
      <c r="N372" s="2">
        <f t="shared" si="11"/>
        <v>88.45</v>
      </c>
      <c r="O372" s="7">
        <v>81</v>
      </c>
      <c r="P372" s="2">
        <v>0</v>
      </c>
      <c r="Q372" s="2">
        <v>0</v>
      </c>
      <c r="R372" t="s">
        <v>209</v>
      </c>
      <c r="S372" t="s">
        <v>713</v>
      </c>
      <c r="T372" t="s">
        <v>27</v>
      </c>
      <c r="U372" t="s">
        <v>714</v>
      </c>
    </row>
    <row r="373" spans="1:21" x14ac:dyDescent="0.3">
      <c r="A373">
        <v>811</v>
      </c>
      <c r="B373" t="s">
        <v>682</v>
      </c>
      <c r="C373" t="s">
        <v>24</v>
      </c>
      <c r="J373" t="s">
        <v>413</v>
      </c>
      <c r="K373" s="3">
        <v>122</v>
      </c>
      <c r="L373" s="2">
        <v>0</v>
      </c>
      <c r="M373" s="2">
        <f t="shared" si="10"/>
        <v>122</v>
      </c>
      <c r="N373" s="2">
        <f t="shared" si="11"/>
        <v>6.1000000000000005</v>
      </c>
      <c r="O373" s="7">
        <v>21.96</v>
      </c>
      <c r="P373" s="2">
        <v>0.04</v>
      </c>
      <c r="Q373" s="2">
        <v>144</v>
      </c>
      <c r="R373" t="s">
        <v>45</v>
      </c>
      <c r="T373" t="s">
        <v>27</v>
      </c>
      <c r="U373" t="s">
        <v>711</v>
      </c>
    </row>
    <row r="374" spans="1:21" x14ac:dyDescent="0.3">
      <c r="A374">
        <v>812</v>
      </c>
      <c r="B374" t="s">
        <v>67</v>
      </c>
      <c r="C374" t="s">
        <v>24</v>
      </c>
      <c r="J374" t="s">
        <v>709</v>
      </c>
      <c r="K374" s="3">
        <v>1605</v>
      </c>
      <c r="L374" s="2">
        <v>321</v>
      </c>
      <c r="M374" s="2">
        <f t="shared" si="10"/>
        <v>1284</v>
      </c>
      <c r="N374" s="2">
        <f t="shared" si="11"/>
        <v>64.2</v>
      </c>
      <c r="O374" s="7">
        <v>64.2</v>
      </c>
      <c r="P374" s="2">
        <v>-0.2</v>
      </c>
      <c r="Q374" s="2">
        <v>1348</v>
      </c>
      <c r="R374" t="s">
        <v>35</v>
      </c>
      <c r="T374" t="s">
        <v>27</v>
      </c>
      <c r="U374" t="s">
        <v>710</v>
      </c>
    </row>
    <row r="375" spans="1:21" x14ac:dyDescent="0.3">
      <c r="A375">
        <v>813</v>
      </c>
      <c r="B375" t="s">
        <v>128</v>
      </c>
      <c r="C375" t="s">
        <v>24</v>
      </c>
      <c r="J375" t="s">
        <v>707</v>
      </c>
      <c r="K375" s="3">
        <v>417</v>
      </c>
      <c r="L375" s="2">
        <v>0</v>
      </c>
      <c r="M375" s="2">
        <f t="shared" si="10"/>
        <v>417</v>
      </c>
      <c r="N375" s="2">
        <f t="shared" si="11"/>
        <v>20.85</v>
      </c>
      <c r="O375" s="7">
        <v>36.72</v>
      </c>
      <c r="P375" s="2">
        <v>0.28000000000000003</v>
      </c>
      <c r="Q375" s="2">
        <v>454</v>
      </c>
      <c r="R375" t="s">
        <v>45</v>
      </c>
      <c r="T375" t="s">
        <v>27</v>
      </c>
      <c r="U375" t="s">
        <v>708</v>
      </c>
    </row>
    <row r="376" spans="1:21" x14ac:dyDescent="0.3">
      <c r="A376">
        <v>814</v>
      </c>
      <c r="B376" t="s">
        <v>281</v>
      </c>
      <c r="C376" t="s">
        <v>24</v>
      </c>
      <c r="J376" t="s">
        <v>293</v>
      </c>
      <c r="K376" s="3">
        <v>190</v>
      </c>
      <c r="L376" s="2">
        <v>0</v>
      </c>
      <c r="M376" s="2">
        <f t="shared" si="10"/>
        <v>190</v>
      </c>
      <c r="N376" s="2">
        <f t="shared" si="11"/>
        <v>9.5</v>
      </c>
      <c r="O376" s="7">
        <v>9.5</v>
      </c>
      <c r="P376" s="2">
        <v>0.5</v>
      </c>
      <c r="Q376" s="2">
        <v>200</v>
      </c>
      <c r="R376" t="s">
        <v>45</v>
      </c>
      <c r="T376" t="s">
        <v>27</v>
      </c>
      <c r="U376" t="s">
        <v>706</v>
      </c>
    </row>
    <row r="377" spans="1:21" x14ac:dyDescent="0.3">
      <c r="A377">
        <v>815</v>
      </c>
      <c r="B377" t="s">
        <v>704</v>
      </c>
      <c r="C377" t="s">
        <v>24</v>
      </c>
      <c r="J377" t="s">
        <v>173</v>
      </c>
      <c r="K377" s="3">
        <v>425</v>
      </c>
      <c r="L377" s="2">
        <v>0</v>
      </c>
      <c r="M377" s="2">
        <f t="shared" si="10"/>
        <v>425</v>
      </c>
      <c r="N377" s="2">
        <f t="shared" si="11"/>
        <v>21.25</v>
      </c>
      <c r="O377" s="7">
        <v>21.26</v>
      </c>
      <c r="P377" s="2">
        <v>-0.26</v>
      </c>
      <c r="Q377" s="2">
        <v>446</v>
      </c>
      <c r="R377" t="s">
        <v>45</v>
      </c>
      <c r="T377" t="s">
        <v>27</v>
      </c>
      <c r="U377" t="s">
        <v>705</v>
      </c>
    </row>
    <row r="378" spans="1:21" x14ac:dyDescent="0.3">
      <c r="A378">
        <v>816</v>
      </c>
      <c r="B378" t="s">
        <v>701</v>
      </c>
      <c r="C378" t="s">
        <v>24</v>
      </c>
      <c r="J378" t="s">
        <v>702</v>
      </c>
      <c r="K378" s="3">
        <v>1030</v>
      </c>
      <c r="L378" s="2">
        <v>0</v>
      </c>
      <c r="M378" s="2">
        <f t="shared" si="10"/>
        <v>1030</v>
      </c>
      <c r="N378" s="2">
        <f t="shared" si="11"/>
        <v>51.5</v>
      </c>
      <c r="O378" s="7">
        <v>51.5</v>
      </c>
      <c r="P378" s="2">
        <v>0.5</v>
      </c>
      <c r="Q378" s="2">
        <v>1082</v>
      </c>
      <c r="R378" t="s">
        <v>26</v>
      </c>
      <c r="T378" t="s">
        <v>27</v>
      </c>
      <c r="U378" t="s">
        <v>703</v>
      </c>
    </row>
    <row r="379" spans="1:21" x14ac:dyDescent="0.3">
      <c r="A379">
        <v>817</v>
      </c>
      <c r="B379" t="s">
        <v>67</v>
      </c>
      <c r="C379" t="s">
        <v>24</v>
      </c>
      <c r="J379" t="s">
        <v>699</v>
      </c>
      <c r="K379" s="3">
        <v>670</v>
      </c>
      <c r="L379" s="2">
        <v>0</v>
      </c>
      <c r="M379" s="2">
        <f t="shared" si="10"/>
        <v>670</v>
      </c>
      <c r="N379" s="2">
        <f t="shared" si="11"/>
        <v>33.5</v>
      </c>
      <c r="O379" s="7">
        <v>33.5</v>
      </c>
      <c r="P379" s="2">
        <v>0.5</v>
      </c>
      <c r="Q379" s="2">
        <v>704</v>
      </c>
      <c r="R379" t="s">
        <v>26</v>
      </c>
      <c r="T379" t="s">
        <v>27</v>
      </c>
      <c r="U379" t="s">
        <v>700</v>
      </c>
    </row>
    <row r="380" spans="1:21" x14ac:dyDescent="0.3">
      <c r="A380">
        <v>818</v>
      </c>
      <c r="B380" t="s">
        <v>696</v>
      </c>
      <c r="C380" t="s">
        <v>24</v>
      </c>
      <c r="J380" t="s">
        <v>697</v>
      </c>
      <c r="K380" s="3">
        <v>933</v>
      </c>
      <c r="L380" s="2">
        <v>93.3</v>
      </c>
      <c r="M380" s="2">
        <f t="shared" si="10"/>
        <v>839.7</v>
      </c>
      <c r="N380" s="2">
        <f t="shared" si="11"/>
        <v>41.985000000000007</v>
      </c>
      <c r="O380" s="7">
        <v>35.24</v>
      </c>
      <c r="P380" s="2">
        <v>0.06</v>
      </c>
      <c r="Q380" s="2">
        <v>875</v>
      </c>
      <c r="R380" t="s">
        <v>45</v>
      </c>
      <c r="T380" t="s">
        <v>27</v>
      </c>
      <c r="U380" t="s">
        <v>698</v>
      </c>
    </row>
    <row r="381" spans="1:21" x14ac:dyDescent="0.3">
      <c r="A381">
        <v>819</v>
      </c>
      <c r="B381" t="s">
        <v>693</v>
      </c>
      <c r="C381" t="s">
        <v>24</v>
      </c>
      <c r="J381" t="s">
        <v>694</v>
      </c>
      <c r="K381" s="3">
        <v>1890</v>
      </c>
      <c r="L381" s="2">
        <v>0</v>
      </c>
      <c r="M381" s="2">
        <f t="shared" si="10"/>
        <v>1890</v>
      </c>
      <c r="N381" s="2">
        <f t="shared" si="11"/>
        <v>94.5</v>
      </c>
      <c r="O381" s="7">
        <v>76.5</v>
      </c>
      <c r="P381" s="2">
        <v>0.5</v>
      </c>
      <c r="Q381" s="2">
        <v>1967</v>
      </c>
      <c r="R381" t="s">
        <v>31</v>
      </c>
      <c r="T381" t="s">
        <v>27</v>
      </c>
      <c r="U381" t="s">
        <v>695</v>
      </c>
    </row>
    <row r="382" spans="1:21" x14ac:dyDescent="0.3">
      <c r="A382">
        <v>820</v>
      </c>
      <c r="B382" t="s">
        <v>131</v>
      </c>
      <c r="C382" t="s">
        <v>24</v>
      </c>
      <c r="J382" t="s">
        <v>691</v>
      </c>
      <c r="K382" s="3">
        <v>0</v>
      </c>
      <c r="L382" s="2">
        <v>0</v>
      </c>
      <c r="M382" s="2">
        <f t="shared" si="10"/>
        <v>0</v>
      </c>
      <c r="N382" s="2">
        <f t="shared" si="11"/>
        <v>0</v>
      </c>
      <c r="O382" s="7">
        <v>0</v>
      </c>
      <c r="P382" s="2">
        <v>0</v>
      </c>
      <c r="Q382" s="2">
        <v>0</v>
      </c>
      <c r="R382" t="s">
        <v>35</v>
      </c>
      <c r="T382" t="s">
        <v>27</v>
      </c>
      <c r="U382" t="s">
        <v>692</v>
      </c>
    </row>
    <row r="383" spans="1:21" x14ac:dyDescent="0.3">
      <c r="A383">
        <v>821</v>
      </c>
      <c r="B383" t="s">
        <v>37</v>
      </c>
      <c r="C383" t="s">
        <v>24</v>
      </c>
      <c r="J383" t="s">
        <v>689</v>
      </c>
      <c r="K383" s="3">
        <v>0</v>
      </c>
      <c r="L383" s="2">
        <v>0</v>
      </c>
      <c r="M383" s="2">
        <f t="shared" si="10"/>
        <v>0</v>
      </c>
      <c r="N383" s="2">
        <f t="shared" si="11"/>
        <v>0</v>
      </c>
      <c r="O383" s="7">
        <v>0</v>
      </c>
      <c r="P383" s="2">
        <v>0</v>
      </c>
      <c r="Q383" s="2">
        <v>0</v>
      </c>
      <c r="R383" t="s">
        <v>35</v>
      </c>
      <c r="T383" t="s">
        <v>27</v>
      </c>
      <c r="U383" t="s">
        <v>690</v>
      </c>
    </row>
    <row r="384" spans="1:21" x14ac:dyDescent="0.3">
      <c r="A384">
        <v>822</v>
      </c>
      <c r="B384" t="s">
        <v>43</v>
      </c>
      <c r="C384" t="s">
        <v>24</v>
      </c>
      <c r="J384" t="s">
        <v>687</v>
      </c>
      <c r="K384" s="3">
        <v>325</v>
      </c>
      <c r="L384" s="2">
        <v>32.5</v>
      </c>
      <c r="M384" s="2">
        <f t="shared" si="10"/>
        <v>292.5</v>
      </c>
      <c r="N384" s="2">
        <f t="shared" si="11"/>
        <v>14.625</v>
      </c>
      <c r="O384" s="7">
        <v>14.62</v>
      </c>
      <c r="P384" s="2">
        <v>-0.12</v>
      </c>
      <c r="Q384" s="2">
        <v>307</v>
      </c>
      <c r="R384" t="s">
        <v>45</v>
      </c>
      <c r="T384" t="s">
        <v>27</v>
      </c>
      <c r="U384" t="s">
        <v>688</v>
      </c>
    </row>
    <row r="385" spans="1:21" x14ac:dyDescent="0.3">
      <c r="A385">
        <v>823</v>
      </c>
      <c r="B385" t="s">
        <v>50</v>
      </c>
      <c r="C385" t="s">
        <v>24</v>
      </c>
      <c r="J385" t="s">
        <v>685</v>
      </c>
      <c r="K385" s="3">
        <v>715</v>
      </c>
      <c r="L385" s="2">
        <v>71.5</v>
      </c>
      <c r="M385" s="2">
        <f t="shared" si="10"/>
        <v>643.5</v>
      </c>
      <c r="N385" s="2">
        <f t="shared" si="11"/>
        <v>32.175000000000004</v>
      </c>
      <c r="O385" s="7">
        <v>32.18</v>
      </c>
      <c r="P385" s="2">
        <v>0.32</v>
      </c>
      <c r="Q385" s="2">
        <v>676</v>
      </c>
      <c r="R385" t="s">
        <v>45</v>
      </c>
      <c r="T385" t="s">
        <v>27</v>
      </c>
      <c r="U385" t="s">
        <v>686</v>
      </c>
    </row>
    <row r="386" spans="1:21" x14ac:dyDescent="0.3">
      <c r="A386">
        <v>824</v>
      </c>
      <c r="B386" t="s">
        <v>682</v>
      </c>
      <c r="C386" t="s">
        <v>24</v>
      </c>
      <c r="J386" t="s">
        <v>683</v>
      </c>
      <c r="K386" s="3">
        <v>1644</v>
      </c>
      <c r="L386" s="2">
        <v>0</v>
      </c>
      <c r="M386" s="2">
        <f t="shared" si="10"/>
        <v>1644</v>
      </c>
      <c r="N386" s="2">
        <f t="shared" si="11"/>
        <v>82.2</v>
      </c>
      <c r="O386" s="7">
        <v>80.760000000000005</v>
      </c>
      <c r="P386" s="2">
        <v>0.24</v>
      </c>
      <c r="Q386" s="2">
        <v>1725</v>
      </c>
      <c r="R386" t="s">
        <v>45</v>
      </c>
      <c r="T386" t="s">
        <v>27</v>
      </c>
      <c r="U386" t="s">
        <v>684</v>
      </c>
    </row>
    <row r="387" spans="1:21" x14ac:dyDescent="0.3">
      <c r="A387">
        <v>825</v>
      </c>
      <c r="B387" t="s">
        <v>23</v>
      </c>
      <c r="C387" t="s">
        <v>24</v>
      </c>
      <c r="J387" t="s">
        <v>680</v>
      </c>
      <c r="K387" s="3">
        <v>1210</v>
      </c>
      <c r="L387" s="2">
        <v>121</v>
      </c>
      <c r="M387" s="2">
        <f t="shared" si="10"/>
        <v>1089</v>
      </c>
      <c r="N387" s="2">
        <f t="shared" si="11"/>
        <v>54.45</v>
      </c>
      <c r="O387" s="7">
        <v>54.46</v>
      </c>
      <c r="P387" s="2">
        <v>-0.46</v>
      </c>
      <c r="Q387" s="2">
        <v>1143</v>
      </c>
      <c r="R387" t="s">
        <v>35</v>
      </c>
      <c r="T387" t="s">
        <v>27</v>
      </c>
      <c r="U387" t="s">
        <v>681</v>
      </c>
    </row>
    <row r="388" spans="1:21" x14ac:dyDescent="0.3">
      <c r="A388">
        <v>826</v>
      </c>
      <c r="B388" t="s">
        <v>96</v>
      </c>
      <c r="C388" t="s">
        <v>24</v>
      </c>
      <c r="J388" t="s">
        <v>678</v>
      </c>
      <c r="K388" s="3">
        <v>935</v>
      </c>
      <c r="L388" s="2">
        <v>0</v>
      </c>
      <c r="M388" s="2">
        <f t="shared" si="10"/>
        <v>935</v>
      </c>
      <c r="N388" s="2">
        <f t="shared" si="11"/>
        <v>46.75</v>
      </c>
      <c r="O388" s="7">
        <v>46.76</v>
      </c>
      <c r="P388" s="2">
        <v>0.24</v>
      </c>
      <c r="Q388" s="2">
        <v>982</v>
      </c>
      <c r="R388" t="s">
        <v>31</v>
      </c>
      <c r="T388" t="s">
        <v>27</v>
      </c>
      <c r="U388" t="s">
        <v>679</v>
      </c>
    </row>
    <row r="389" spans="1:21" x14ac:dyDescent="0.3">
      <c r="A389">
        <v>827</v>
      </c>
      <c r="B389" t="s">
        <v>64</v>
      </c>
      <c r="C389" t="s">
        <v>24</v>
      </c>
      <c r="D389" t="s">
        <v>675</v>
      </c>
      <c r="E389">
        <v>9990699415</v>
      </c>
      <c r="J389" t="s">
        <v>676</v>
      </c>
      <c r="K389" s="3">
        <v>960</v>
      </c>
      <c r="L389" s="2">
        <v>144</v>
      </c>
      <c r="M389" s="2">
        <f t="shared" si="10"/>
        <v>816</v>
      </c>
      <c r="N389" s="2">
        <f t="shared" si="11"/>
        <v>40.800000000000004</v>
      </c>
      <c r="O389" s="7">
        <v>40.799999999999997</v>
      </c>
      <c r="P389" s="2">
        <v>0.2</v>
      </c>
      <c r="Q389" s="2">
        <v>857</v>
      </c>
      <c r="R389" t="s">
        <v>31</v>
      </c>
      <c r="T389" t="s">
        <v>27</v>
      </c>
      <c r="U389" t="s">
        <v>677</v>
      </c>
    </row>
    <row r="390" spans="1:21" x14ac:dyDescent="0.3">
      <c r="A390">
        <v>828</v>
      </c>
      <c r="B390" t="s">
        <v>672</v>
      </c>
      <c r="C390" t="s">
        <v>24</v>
      </c>
      <c r="J390" t="s">
        <v>673</v>
      </c>
      <c r="K390" s="3">
        <v>1070</v>
      </c>
      <c r="L390" s="2">
        <v>107</v>
      </c>
      <c r="M390" s="2">
        <f t="shared" si="10"/>
        <v>963</v>
      </c>
      <c r="N390" s="2">
        <f t="shared" si="11"/>
        <v>48.150000000000006</v>
      </c>
      <c r="O390" s="7">
        <v>46.36</v>
      </c>
      <c r="P390" s="2">
        <v>-0.36</v>
      </c>
      <c r="Q390" s="2">
        <v>1009</v>
      </c>
      <c r="R390" t="s">
        <v>31</v>
      </c>
      <c r="T390" t="s">
        <v>27</v>
      </c>
      <c r="U390" t="s">
        <v>674</v>
      </c>
    </row>
    <row r="391" spans="1:21" x14ac:dyDescent="0.3">
      <c r="A391">
        <v>829</v>
      </c>
      <c r="B391" t="s">
        <v>67</v>
      </c>
      <c r="C391" t="s">
        <v>24</v>
      </c>
      <c r="J391" t="s">
        <v>670</v>
      </c>
      <c r="K391" s="3">
        <v>889</v>
      </c>
      <c r="L391" s="2">
        <v>88.9</v>
      </c>
      <c r="M391" s="2">
        <f t="shared" ref="M391:M454" si="12">K391-L391</f>
        <v>800.1</v>
      </c>
      <c r="N391" s="2">
        <f t="shared" ref="N391:N454" si="13">M391*5%</f>
        <v>40.005000000000003</v>
      </c>
      <c r="O391" s="7">
        <v>40</v>
      </c>
      <c r="P391" s="2">
        <v>-0.1</v>
      </c>
      <c r="Q391" s="2">
        <v>840</v>
      </c>
      <c r="R391" t="s">
        <v>45</v>
      </c>
      <c r="T391" t="s">
        <v>27</v>
      </c>
      <c r="U391" t="s">
        <v>671</v>
      </c>
    </row>
    <row r="392" spans="1:21" x14ac:dyDescent="0.3">
      <c r="A392">
        <v>830</v>
      </c>
      <c r="B392" t="s">
        <v>23</v>
      </c>
      <c r="C392" t="s">
        <v>24</v>
      </c>
      <c r="J392" t="s">
        <v>668</v>
      </c>
      <c r="K392" s="3">
        <v>734</v>
      </c>
      <c r="L392" s="2">
        <v>73.400000000000006</v>
      </c>
      <c r="M392" s="2">
        <f t="shared" si="12"/>
        <v>660.6</v>
      </c>
      <c r="N392" s="2">
        <f t="shared" si="13"/>
        <v>33.03</v>
      </c>
      <c r="O392" s="7">
        <v>33.04</v>
      </c>
      <c r="P392" s="2">
        <v>0.36</v>
      </c>
      <c r="Q392" s="2">
        <v>694</v>
      </c>
      <c r="R392" t="s">
        <v>45</v>
      </c>
      <c r="T392" t="s">
        <v>27</v>
      </c>
      <c r="U392" t="s">
        <v>669</v>
      </c>
    </row>
    <row r="393" spans="1:21" x14ac:dyDescent="0.3">
      <c r="A393">
        <v>831</v>
      </c>
      <c r="B393" t="s">
        <v>56</v>
      </c>
      <c r="C393" t="s">
        <v>24</v>
      </c>
      <c r="J393" t="s">
        <v>666</v>
      </c>
      <c r="K393" s="3">
        <v>1655</v>
      </c>
      <c r="L393" s="2">
        <v>165.5</v>
      </c>
      <c r="M393" s="2">
        <f t="shared" si="12"/>
        <v>1489.5</v>
      </c>
      <c r="N393" s="2">
        <f t="shared" si="13"/>
        <v>74.475000000000009</v>
      </c>
      <c r="O393" s="7">
        <v>74.48</v>
      </c>
      <c r="P393" s="2">
        <v>0.02</v>
      </c>
      <c r="Q393" s="2">
        <v>1564</v>
      </c>
      <c r="R393" t="s">
        <v>31</v>
      </c>
      <c r="T393" t="s">
        <v>27</v>
      </c>
      <c r="U393" t="s">
        <v>667</v>
      </c>
    </row>
    <row r="394" spans="1:21" x14ac:dyDescent="0.3">
      <c r="A394">
        <v>832</v>
      </c>
      <c r="B394" t="s">
        <v>663</v>
      </c>
      <c r="C394" t="s">
        <v>24</v>
      </c>
      <c r="J394" t="s">
        <v>664</v>
      </c>
      <c r="K394" s="3">
        <v>920</v>
      </c>
      <c r="L394" s="2">
        <v>0</v>
      </c>
      <c r="M394" s="2">
        <f t="shared" si="12"/>
        <v>920</v>
      </c>
      <c r="N394" s="2">
        <f t="shared" si="13"/>
        <v>46</v>
      </c>
      <c r="O394" s="7">
        <v>46</v>
      </c>
      <c r="P394" s="2">
        <v>0</v>
      </c>
      <c r="Q394" s="2">
        <v>966</v>
      </c>
      <c r="R394" t="s">
        <v>45</v>
      </c>
      <c r="T394" t="s">
        <v>27</v>
      </c>
      <c r="U394" t="s">
        <v>665</v>
      </c>
    </row>
    <row r="395" spans="1:21" x14ac:dyDescent="0.3">
      <c r="A395">
        <v>833</v>
      </c>
      <c r="B395" t="s">
        <v>23</v>
      </c>
      <c r="C395" t="s">
        <v>24</v>
      </c>
      <c r="J395" t="s">
        <v>661</v>
      </c>
      <c r="K395" s="3">
        <v>1155</v>
      </c>
      <c r="L395" s="2">
        <v>115.5</v>
      </c>
      <c r="M395" s="2">
        <f t="shared" si="12"/>
        <v>1039.5</v>
      </c>
      <c r="N395" s="2">
        <f t="shared" si="13"/>
        <v>51.975000000000001</v>
      </c>
      <c r="O395" s="7">
        <v>51.98</v>
      </c>
      <c r="P395" s="2">
        <v>-0.48</v>
      </c>
      <c r="Q395" s="2">
        <v>1091</v>
      </c>
      <c r="R395" t="s">
        <v>45</v>
      </c>
      <c r="T395" t="s">
        <v>27</v>
      </c>
      <c r="U395" t="s">
        <v>662</v>
      </c>
    </row>
    <row r="396" spans="1:21" x14ac:dyDescent="0.3">
      <c r="A396">
        <v>834</v>
      </c>
      <c r="B396" t="s">
        <v>53</v>
      </c>
      <c r="C396" t="s">
        <v>24</v>
      </c>
      <c r="J396" t="s">
        <v>1999</v>
      </c>
      <c r="K396" s="3">
        <v>3295</v>
      </c>
      <c r="L396" s="2">
        <v>329.5</v>
      </c>
      <c r="M396" s="2">
        <f t="shared" si="12"/>
        <v>2965.5</v>
      </c>
      <c r="N396" s="2">
        <f t="shared" si="13"/>
        <v>148.27500000000001</v>
      </c>
      <c r="O396" s="7">
        <v>148.28</v>
      </c>
      <c r="P396" s="2">
        <v>0.22</v>
      </c>
      <c r="Q396" s="2">
        <v>3114</v>
      </c>
      <c r="R396" t="s">
        <v>31</v>
      </c>
      <c r="T396" t="s">
        <v>27</v>
      </c>
      <c r="U396" t="s">
        <v>660</v>
      </c>
    </row>
    <row r="397" spans="1:21" x14ac:dyDescent="0.3">
      <c r="A397">
        <v>835</v>
      </c>
      <c r="B397" t="s">
        <v>64</v>
      </c>
      <c r="C397" t="s">
        <v>24</v>
      </c>
      <c r="J397" t="s">
        <v>658</v>
      </c>
      <c r="K397" s="3">
        <v>1880</v>
      </c>
      <c r="L397" s="2">
        <v>188</v>
      </c>
      <c r="M397" s="2">
        <f t="shared" si="12"/>
        <v>1692</v>
      </c>
      <c r="N397" s="2">
        <f t="shared" si="13"/>
        <v>84.600000000000009</v>
      </c>
      <c r="O397" s="7">
        <v>84.6</v>
      </c>
      <c r="P397" s="2">
        <v>0.4</v>
      </c>
      <c r="Q397" s="2">
        <v>1777</v>
      </c>
      <c r="R397" t="s">
        <v>35</v>
      </c>
      <c r="T397" t="s">
        <v>27</v>
      </c>
      <c r="U397" t="s">
        <v>659</v>
      </c>
    </row>
    <row r="398" spans="1:21" x14ac:dyDescent="0.3">
      <c r="A398">
        <v>836</v>
      </c>
      <c r="B398" t="s">
        <v>96</v>
      </c>
      <c r="C398" t="s">
        <v>24</v>
      </c>
      <c r="J398" t="s">
        <v>413</v>
      </c>
      <c r="K398" s="3">
        <v>244</v>
      </c>
      <c r="L398" s="2">
        <v>0</v>
      </c>
      <c r="M398" s="2">
        <f t="shared" si="12"/>
        <v>244</v>
      </c>
      <c r="N398" s="2">
        <f t="shared" si="13"/>
        <v>12.200000000000001</v>
      </c>
      <c r="O398" s="7">
        <v>43.92</v>
      </c>
      <c r="P398" s="2">
        <v>0.08</v>
      </c>
      <c r="Q398" s="2">
        <v>288</v>
      </c>
      <c r="R398" t="s">
        <v>45</v>
      </c>
      <c r="T398" t="s">
        <v>27</v>
      </c>
      <c r="U398" t="s">
        <v>657</v>
      </c>
    </row>
    <row r="399" spans="1:21" x14ac:dyDescent="0.3">
      <c r="A399">
        <v>837</v>
      </c>
      <c r="B399" t="s">
        <v>61</v>
      </c>
      <c r="C399" t="s">
        <v>24</v>
      </c>
      <c r="J399" t="s">
        <v>1998</v>
      </c>
      <c r="K399" s="3">
        <v>2649</v>
      </c>
      <c r="L399" s="2">
        <v>264.89999999999998</v>
      </c>
      <c r="M399" s="2">
        <f t="shared" si="12"/>
        <v>2384.1</v>
      </c>
      <c r="N399" s="2">
        <f t="shared" si="13"/>
        <v>119.205</v>
      </c>
      <c r="O399" s="7">
        <v>111.16</v>
      </c>
      <c r="P399" s="2">
        <v>-0.26</v>
      </c>
      <c r="Q399" s="2">
        <v>2495</v>
      </c>
      <c r="R399" t="s">
        <v>26</v>
      </c>
      <c r="T399" t="s">
        <v>27</v>
      </c>
      <c r="U399" t="s">
        <v>656</v>
      </c>
    </row>
    <row r="400" spans="1:21" x14ac:dyDescent="0.3">
      <c r="A400">
        <v>838</v>
      </c>
      <c r="B400" t="s">
        <v>653</v>
      </c>
      <c r="C400" t="s">
        <v>24</v>
      </c>
      <c r="J400" t="s">
        <v>654</v>
      </c>
      <c r="K400" s="3">
        <v>320</v>
      </c>
      <c r="L400" s="2">
        <v>0</v>
      </c>
      <c r="M400" s="2">
        <f t="shared" si="12"/>
        <v>320</v>
      </c>
      <c r="N400" s="2">
        <f t="shared" si="13"/>
        <v>16</v>
      </c>
      <c r="O400" s="7">
        <v>16</v>
      </c>
      <c r="P400" s="2">
        <v>0</v>
      </c>
      <c r="Q400" s="2">
        <v>336</v>
      </c>
      <c r="R400" t="s">
        <v>45</v>
      </c>
      <c r="T400" t="s">
        <v>27</v>
      </c>
      <c r="U400" t="s">
        <v>655</v>
      </c>
    </row>
    <row r="401" spans="1:21" x14ac:dyDescent="0.3">
      <c r="A401">
        <v>839</v>
      </c>
      <c r="B401" t="s">
        <v>650</v>
      </c>
      <c r="C401" t="s">
        <v>24</v>
      </c>
      <c r="J401" t="s">
        <v>651</v>
      </c>
      <c r="K401" s="3">
        <v>280</v>
      </c>
      <c r="L401" s="2">
        <v>0</v>
      </c>
      <c r="M401" s="2">
        <f t="shared" si="12"/>
        <v>280</v>
      </c>
      <c r="N401" s="2">
        <f t="shared" si="13"/>
        <v>14</v>
      </c>
      <c r="O401" s="7">
        <v>14</v>
      </c>
      <c r="P401" s="2">
        <v>0</v>
      </c>
      <c r="Q401" s="2">
        <v>294</v>
      </c>
      <c r="R401" t="s">
        <v>31</v>
      </c>
      <c r="T401" t="s">
        <v>27</v>
      </c>
      <c r="U401" t="s">
        <v>652</v>
      </c>
    </row>
    <row r="402" spans="1:21" x14ac:dyDescent="0.3">
      <c r="A402">
        <v>840</v>
      </c>
      <c r="B402" t="s">
        <v>96</v>
      </c>
      <c r="C402" t="s">
        <v>24</v>
      </c>
      <c r="J402" t="s">
        <v>413</v>
      </c>
      <c r="K402" s="3">
        <v>122</v>
      </c>
      <c r="L402" s="2">
        <v>0</v>
      </c>
      <c r="M402" s="2">
        <f t="shared" si="12"/>
        <v>122</v>
      </c>
      <c r="N402" s="2">
        <f t="shared" si="13"/>
        <v>6.1000000000000005</v>
      </c>
      <c r="O402" s="7">
        <v>21.96</v>
      </c>
      <c r="P402" s="2">
        <v>0.04</v>
      </c>
      <c r="Q402" s="2">
        <v>144</v>
      </c>
      <c r="R402" t="s">
        <v>45</v>
      </c>
      <c r="T402" t="s">
        <v>27</v>
      </c>
      <c r="U402" t="s">
        <v>649</v>
      </c>
    </row>
    <row r="403" spans="1:21" x14ac:dyDescent="0.3">
      <c r="A403">
        <v>841</v>
      </c>
      <c r="B403" t="s">
        <v>226</v>
      </c>
      <c r="C403" t="s">
        <v>24</v>
      </c>
      <c r="J403" t="s">
        <v>413</v>
      </c>
      <c r="K403" s="3">
        <v>122</v>
      </c>
      <c r="L403" s="2">
        <v>0</v>
      </c>
      <c r="M403" s="2">
        <f t="shared" si="12"/>
        <v>122</v>
      </c>
      <c r="N403" s="2">
        <f t="shared" si="13"/>
        <v>6.1000000000000005</v>
      </c>
      <c r="O403" s="7">
        <v>21.96</v>
      </c>
      <c r="P403" s="2">
        <v>0.04</v>
      </c>
      <c r="Q403" s="2">
        <v>144</v>
      </c>
      <c r="R403" t="s">
        <v>45</v>
      </c>
      <c r="T403" t="s">
        <v>27</v>
      </c>
      <c r="U403" t="s">
        <v>648</v>
      </c>
    </row>
    <row r="404" spans="1:21" x14ac:dyDescent="0.3">
      <c r="A404">
        <v>842</v>
      </c>
      <c r="B404" t="s">
        <v>509</v>
      </c>
      <c r="C404" t="s">
        <v>24</v>
      </c>
      <c r="J404" t="s">
        <v>646</v>
      </c>
      <c r="K404" s="3">
        <v>440</v>
      </c>
      <c r="L404" s="2">
        <v>0</v>
      </c>
      <c r="M404" s="2">
        <f t="shared" si="12"/>
        <v>440</v>
      </c>
      <c r="N404" s="2">
        <f t="shared" si="13"/>
        <v>22</v>
      </c>
      <c r="O404" s="7">
        <v>22</v>
      </c>
      <c r="P404" s="2">
        <v>0</v>
      </c>
      <c r="Q404" s="2">
        <v>462</v>
      </c>
      <c r="R404" t="s">
        <v>45</v>
      </c>
      <c r="T404" t="s">
        <v>27</v>
      </c>
      <c r="U404" t="s">
        <v>647</v>
      </c>
    </row>
    <row r="405" spans="1:21" x14ac:dyDescent="0.3">
      <c r="A405">
        <v>843</v>
      </c>
      <c r="B405" t="s">
        <v>643</v>
      </c>
      <c r="C405" t="s">
        <v>24</v>
      </c>
      <c r="J405" t="s">
        <v>644</v>
      </c>
      <c r="K405" s="3">
        <v>405</v>
      </c>
      <c r="L405" s="2">
        <v>0</v>
      </c>
      <c r="M405" s="2">
        <f t="shared" si="12"/>
        <v>405</v>
      </c>
      <c r="N405" s="2">
        <f t="shared" si="13"/>
        <v>20.25</v>
      </c>
      <c r="O405" s="7">
        <v>20.260000000000002</v>
      </c>
      <c r="P405" s="2">
        <v>-0.26</v>
      </c>
      <c r="Q405" s="2">
        <v>425</v>
      </c>
      <c r="R405" t="s">
        <v>31</v>
      </c>
      <c r="T405" t="s">
        <v>27</v>
      </c>
      <c r="U405" t="s">
        <v>645</v>
      </c>
    </row>
    <row r="406" spans="1:21" x14ac:dyDescent="0.3">
      <c r="A406">
        <v>844</v>
      </c>
      <c r="B406" t="s">
        <v>67</v>
      </c>
      <c r="C406" t="s">
        <v>24</v>
      </c>
      <c r="J406" t="s">
        <v>641</v>
      </c>
      <c r="K406" s="3">
        <v>3059</v>
      </c>
      <c r="L406" s="2">
        <v>305.89999999999998</v>
      </c>
      <c r="M406" s="2">
        <f t="shared" si="12"/>
        <v>2753.1</v>
      </c>
      <c r="N406" s="2">
        <f t="shared" si="13"/>
        <v>137.655</v>
      </c>
      <c r="O406" s="7">
        <v>137.66</v>
      </c>
      <c r="P406" s="2">
        <v>0.24</v>
      </c>
      <c r="Q406" s="2">
        <v>2891</v>
      </c>
      <c r="R406" t="s">
        <v>31</v>
      </c>
      <c r="T406" t="s">
        <v>27</v>
      </c>
      <c r="U406" t="s">
        <v>642</v>
      </c>
    </row>
    <row r="407" spans="1:21" x14ac:dyDescent="0.3">
      <c r="A407">
        <v>845</v>
      </c>
      <c r="B407" t="s">
        <v>149</v>
      </c>
      <c r="C407" t="s">
        <v>24</v>
      </c>
      <c r="J407" t="s">
        <v>1997</v>
      </c>
      <c r="K407" s="3">
        <v>4520</v>
      </c>
      <c r="L407" s="2">
        <v>0</v>
      </c>
      <c r="M407" s="2">
        <f t="shared" si="12"/>
        <v>4520</v>
      </c>
      <c r="N407" s="2">
        <f t="shared" si="13"/>
        <v>226</v>
      </c>
      <c r="O407" s="7">
        <v>220</v>
      </c>
      <c r="P407" s="2">
        <v>0</v>
      </c>
      <c r="Q407" s="2">
        <v>4740</v>
      </c>
      <c r="R407" t="s">
        <v>26</v>
      </c>
      <c r="T407" t="s">
        <v>27</v>
      </c>
      <c r="U407" t="s">
        <v>640</v>
      </c>
    </row>
    <row r="408" spans="1:21" x14ac:dyDescent="0.3">
      <c r="A408">
        <v>846</v>
      </c>
      <c r="B408" t="s">
        <v>61</v>
      </c>
      <c r="C408" t="s">
        <v>24</v>
      </c>
      <c r="J408" t="s">
        <v>638</v>
      </c>
      <c r="K408" s="3">
        <v>1140</v>
      </c>
      <c r="L408" s="2">
        <v>0</v>
      </c>
      <c r="M408" s="2">
        <f t="shared" si="12"/>
        <v>1140</v>
      </c>
      <c r="N408" s="2">
        <f t="shared" si="13"/>
        <v>57</v>
      </c>
      <c r="O408" s="7">
        <v>57</v>
      </c>
      <c r="P408" s="2">
        <v>0</v>
      </c>
      <c r="Q408" s="2">
        <v>1197</v>
      </c>
      <c r="R408" t="s">
        <v>26</v>
      </c>
      <c r="T408" t="s">
        <v>27</v>
      </c>
      <c r="U408" t="s">
        <v>639</v>
      </c>
    </row>
    <row r="409" spans="1:21" x14ac:dyDescent="0.3">
      <c r="A409">
        <v>847</v>
      </c>
      <c r="B409" t="s">
        <v>117</v>
      </c>
      <c r="C409" t="s">
        <v>24</v>
      </c>
      <c r="J409" t="s">
        <v>636</v>
      </c>
      <c r="K409" s="3">
        <v>1982</v>
      </c>
      <c r="L409" s="2">
        <v>0</v>
      </c>
      <c r="M409" s="2">
        <f t="shared" si="12"/>
        <v>1982</v>
      </c>
      <c r="N409" s="2">
        <f t="shared" si="13"/>
        <v>99.100000000000009</v>
      </c>
      <c r="O409" s="7">
        <v>81.099999999999994</v>
      </c>
      <c r="P409" s="2">
        <v>-0.1</v>
      </c>
      <c r="Q409" s="2">
        <v>2063</v>
      </c>
      <c r="R409" t="s">
        <v>31</v>
      </c>
      <c r="T409" t="s">
        <v>27</v>
      </c>
      <c r="U409" t="s">
        <v>637</v>
      </c>
    </row>
    <row r="410" spans="1:21" x14ac:dyDescent="0.3">
      <c r="A410">
        <v>848</v>
      </c>
      <c r="B410" t="s">
        <v>40</v>
      </c>
      <c r="C410" t="s">
        <v>24</v>
      </c>
      <c r="J410" t="s">
        <v>634</v>
      </c>
      <c r="K410" s="3">
        <v>0</v>
      </c>
      <c r="L410" s="2">
        <v>0</v>
      </c>
      <c r="M410" s="2">
        <f t="shared" si="12"/>
        <v>0</v>
      </c>
      <c r="N410" s="2">
        <f t="shared" si="13"/>
        <v>0</v>
      </c>
      <c r="O410" s="7">
        <v>0</v>
      </c>
      <c r="P410" s="2">
        <v>0</v>
      </c>
      <c r="Q410" s="2">
        <v>0</v>
      </c>
      <c r="R410" t="s">
        <v>35</v>
      </c>
      <c r="T410" t="s">
        <v>27</v>
      </c>
      <c r="U410" t="s">
        <v>635</v>
      </c>
    </row>
    <row r="411" spans="1:21" x14ac:dyDescent="0.3">
      <c r="A411">
        <v>849</v>
      </c>
      <c r="B411" t="s">
        <v>37</v>
      </c>
      <c r="C411" t="s">
        <v>24</v>
      </c>
      <c r="J411" t="s">
        <v>632</v>
      </c>
      <c r="K411" s="3">
        <v>0</v>
      </c>
      <c r="L411" s="2">
        <v>0</v>
      </c>
      <c r="M411" s="2">
        <f t="shared" si="12"/>
        <v>0</v>
      </c>
      <c r="N411" s="2">
        <f t="shared" si="13"/>
        <v>0</v>
      </c>
      <c r="O411" s="7">
        <v>0</v>
      </c>
      <c r="P411" s="2">
        <v>0</v>
      </c>
      <c r="Q411" s="2">
        <v>0</v>
      </c>
      <c r="R411" t="s">
        <v>35</v>
      </c>
      <c r="T411" t="s">
        <v>27</v>
      </c>
      <c r="U411" t="s">
        <v>633</v>
      </c>
    </row>
    <row r="412" spans="1:21" x14ac:dyDescent="0.3">
      <c r="A412">
        <v>850</v>
      </c>
      <c r="B412" t="s">
        <v>50</v>
      </c>
      <c r="C412" t="s">
        <v>24</v>
      </c>
      <c r="J412" t="s">
        <v>1996</v>
      </c>
      <c r="K412" s="3">
        <v>5694</v>
      </c>
      <c r="L412" s="2">
        <v>854.1</v>
      </c>
      <c r="M412" s="2">
        <f t="shared" si="12"/>
        <v>4839.8999999999996</v>
      </c>
      <c r="N412" s="2">
        <f t="shared" si="13"/>
        <v>241.995</v>
      </c>
      <c r="O412" s="7">
        <v>242</v>
      </c>
      <c r="P412" s="2">
        <v>0.1</v>
      </c>
      <c r="Q412" s="2">
        <v>0</v>
      </c>
      <c r="R412" t="s">
        <v>209</v>
      </c>
      <c r="S412" t="s">
        <v>630</v>
      </c>
      <c r="T412" t="s">
        <v>27</v>
      </c>
      <c r="U412" t="s">
        <v>631</v>
      </c>
    </row>
    <row r="413" spans="1:21" x14ac:dyDescent="0.3">
      <c r="A413">
        <v>851</v>
      </c>
      <c r="B413" t="s">
        <v>74</v>
      </c>
      <c r="C413" t="s">
        <v>24</v>
      </c>
      <c r="J413" t="s">
        <v>628</v>
      </c>
      <c r="K413" s="3">
        <v>2190</v>
      </c>
      <c r="L413" s="2">
        <v>219</v>
      </c>
      <c r="M413" s="2">
        <f t="shared" si="12"/>
        <v>1971</v>
      </c>
      <c r="N413" s="2">
        <f t="shared" si="13"/>
        <v>98.550000000000011</v>
      </c>
      <c r="O413" s="7">
        <v>98.56</v>
      </c>
      <c r="P413" s="2">
        <v>0.44</v>
      </c>
      <c r="Q413" s="2">
        <v>2070</v>
      </c>
      <c r="R413" t="s">
        <v>31</v>
      </c>
      <c r="T413" t="s">
        <v>27</v>
      </c>
      <c r="U413" t="s">
        <v>629</v>
      </c>
    </row>
    <row r="414" spans="1:21" x14ac:dyDescent="0.3">
      <c r="A414">
        <v>852</v>
      </c>
      <c r="B414" t="s">
        <v>23</v>
      </c>
      <c r="C414" t="s">
        <v>24</v>
      </c>
      <c r="J414" t="s">
        <v>626</v>
      </c>
      <c r="K414" s="3">
        <v>1970</v>
      </c>
      <c r="L414" s="2">
        <v>197</v>
      </c>
      <c r="M414" s="2">
        <f t="shared" si="12"/>
        <v>1773</v>
      </c>
      <c r="N414" s="2">
        <f t="shared" si="13"/>
        <v>88.65</v>
      </c>
      <c r="O414" s="7">
        <v>88.66</v>
      </c>
      <c r="P414" s="2">
        <v>0.34</v>
      </c>
      <c r="Q414" s="2">
        <v>1862</v>
      </c>
      <c r="R414" t="s">
        <v>35</v>
      </c>
      <c r="T414" t="s">
        <v>27</v>
      </c>
      <c r="U414" t="s">
        <v>627</v>
      </c>
    </row>
    <row r="415" spans="1:21" x14ac:dyDescent="0.3">
      <c r="A415">
        <v>853</v>
      </c>
      <c r="B415" t="s">
        <v>622</v>
      </c>
      <c r="C415" t="s">
        <v>24</v>
      </c>
      <c r="D415" t="s">
        <v>623</v>
      </c>
      <c r="J415" t="s">
        <v>624</v>
      </c>
      <c r="K415" s="3">
        <v>660</v>
      </c>
      <c r="L415" s="2">
        <v>0</v>
      </c>
      <c r="M415" s="2">
        <f t="shared" si="12"/>
        <v>660</v>
      </c>
      <c r="N415" s="2">
        <f t="shared" si="13"/>
        <v>33</v>
      </c>
      <c r="O415" s="7">
        <v>33</v>
      </c>
      <c r="P415" s="2">
        <v>0</v>
      </c>
      <c r="Q415" s="2">
        <v>693</v>
      </c>
      <c r="R415" t="s">
        <v>45</v>
      </c>
      <c r="T415" t="s">
        <v>27</v>
      </c>
      <c r="U415" t="s">
        <v>625</v>
      </c>
    </row>
    <row r="416" spans="1:21" x14ac:dyDescent="0.3">
      <c r="A416">
        <v>854</v>
      </c>
      <c r="B416" t="s">
        <v>53</v>
      </c>
      <c r="C416" t="s">
        <v>24</v>
      </c>
      <c r="J416" t="s">
        <v>620</v>
      </c>
      <c r="K416" s="3">
        <v>1910</v>
      </c>
      <c r="L416" s="2">
        <v>191</v>
      </c>
      <c r="M416" s="2">
        <f t="shared" si="12"/>
        <v>1719</v>
      </c>
      <c r="N416" s="2">
        <f t="shared" si="13"/>
        <v>85.95</v>
      </c>
      <c r="O416" s="7">
        <v>85.96</v>
      </c>
      <c r="P416" s="2">
        <v>0.04</v>
      </c>
      <c r="Q416" s="2">
        <v>1805</v>
      </c>
      <c r="R416" t="s">
        <v>45</v>
      </c>
      <c r="T416" t="s">
        <v>27</v>
      </c>
      <c r="U416" t="s">
        <v>621</v>
      </c>
    </row>
    <row r="417" spans="1:21" x14ac:dyDescent="0.3">
      <c r="A417">
        <v>855</v>
      </c>
      <c r="B417" t="s">
        <v>67</v>
      </c>
      <c r="C417" t="s">
        <v>24</v>
      </c>
      <c r="J417" t="s">
        <v>618</v>
      </c>
      <c r="K417" s="3">
        <v>1400</v>
      </c>
      <c r="L417" s="2">
        <v>0</v>
      </c>
      <c r="M417" s="2">
        <f t="shared" si="12"/>
        <v>1400</v>
      </c>
      <c r="N417" s="2">
        <f t="shared" si="13"/>
        <v>70</v>
      </c>
      <c r="O417" s="7">
        <v>70</v>
      </c>
      <c r="P417" s="2">
        <v>0</v>
      </c>
      <c r="Q417" s="2">
        <v>1470</v>
      </c>
      <c r="R417" t="s">
        <v>31</v>
      </c>
      <c r="T417" t="s">
        <v>27</v>
      </c>
      <c r="U417" t="s">
        <v>619</v>
      </c>
    </row>
    <row r="418" spans="1:21" x14ac:dyDescent="0.3">
      <c r="A418">
        <v>856</v>
      </c>
      <c r="B418" t="s">
        <v>614</v>
      </c>
      <c r="C418" t="s">
        <v>24</v>
      </c>
      <c r="D418" t="s">
        <v>615</v>
      </c>
      <c r="J418" t="s">
        <v>616</v>
      </c>
      <c r="K418" s="3">
        <v>1330</v>
      </c>
      <c r="L418" s="2">
        <v>133</v>
      </c>
      <c r="M418" s="2">
        <f t="shared" si="12"/>
        <v>1197</v>
      </c>
      <c r="N418" s="2">
        <f t="shared" si="13"/>
        <v>59.85</v>
      </c>
      <c r="O418" s="7">
        <v>59.86</v>
      </c>
      <c r="P418" s="2">
        <v>0.14000000000000001</v>
      </c>
      <c r="Q418" s="2">
        <v>1257</v>
      </c>
      <c r="R418" t="s">
        <v>45</v>
      </c>
      <c r="T418" t="s">
        <v>27</v>
      </c>
      <c r="U418" t="s">
        <v>617</v>
      </c>
    </row>
    <row r="419" spans="1:21" x14ac:dyDescent="0.3">
      <c r="A419">
        <v>857</v>
      </c>
      <c r="B419" t="s">
        <v>53</v>
      </c>
      <c r="C419" t="s">
        <v>24</v>
      </c>
      <c r="J419" t="s">
        <v>612</v>
      </c>
      <c r="K419" s="3">
        <v>800</v>
      </c>
      <c r="L419" s="2">
        <v>80</v>
      </c>
      <c r="M419" s="2">
        <f t="shared" si="12"/>
        <v>720</v>
      </c>
      <c r="N419" s="2">
        <f t="shared" si="13"/>
        <v>36</v>
      </c>
      <c r="O419" s="7">
        <v>36</v>
      </c>
      <c r="P419" s="2">
        <v>0</v>
      </c>
      <c r="Q419" s="2">
        <v>756</v>
      </c>
      <c r="R419" t="s">
        <v>35</v>
      </c>
      <c r="T419" t="s">
        <v>27</v>
      </c>
      <c r="U419" t="s">
        <v>613</v>
      </c>
    </row>
    <row r="420" spans="1:21" x14ac:dyDescent="0.3">
      <c r="A420">
        <v>858</v>
      </c>
      <c r="B420" t="s">
        <v>50</v>
      </c>
      <c r="C420" t="s">
        <v>24</v>
      </c>
      <c r="J420" t="s">
        <v>1995</v>
      </c>
      <c r="K420" s="3">
        <v>4705</v>
      </c>
      <c r="L420" s="2">
        <v>470.5</v>
      </c>
      <c r="M420" s="2">
        <f t="shared" si="12"/>
        <v>4234.5</v>
      </c>
      <c r="N420" s="2">
        <f t="shared" si="13"/>
        <v>211.72500000000002</v>
      </c>
      <c r="O420" s="7">
        <v>211.72</v>
      </c>
      <c r="P420" s="2">
        <v>-0.22</v>
      </c>
      <c r="Q420" s="2">
        <v>4446</v>
      </c>
      <c r="R420" t="s">
        <v>31</v>
      </c>
      <c r="T420" t="s">
        <v>27</v>
      </c>
      <c r="U420" t="s">
        <v>611</v>
      </c>
    </row>
    <row r="421" spans="1:21" x14ac:dyDescent="0.3">
      <c r="A421">
        <v>859</v>
      </c>
      <c r="B421" t="s">
        <v>74</v>
      </c>
      <c r="C421" t="s">
        <v>24</v>
      </c>
      <c r="J421" t="s">
        <v>609</v>
      </c>
      <c r="K421" s="3">
        <v>1235</v>
      </c>
      <c r="L421" s="2">
        <v>0</v>
      </c>
      <c r="M421" s="2">
        <f t="shared" si="12"/>
        <v>1235</v>
      </c>
      <c r="N421" s="2">
        <f t="shared" si="13"/>
        <v>61.75</v>
      </c>
      <c r="O421" s="7">
        <v>61.76</v>
      </c>
      <c r="P421" s="2">
        <v>0.24</v>
      </c>
      <c r="Q421" s="2">
        <v>1297</v>
      </c>
      <c r="R421" t="s">
        <v>45</v>
      </c>
      <c r="T421" t="s">
        <v>27</v>
      </c>
      <c r="U421" t="s">
        <v>610</v>
      </c>
    </row>
    <row r="422" spans="1:21" x14ac:dyDescent="0.3">
      <c r="A422">
        <v>860</v>
      </c>
      <c r="B422" t="s">
        <v>23</v>
      </c>
      <c r="C422" t="s">
        <v>24</v>
      </c>
      <c r="J422" t="s">
        <v>607</v>
      </c>
      <c r="K422" s="3">
        <v>750</v>
      </c>
      <c r="L422" s="2">
        <v>0</v>
      </c>
      <c r="M422" s="2">
        <f t="shared" si="12"/>
        <v>750</v>
      </c>
      <c r="N422" s="2">
        <f t="shared" si="13"/>
        <v>37.5</v>
      </c>
      <c r="O422" s="7">
        <v>37.5</v>
      </c>
      <c r="P422" s="2">
        <v>0.5</v>
      </c>
      <c r="Q422" s="2">
        <v>788</v>
      </c>
      <c r="R422" t="s">
        <v>31</v>
      </c>
      <c r="T422" t="s">
        <v>27</v>
      </c>
      <c r="U422" t="s">
        <v>608</v>
      </c>
    </row>
    <row r="423" spans="1:21" x14ac:dyDescent="0.3">
      <c r="A423">
        <v>861</v>
      </c>
      <c r="B423" t="s">
        <v>64</v>
      </c>
      <c r="C423" t="s">
        <v>24</v>
      </c>
      <c r="J423" t="s">
        <v>605</v>
      </c>
      <c r="K423" s="3">
        <v>1265</v>
      </c>
      <c r="L423" s="2">
        <v>0</v>
      </c>
      <c r="M423" s="2">
        <f t="shared" si="12"/>
        <v>1265</v>
      </c>
      <c r="N423" s="2">
        <f t="shared" si="13"/>
        <v>63.25</v>
      </c>
      <c r="O423" s="7">
        <v>63.26</v>
      </c>
      <c r="P423" s="2">
        <v>-0.26</v>
      </c>
      <c r="Q423" s="2">
        <v>1328</v>
      </c>
      <c r="R423" t="s">
        <v>45</v>
      </c>
      <c r="T423" t="s">
        <v>27</v>
      </c>
      <c r="U423" t="s">
        <v>606</v>
      </c>
    </row>
    <row r="424" spans="1:21" x14ac:dyDescent="0.3">
      <c r="A424">
        <v>862</v>
      </c>
      <c r="B424" t="s">
        <v>96</v>
      </c>
      <c r="C424" t="s">
        <v>24</v>
      </c>
      <c r="J424" t="s">
        <v>603</v>
      </c>
      <c r="K424" s="3">
        <v>425</v>
      </c>
      <c r="L424" s="2">
        <v>0</v>
      </c>
      <c r="M424" s="2">
        <f t="shared" si="12"/>
        <v>425</v>
      </c>
      <c r="N424" s="2">
        <f t="shared" si="13"/>
        <v>21.25</v>
      </c>
      <c r="O424" s="7">
        <v>21.26</v>
      </c>
      <c r="P424" s="2">
        <v>-0.26</v>
      </c>
      <c r="Q424" s="2">
        <v>446</v>
      </c>
      <c r="R424" t="s">
        <v>35</v>
      </c>
      <c r="T424" t="s">
        <v>27</v>
      </c>
      <c r="U424" t="s">
        <v>604</v>
      </c>
    </row>
    <row r="425" spans="1:21" x14ac:dyDescent="0.3">
      <c r="A425">
        <v>863</v>
      </c>
      <c r="B425" t="s">
        <v>599</v>
      </c>
      <c r="C425" t="s">
        <v>24</v>
      </c>
      <c r="D425" t="s">
        <v>600</v>
      </c>
      <c r="J425" t="s">
        <v>601</v>
      </c>
      <c r="K425" s="3">
        <v>1185</v>
      </c>
      <c r="L425" s="2">
        <v>0</v>
      </c>
      <c r="M425" s="2">
        <f t="shared" si="12"/>
        <v>1185</v>
      </c>
      <c r="N425" s="2">
        <f t="shared" si="13"/>
        <v>59.25</v>
      </c>
      <c r="O425" s="7">
        <v>56.26</v>
      </c>
      <c r="P425" s="2">
        <v>-0.26</v>
      </c>
      <c r="Q425" s="2">
        <v>1241</v>
      </c>
      <c r="R425" t="s">
        <v>35</v>
      </c>
      <c r="T425" t="s">
        <v>27</v>
      </c>
      <c r="U425" t="s">
        <v>602</v>
      </c>
    </row>
    <row r="426" spans="1:21" x14ac:dyDescent="0.3">
      <c r="A426">
        <v>864</v>
      </c>
      <c r="B426" t="s">
        <v>47</v>
      </c>
      <c r="C426" t="s">
        <v>24</v>
      </c>
      <c r="J426" t="s">
        <v>597</v>
      </c>
      <c r="K426" s="3">
        <v>1280</v>
      </c>
      <c r="L426" s="2">
        <v>0</v>
      </c>
      <c r="M426" s="2">
        <f t="shared" si="12"/>
        <v>1280</v>
      </c>
      <c r="N426" s="2">
        <f t="shared" si="13"/>
        <v>64</v>
      </c>
      <c r="O426" s="7">
        <v>64</v>
      </c>
      <c r="P426" s="2">
        <v>0</v>
      </c>
      <c r="Q426" s="2">
        <v>1344</v>
      </c>
      <c r="R426" t="s">
        <v>31</v>
      </c>
      <c r="T426" t="s">
        <v>27</v>
      </c>
      <c r="U426" t="s">
        <v>598</v>
      </c>
    </row>
    <row r="427" spans="1:21" x14ac:dyDescent="0.3">
      <c r="A427">
        <v>865</v>
      </c>
      <c r="B427" t="s">
        <v>594</v>
      </c>
      <c r="C427" t="s">
        <v>24</v>
      </c>
      <c r="J427" t="s">
        <v>595</v>
      </c>
      <c r="K427" s="3">
        <v>500</v>
      </c>
      <c r="L427" s="2">
        <v>0</v>
      </c>
      <c r="M427" s="2">
        <f t="shared" si="12"/>
        <v>500</v>
      </c>
      <c r="N427" s="2">
        <f t="shared" si="13"/>
        <v>25</v>
      </c>
      <c r="O427" s="7">
        <v>25</v>
      </c>
      <c r="P427" s="2">
        <v>0</v>
      </c>
      <c r="Q427" s="2">
        <v>525</v>
      </c>
      <c r="R427" t="s">
        <v>31</v>
      </c>
      <c r="T427" t="s">
        <v>27</v>
      </c>
      <c r="U427" t="s">
        <v>596</v>
      </c>
    </row>
    <row r="428" spans="1:21" x14ac:dyDescent="0.3">
      <c r="A428">
        <v>866</v>
      </c>
      <c r="B428" t="s">
        <v>23</v>
      </c>
      <c r="C428" t="s">
        <v>24</v>
      </c>
      <c r="J428" t="s">
        <v>592</v>
      </c>
      <c r="K428" s="3">
        <v>745</v>
      </c>
      <c r="L428" s="2">
        <v>0</v>
      </c>
      <c r="M428" s="2">
        <f t="shared" si="12"/>
        <v>745</v>
      </c>
      <c r="N428" s="2">
        <f t="shared" si="13"/>
        <v>37.25</v>
      </c>
      <c r="O428" s="7">
        <v>37.26</v>
      </c>
      <c r="P428" s="2">
        <v>-0.26</v>
      </c>
      <c r="Q428" s="2">
        <v>782</v>
      </c>
      <c r="R428" t="s">
        <v>45</v>
      </c>
      <c r="T428" t="s">
        <v>27</v>
      </c>
      <c r="U428" t="s">
        <v>593</v>
      </c>
    </row>
    <row r="429" spans="1:21" x14ac:dyDescent="0.3">
      <c r="A429">
        <v>867</v>
      </c>
      <c r="B429" t="s">
        <v>64</v>
      </c>
      <c r="C429" t="s">
        <v>24</v>
      </c>
      <c r="J429" t="s">
        <v>590</v>
      </c>
      <c r="K429" s="3">
        <v>950</v>
      </c>
      <c r="L429" s="2">
        <v>95</v>
      </c>
      <c r="M429" s="2">
        <f t="shared" si="12"/>
        <v>855</v>
      </c>
      <c r="N429" s="2">
        <f t="shared" si="13"/>
        <v>42.75</v>
      </c>
      <c r="O429" s="7">
        <v>42.76</v>
      </c>
      <c r="P429" s="2">
        <v>0.24</v>
      </c>
      <c r="Q429" s="2">
        <v>898</v>
      </c>
      <c r="R429" t="s">
        <v>31</v>
      </c>
      <c r="T429" t="s">
        <v>27</v>
      </c>
      <c r="U429" t="s">
        <v>591</v>
      </c>
    </row>
    <row r="430" spans="1:21" x14ac:dyDescent="0.3">
      <c r="A430">
        <v>868</v>
      </c>
      <c r="B430" t="s">
        <v>587</v>
      </c>
      <c r="C430" t="s">
        <v>24</v>
      </c>
      <c r="J430" t="s">
        <v>588</v>
      </c>
      <c r="K430" s="3">
        <v>1020</v>
      </c>
      <c r="L430" s="2">
        <v>0</v>
      </c>
      <c r="M430" s="2">
        <f t="shared" si="12"/>
        <v>1020</v>
      </c>
      <c r="N430" s="2">
        <f t="shared" si="13"/>
        <v>51</v>
      </c>
      <c r="O430" s="7">
        <v>51</v>
      </c>
      <c r="P430" s="2">
        <v>0</v>
      </c>
      <c r="Q430" s="2">
        <v>1071</v>
      </c>
      <c r="R430" t="s">
        <v>45</v>
      </c>
      <c r="T430" t="s">
        <v>27</v>
      </c>
      <c r="U430" t="s">
        <v>589</v>
      </c>
    </row>
    <row r="431" spans="1:21" x14ac:dyDescent="0.3">
      <c r="A431">
        <v>869</v>
      </c>
      <c r="B431" t="s">
        <v>50</v>
      </c>
      <c r="C431" t="s">
        <v>24</v>
      </c>
      <c r="J431" t="s">
        <v>585</v>
      </c>
      <c r="K431" s="3">
        <v>1785</v>
      </c>
      <c r="L431" s="2">
        <v>178.5</v>
      </c>
      <c r="M431" s="2">
        <f t="shared" si="12"/>
        <v>1606.5</v>
      </c>
      <c r="N431" s="2">
        <f t="shared" si="13"/>
        <v>80.325000000000003</v>
      </c>
      <c r="O431" s="7">
        <v>80.319999999999993</v>
      </c>
      <c r="P431" s="2">
        <v>0.18</v>
      </c>
      <c r="Q431" s="2">
        <v>1687</v>
      </c>
      <c r="R431" t="s">
        <v>45</v>
      </c>
      <c r="T431" t="s">
        <v>27</v>
      </c>
      <c r="U431" t="s">
        <v>586</v>
      </c>
    </row>
    <row r="432" spans="1:21" x14ac:dyDescent="0.3">
      <c r="A432">
        <v>870</v>
      </c>
      <c r="B432" t="s">
        <v>53</v>
      </c>
      <c r="C432" t="s">
        <v>24</v>
      </c>
      <c r="J432" t="s">
        <v>583</v>
      </c>
      <c r="K432" s="3">
        <v>1245</v>
      </c>
      <c r="L432" s="2">
        <v>124.5</v>
      </c>
      <c r="M432" s="2">
        <f t="shared" si="12"/>
        <v>1120.5</v>
      </c>
      <c r="N432" s="2">
        <f t="shared" si="13"/>
        <v>56.025000000000006</v>
      </c>
      <c r="O432" s="7">
        <v>56.02</v>
      </c>
      <c r="P432" s="2">
        <v>0.48</v>
      </c>
      <c r="Q432" s="2">
        <v>1177</v>
      </c>
      <c r="R432" t="s">
        <v>31</v>
      </c>
      <c r="T432" t="s">
        <v>27</v>
      </c>
      <c r="U432" t="s">
        <v>584</v>
      </c>
    </row>
    <row r="433" spans="1:21" x14ac:dyDescent="0.3">
      <c r="A433">
        <v>871</v>
      </c>
      <c r="B433" t="s">
        <v>23</v>
      </c>
      <c r="C433" t="s">
        <v>24</v>
      </c>
      <c r="J433" t="s">
        <v>581</v>
      </c>
      <c r="K433" s="3">
        <v>640</v>
      </c>
      <c r="L433" s="2">
        <v>0</v>
      </c>
      <c r="M433" s="2">
        <f t="shared" si="12"/>
        <v>640</v>
      </c>
      <c r="N433" s="2">
        <f t="shared" si="13"/>
        <v>32</v>
      </c>
      <c r="O433" s="7">
        <v>32</v>
      </c>
      <c r="P433" s="2">
        <v>0</v>
      </c>
      <c r="Q433" s="2">
        <v>672</v>
      </c>
      <c r="R433" t="s">
        <v>26</v>
      </c>
      <c r="T433" t="s">
        <v>27</v>
      </c>
      <c r="U433" t="s">
        <v>582</v>
      </c>
    </row>
    <row r="434" spans="1:21" x14ac:dyDescent="0.3">
      <c r="A434">
        <v>872</v>
      </c>
      <c r="B434" t="s">
        <v>578</v>
      </c>
      <c r="C434" t="s">
        <v>24</v>
      </c>
      <c r="J434" t="s">
        <v>579</v>
      </c>
      <c r="K434" s="3">
        <v>805</v>
      </c>
      <c r="L434" s="2">
        <v>0</v>
      </c>
      <c r="M434" s="2">
        <f t="shared" si="12"/>
        <v>805</v>
      </c>
      <c r="N434" s="2">
        <f t="shared" si="13"/>
        <v>40.25</v>
      </c>
      <c r="O434" s="7">
        <v>40.26</v>
      </c>
      <c r="P434" s="2">
        <v>-0.26</v>
      </c>
      <c r="Q434" s="2">
        <v>845</v>
      </c>
      <c r="R434" t="s">
        <v>45</v>
      </c>
      <c r="T434" t="s">
        <v>27</v>
      </c>
      <c r="U434" t="s">
        <v>580</v>
      </c>
    </row>
    <row r="435" spans="1:21" x14ac:dyDescent="0.3">
      <c r="A435">
        <v>873</v>
      </c>
      <c r="B435" t="s">
        <v>149</v>
      </c>
      <c r="C435" t="s">
        <v>24</v>
      </c>
      <c r="J435" t="s">
        <v>576</v>
      </c>
      <c r="K435" s="3">
        <v>600</v>
      </c>
      <c r="L435" s="2">
        <v>60</v>
      </c>
      <c r="M435" s="2">
        <f t="shared" si="12"/>
        <v>540</v>
      </c>
      <c r="N435" s="2">
        <f t="shared" si="13"/>
        <v>27</v>
      </c>
      <c r="O435" s="7">
        <v>27</v>
      </c>
      <c r="P435" s="2">
        <v>0</v>
      </c>
      <c r="Q435" s="2">
        <v>567</v>
      </c>
      <c r="R435" t="s">
        <v>31</v>
      </c>
      <c r="T435" t="s">
        <v>27</v>
      </c>
      <c r="U435" t="s">
        <v>577</v>
      </c>
    </row>
    <row r="436" spans="1:21" x14ac:dyDescent="0.3">
      <c r="A436">
        <v>874</v>
      </c>
      <c r="B436" t="s">
        <v>23</v>
      </c>
      <c r="C436" t="s">
        <v>24</v>
      </c>
      <c r="J436" t="s">
        <v>574</v>
      </c>
      <c r="K436" s="3">
        <v>660</v>
      </c>
      <c r="L436" s="2">
        <v>66</v>
      </c>
      <c r="M436" s="2">
        <f t="shared" si="12"/>
        <v>594</v>
      </c>
      <c r="N436" s="2">
        <f t="shared" si="13"/>
        <v>29.700000000000003</v>
      </c>
      <c r="O436" s="7">
        <v>29.7</v>
      </c>
      <c r="P436" s="2">
        <v>0.3</v>
      </c>
      <c r="Q436" s="2">
        <v>624</v>
      </c>
      <c r="R436" t="s">
        <v>45</v>
      </c>
      <c r="T436" t="s">
        <v>27</v>
      </c>
      <c r="U436" t="s">
        <v>575</v>
      </c>
    </row>
    <row r="437" spans="1:21" x14ac:dyDescent="0.3">
      <c r="A437">
        <v>875</v>
      </c>
      <c r="B437" t="s">
        <v>53</v>
      </c>
      <c r="C437" t="s">
        <v>24</v>
      </c>
      <c r="J437" t="s">
        <v>572</v>
      </c>
      <c r="K437" s="3">
        <v>720</v>
      </c>
      <c r="L437" s="2">
        <v>72</v>
      </c>
      <c r="M437" s="2">
        <f t="shared" si="12"/>
        <v>648</v>
      </c>
      <c r="N437" s="2">
        <f t="shared" si="13"/>
        <v>32.4</v>
      </c>
      <c r="O437" s="7">
        <v>32.4</v>
      </c>
      <c r="P437" s="2">
        <v>-0.4</v>
      </c>
      <c r="Q437" s="2">
        <v>680</v>
      </c>
      <c r="R437" t="s">
        <v>45</v>
      </c>
      <c r="T437" t="s">
        <v>27</v>
      </c>
      <c r="U437" t="s">
        <v>573</v>
      </c>
    </row>
    <row r="438" spans="1:21" x14ac:dyDescent="0.3">
      <c r="A438">
        <v>876</v>
      </c>
      <c r="B438" t="s">
        <v>74</v>
      </c>
      <c r="C438" t="s">
        <v>24</v>
      </c>
      <c r="J438" t="s">
        <v>570</v>
      </c>
      <c r="K438" s="3">
        <v>1940</v>
      </c>
      <c r="L438" s="2">
        <v>0</v>
      </c>
      <c r="M438" s="2">
        <f t="shared" si="12"/>
        <v>1940</v>
      </c>
      <c r="N438" s="2">
        <f t="shared" si="13"/>
        <v>97</v>
      </c>
      <c r="O438" s="7">
        <v>97</v>
      </c>
      <c r="P438" s="2">
        <v>0</v>
      </c>
      <c r="Q438" s="2">
        <v>2037</v>
      </c>
      <c r="R438" t="s">
        <v>45</v>
      </c>
      <c r="T438" t="s">
        <v>27</v>
      </c>
      <c r="U438" t="s">
        <v>571</v>
      </c>
    </row>
    <row r="439" spans="1:21" x14ac:dyDescent="0.3">
      <c r="A439">
        <v>877</v>
      </c>
      <c r="B439" t="s">
        <v>64</v>
      </c>
      <c r="C439" t="s">
        <v>24</v>
      </c>
      <c r="J439" t="s">
        <v>568</v>
      </c>
      <c r="K439" s="3">
        <v>615</v>
      </c>
      <c r="L439" s="2">
        <v>0</v>
      </c>
      <c r="M439" s="2">
        <f t="shared" si="12"/>
        <v>615</v>
      </c>
      <c r="N439" s="2">
        <f t="shared" si="13"/>
        <v>30.75</v>
      </c>
      <c r="O439" s="7">
        <v>30.76</v>
      </c>
      <c r="P439" s="2">
        <v>0.24</v>
      </c>
      <c r="Q439" s="2">
        <v>646</v>
      </c>
      <c r="R439" t="s">
        <v>45</v>
      </c>
      <c r="T439" t="s">
        <v>27</v>
      </c>
      <c r="U439" t="s">
        <v>569</v>
      </c>
    </row>
    <row r="440" spans="1:21" x14ac:dyDescent="0.3">
      <c r="A440">
        <v>878</v>
      </c>
      <c r="B440" t="s">
        <v>56</v>
      </c>
      <c r="C440" t="s">
        <v>24</v>
      </c>
      <c r="J440" t="s">
        <v>566</v>
      </c>
      <c r="K440" s="3">
        <v>2375</v>
      </c>
      <c r="L440" s="2">
        <v>0</v>
      </c>
      <c r="M440" s="2">
        <f t="shared" si="12"/>
        <v>2375</v>
      </c>
      <c r="N440" s="2">
        <f t="shared" si="13"/>
        <v>118.75</v>
      </c>
      <c r="O440" s="7">
        <v>118.76</v>
      </c>
      <c r="P440" s="2">
        <v>0.24</v>
      </c>
      <c r="Q440" s="2">
        <v>2494</v>
      </c>
      <c r="R440" t="s">
        <v>31</v>
      </c>
      <c r="T440" t="s">
        <v>27</v>
      </c>
      <c r="U440" t="s">
        <v>567</v>
      </c>
    </row>
    <row r="441" spans="1:21" x14ac:dyDescent="0.3">
      <c r="A441">
        <v>879</v>
      </c>
      <c r="B441" t="s">
        <v>564</v>
      </c>
      <c r="C441" t="s">
        <v>24</v>
      </c>
      <c r="J441" t="s">
        <v>353</v>
      </c>
      <c r="K441" s="3">
        <v>295</v>
      </c>
      <c r="L441" s="2">
        <v>0</v>
      </c>
      <c r="M441" s="2">
        <f t="shared" si="12"/>
        <v>295</v>
      </c>
      <c r="N441" s="2">
        <f t="shared" si="13"/>
        <v>14.75</v>
      </c>
      <c r="O441" s="7">
        <v>14.76</v>
      </c>
      <c r="P441" s="2">
        <v>0.24</v>
      </c>
      <c r="Q441" s="2">
        <v>310</v>
      </c>
      <c r="R441" t="s">
        <v>26</v>
      </c>
      <c r="T441" t="s">
        <v>27</v>
      </c>
      <c r="U441" t="s">
        <v>565</v>
      </c>
    </row>
    <row r="442" spans="1:21" x14ac:dyDescent="0.3">
      <c r="A442">
        <v>880</v>
      </c>
      <c r="B442" t="s">
        <v>67</v>
      </c>
      <c r="C442" t="s">
        <v>24</v>
      </c>
      <c r="J442" t="s">
        <v>562</v>
      </c>
      <c r="K442" s="3">
        <v>2355</v>
      </c>
      <c r="L442" s="2">
        <v>0</v>
      </c>
      <c r="M442" s="2">
        <f t="shared" si="12"/>
        <v>2355</v>
      </c>
      <c r="N442" s="2">
        <f t="shared" si="13"/>
        <v>117.75</v>
      </c>
      <c r="O442" s="7">
        <v>117.76</v>
      </c>
      <c r="P442" s="2">
        <v>0.24</v>
      </c>
      <c r="Q442" s="2">
        <v>2473</v>
      </c>
      <c r="R442" t="s">
        <v>26</v>
      </c>
      <c r="T442" t="s">
        <v>27</v>
      </c>
      <c r="U442" t="s">
        <v>563</v>
      </c>
    </row>
    <row r="443" spans="1:21" x14ac:dyDescent="0.3">
      <c r="A443">
        <v>881</v>
      </c>
      <c r="B443" t="s">
        <v>50</v>
      </c>
      <c r="C443" t="s">
        <v>24</v>
      </c>
      <c r="J443" t="s">
        <v>560</v>
      </c>
      <c r="K443" s="3">
        <v>1635</v>
      </c>
      <c r="L443" s="2">
        <v>163.5</v>
      </c>
      <c r="M443" s="2">
        <f t="shared" si="12"/>
        <v>1471.5</v>
      </c>
      <c r="N443" s="2">
        <f t="shared" si="13"/>
        <v>73.575000000000003</v>
      </c>
      <c r="O443" s="7">
        <v>73.58</v>
      </c>
      <c r="P443" s="2">
        <v>-0.08</v>
      </c>
      <c r="Q443" s="2">
        <v>1545</v>
      </c>
      <c r="R443" t="s">
        <v>35</v>
      </c>
      <c r="T443" t="s">
        <v>27</v>
      </c>
      <c r="U443" t="s">
        <v>561</v>
      </c>
    </row>
    <row r="444" spans="1:21" x14ac:dyDescent="0.3">
      <c r="A444">
        <v>882</v>
      </c>
      <c r="B444" t="s">
        <v>558</v>
      </c>
      <c r="C444" t="s">
        <v>24</v>
      </c>
      <c r="J444" t="s">
        <v>129</v>
      </c>
      <c r="K444" s="3">
        <v>325</v>
      </c>
      <c r="L444" s="2">
        <v>32.5</v>
      </c>
      <c r="M444" s="2">
        <f t="shared" si="12"/>
        <v>292.5</v>
      </c>
      <c r="N444" s="2">
        <f t="shared" si="13"/>
        <v>14.625</v>
      </c>
      <c r="O444" s="7">
        <v>14.62</v>
      </c>
      <c r="P444" s="2">
        <v>-0.12</v>
      </c>
      <c r="Q444" s="2">
        <v>307</v>
      </c>
      <c r="R444" t="s">
        <v>45</v>
      </c>
      <c r="T444" t="s">
        <v>27</v>
      </c>
      <c r="U444" t="s">
        <v>559</v>
      </c>
    </row>
    <row r="445" spans="1:21" x14ac:dyDescent="0.3">
      <c r="A445">
        <v>883</v>
      </c>
      <c r="B445" t="s">
        <v>555</v>
      </c>
      <c r="C445" t="s">
        <v>24</v>
      </c>
      <c r="J445" t="s">
        <v>556</v>
      </c>
      <c r="K445" s="3">
        <v>480</v>
      </c>
      <c r="L445" s="2">
        <v>0</v>
      </c>
      <c r="M445" s="2">
        <f t="shared" si="12"/>
        <v>480</v>
      </c>
      <c r="N445" s="2">
        <f t="shared" si="13"/>
        <v>24</v>
      </c>
      <c r="O445" s="7">
        <v>24</v>
      </c>
      <c r="P445" s="2">
        <v>0</v>
      </c>
      <c r="Q445" s="2">
        <v>504</v>
      </c>
      <c r="R445" t="s">
        <v>35</v>
      </c>
      <c r="T445" t="s">
        <v>27</v>
      </c>
      <c r="U445" t="s">
        <v>557</v>
      </c>
    </row>
    <row r="446" spans="1:21" x14ac:dyDescent="0.3">
      <c r="A446">
        <v>884</v>
      </c>
      <c r="B446" t="s">
        <v>552</v>
      </c>
      <c r="C446" t="s">
        <v>24</v>
      </c>
      <c r="J446" t="s">
        <v>553</v>
      </c>
      <c r="K446" s="3">
        <v>1050</v>
      </c>
      <c r="L446" s="2">
        <v>105</v>
      </c>
      <c r="M446" s="2">
        <f t="shared" si="12"/>
        <v>945</v>
      </c>
      <c r="N446" s="2">
        <f t="shared" si="13"/>
        <v>47.25</v>
      </c>
      <c r="O446" s="7">
        <v>47.26</v>
      </c>
      <c r="P446" s="2">
        <v>-0.26</v>
      </c>
      <c r="Q446" s="2">
        <v>992</v>
      </c>
      <c r="R446" t="s">
        <v>45</v>
      </c>
      <c r="T446" t="s">
        <v>27</v>
      </c>
      <c r="U446" t="s">
        <v>554</v>
      </c>
    </row>
    <row r="447" spans="1:21" x14ac:dyDescent="0.3">
      <c r="A447">
        <v>885</v>
      </c>
      <c r="B447" t="s">
        <v>548</v>
      </c>
      <c r="C447" t="s">
        <v>24</v>
      </c>
      <c r="D447" t="s">
        <v>549</v>
      </c>
      <c r="J447" t="s">
        <v>550</v>
      </c>
      <c r="K447" s="3">
        <v>1035</v>
      </c>
      <c r="L447" s="2">
        <v>103.5</v>
      </c>
      <c r="M447" s="2">
        <f t="shared" si="12"/>
        <v>931.5</v>
      </c>
      <c r="N447" s="2">
        <f t="shared" si="13"/>
        <v>46.575000000000003</v>
      </c>
      <c r="O447" s="7">
        <v>46.58</v>
      </c>
      <c r="P447" s="2">
        <v>-0.08</v>
      </c>
      <c r="Q447" s="2">
        <v>978</v>
      </c>
      <c r="R447" t="s">
        <v>45</v>
      </c>
      <c r="T447" t="s">
        <v>27</v>
      </c>
      <c r="U447" t="s">
        <v>551</v>
      </c>
    </row>
    <row r="448" spans="1:21" x14ac:dyDescent="0.3">
      <c r="A448">
        <v>886</v>
      </c>
      <c r="B448" t="s">
        <v>545</v>
      </c>
      <c r="C448" t="s">
        <v>24</v>
      </c>
      <c r="J448" t="s">
        <v>546</v>
      </c>
      <c r="K448" s="3">
        <v>1485</v>
      </c>
      <c r="L448" s="2">
        <v>148.5</v>
      </c>
      <c r="M448" s="2">
        <f t="shared" si="12"/>
        <v>1336.5</v>
      </c>
      <c r="N448" s="2">
        <f t="shared" si="13"/>
        <v>66.825000000000003</v>
      </c>
      <c r="O448" s="7">
        <v>66.819999999999993</v>
      </c>
      <c r="P448" s="2">
        <v>-0.32</v>
      </c>
      <c r="Q448" s="2">
        <v>1403</v>
      </c>
      <c r="R448" t="s">
        <v>45</v>
      </c>
      <c r="T448" t="s">
        <v>27</v>
      </c>
      <c r="U448" t="s">
        <v>547</v>
      </c>
    </row>
    <row r="449" spans="1:21" x14ac:dyDescent="0.3">
      <c r="A449">
        <v>887</v>
      </c>
      <c r="B449" t="s">
        <v>542</v>
      </c>
      <c r="C449" t="s">
        <v>24</v>
      </c>
      <c r="J449" t="s">
        <v>543</v>
      </c>
      <c r="K449" s="3">
        <v>1100</v>
      </c>
      <c r="L449" s="2">
        <v>110</v>
      </c>
      <c r="M449" s="2">
        <f t="shared" si="12"/>
        <v>990</v>
      </c>
      <c r="N449" s="2">
        <f t="shared" si="13"/>
        <v>49.5</v>
      </c>
      <c r="O449" s="7">
        <v>49.5</v>
      </c>
      <c r="P449" s="2">
        <v>0.5</v>
      </c>
      <c r="Q449" s="2">
        <v>1040</v>
      </c>
      <c r="R449" t="s">
        <v>35</v>
      </c>
      <c r="T449" t="s">
        <v>27</v>
      </c>
      <c r="U449" t="s">
        <v>544</v>
      </c>
    </row>
    <row r="450" spans="1:21" x14ac:dyDescent="0.3">
      <c r="A450">
        <v>888</v>
      </c>
      <c r="B450" t="s">
        <v>23</v>
      </c>
      <c r="C450" t="s">
        <v>24</v>
      </c>
      <c r="J450" t="s">
        <v>540</v>
      </c>
      <c r="K450" s="3">
        <v>1230</v>
      </c>
      <c r="L450" s="2">
        <v>0</v>
      </c>
      <c r="M450" s="2">
        <f t="shared" si="12"/>
        <v>1230</v>
      </c>
      <c r="N450" s="2">
        <f t="shared" si="13"/>
        <v>61.5</v>
      </c>
      <c r="O450" s="7">
        <v>61.5</v>
      </c>
      <c r="P450" s="2">
        <v>0.5</v>
      </c>
      <c r="Q450" s="2">
        <v>1292</v>
      </c>
      <c r="R450" t="s">
        <v>26</v>
      </c>
      <c r="T450" t="s">
        <v>27</v>
      </c>
      <c r="U450" t="s">
        <v>541</v>
      </c>
    </row>
    <row r="451" spans="1:21" x14ac:dyDescent="0.3">
      <c r="A451">
        <v>889</v>
      </c>
      <c r="B451" t="s">
        <v>536</v>
      </c>
      <c r="C451" t="s">
        <v>24</v>
      </c>
      <c r="D451" t="s">
        <v>537</v>
      </c>
      <c r="J451" t="s">
        <v>538</v>
      </c>
      <c r="K451" s="3">
        <v>940</v>
      </c>
      <c r="L451" s="2">
        <v>0</v>
      </c>
      <c r="M451" s="2">
        <f t="shared" si="12"/>
        <v>940</v>
      </c>
      <c r="N451" s="2">
        <f t="shared" si="13"/>
        <v>47</v>
      </c>
      <c r="O451" s="7">
        <v>47</v>
      </c>
      <c r="P451" s="2">
        <v>0</v>
      </c>
      <c r="Q451" s="2">
        <v>987</v>
      </c>
      <c r="R451" t="s">
        <v>31</v>
      </c>
      <c r="T451" t="s">
        <v>27</v>
      </c>
      <c r="U451" t="s">
        <v>539</v>
      </c>
    </row>
    <row r="452" spans="1:21" x14ac:dyDescent="0.3">
      <c r="A452">
        <v>890</v>
      </c>
      <c r="B452" t="s">
        <v>533</v>
      </c>
      <c r="C452" t="s">
        <v>24</v>
      </c>
      <c r="J452" t="s">
        <v>534</v>
      </c>
      <c r="K452" s="3">
        <v>1420</v>
      </c>
      <c r="L452" s="2">
        <v>142</v>
      </c>
      <c r="M452" s="2">
        <f t="shared" si="12"/>
        <v>1278</v>
      </c>
      <c r="N452" s="2">
        <f t="shared" si="13"/>
        <v>63.900000000000006</v>
      </c>
      <c r="O452" s="7">
        <v>63.9</v>
      </c>
      <c r="P452" s="2">
        <v>0.1</v>
      </c>
      <c r="Q452" s="2">
        <v>1342</v>
      </c>
      <c r="R452" t="s">
        <v>31</v>
      </c>
      <c r="T452" t="s">
        <v>27</v>
      </c>
      <c r="U452" t="s">
        <v>535</v>
      </c>
    </row>
    <row r="453" spans="1:21" x14ac:dyDescent="0.3">
      <c r="A453">
        <v>891</v>
      </c>
      <c r="B453" t="s">
        <v>530</v>
      </c>
      <c r="C453" t="s">
        <v>24</v>
      </c>
      <c r="J453" t="s">
        <v>531</v>
      </c>
      <c r="K453" s="3">
        <v>360</v>
      </c>
      <c r="L453" s="2">
        <v>0</v>
      </c>
      <c r="M453" s="2">
        <f t="shared" si="12"/>
        <v>360</v>
      </c>
      <c r="N453" s="2">
        <f t="shared" si="13"/>
        <v>18</v>
      </c>
      <c r="O453" s="7">
        <v>18</v>
      </c>
      <c r="P453" s="2">
        <v>0</v>
      </c>
      <c r="Q453" s="2">
        <v>378</v>
      </c>
      <c r="R453" t="s">
        <v>45</v>
      </c>
      <c r="T453" t="s">
        <v>27</v>
      </c>
      <c r="U453" t="s">
        <v>532</v>
      </c>
    </row>
    <row r="454" spans="1:21" x14ac:dyDescent="0.3">
      <c r="A454">
        <v>892</v>
      </c>
      <c r="B454" t="s">
        <v>50</v>
      </c>
      <c r="C454" t="s">
        <v>24</v>
      </c>
      <c r="J454" t="s">
        <v>528</v>
      </c>
      <c r="K454" s="3">
        <v>1360</v>
      </c>
      <c r="L454" s="2">
        <v>136</v>
      </c>
      <c r="M454" s="2">
        <f t="shared" si="12"/>
        <v>1224</v>
      </c>
      <c r="N454" s="2">
        <f t="shared" si="13"/>
        <v>61.2</v>
      </c>
      <c r="O454" s="7">
        <v>61.2</v>
      </c>
      <c r="P454" s="2">
        <v>-0.2</v>
      </c>
      <c r="Q454" s="2">
        <v>1285</v>
      </c>
      <c r="R454" t="s">
        <v>31</v>
      </c>
      <c r="T454" t="s">
        <v>27</v>
      </c>
      <c r="U454" t="s">
        <v>529</v>
      </c>
    </row>
    <row r="455" spans="1:21" x14ac:dyDescent="0.3">
      <c r="A455">
        <v>893</v>
      </c>
      <c r="B455" t="s">
        <v>526</v>
      </c>
      <c r="C455" t="s">
        <v>24</v>
      </c>
      <c r="J455" t="s">
        <v>1994</v>
      </c>
      <c r="K455" s="3">
        <v>2814</v>
      </c>
      <c r="L455" s="2">
        <v>0</v>
      </c>
      <c r="M455" s="2">
        <f t="shared" ref="M455:M518" si="14">K455-L455</f>
        <v>2814</v>
      </c>
      <c r="N455" s="2">
        <f t="shared" ref="N455:N518" si="15">M455*5%</f>
        <v>140.70000000000002</v>
      </c>
      <c r="O455" s="7">
        <v>140.69999999999999</v>
      </c>
      <c r="P455" s="2">
        <v>0.3</v>
      </c>
      <c r="Q455" s="2">
        <v>2955</v>
      </c>
      <c r="R455" t="s">
        <v>35</v>
      </c>
      <c r="T455" t="s">
        <v>27</v>
      </c>
      <c r="U455" t="s">
        <v>527</v>
      </c>
    </row>
    <row r="456" spans="1:21" x14ac:dyDescent="0.3">
      <c r="A456">
        <v>894</v>
      </c>
      <c r="B456" t="s">
        <v>523</v>
      </c>
      <c r="C456" t="s">
        <v>24</v>
      </c>
      <c r="J456" t="s">
        <v>524</v>
      </c>
      <c r="K456" s="3">
        <v>425</v>
      </c>
      <c r="L456" s="2">
        <v>0</v>
      </c>
      <c r="M456" s="2">
        <f t="shared" si="14"/>
        <v>425</v>
      </c>
      <c r="N456" s="2">
        <f t="shared" si="15"/>
        <v>21.25</v>
      </c>
      <c r="O456" s="7">
        <v>21.26</v>
      </c>
      <c r="P456" s="2">
        <v>-0.26</v>
      </c>
      <c r="Q456" s="2">
        <v>446</v>
      </c>
      <c r="R456" t="s">
        <v>31</v>
      </c>
      <c r="T456" t="s">
        <v>27</v>
      </c>
      <c r="U456" t="s">
        <v>525</v>
      </c>
    </row>
    <row r="457" spans="1:21" x14ac:dyDescent="0.3">
      <c r="A457">
        <v>895</v>
      </c>
      <c r="B457" t="s">
        <v>53</v>
      </c>
      <c r="C457" t="s">
        <v>24</v>
      </c>
      <c r="J457" t="s">
        <v>521</v>
      </c>
      <c r="K457" s="3">
        <v>425</v>
      </c>
      <c r="L457" s="2">
        <v>0</v>
      </c>
      <c r="M457" s="2">
        <f t="shared" si="14"/>
        <v>425</v>
      </c>
      <c r="N457" s="2">
        <f t="shared" si="15"/>
        <v>21.25</v>
      </c>
      <c r="O457" s="7">
        <v>21.26</v>
      </c>
      <c r="P457" s="2">
        <v>-0.26</v>
      </c>
      <c r="Q457" s="2">
        <v>446</v>
      </c>
      <c r="R457" t="s">
        <v>45</v>
      </c>
      <c r="T457" t="s">
        <v>27</v>
      </c>
      <c r="U457" t="s">
        <v>522</v>
      </c>
    </row>
    <row r="458" spans="1:21" x14ac:dyDescent="0.3">
      <c r="A458">
        <v>896</v>
      </c>
      <c r="B458" t="s">
        <v>519</v>
      </c>
      <c r="C458" t="s">
        <v>24</v>
      </c>
      <c r="J458" t="s">
        <v>135</v>
      </c>
      <c r="K458" s="3">
        <v>165</v>
      </c>
      <c r="L458" s="2">
        <v>0</v>
      </c>
      <c r="M458" s="2">
        <f t="shared" si="14"/>
        <v>165</v>
      </c>
      <c r="N458" s="2">
        <f t="shared" si="15"/>
        <v>8.25</v>
      </c>
      <c r="O458" s="7">
        <v>8.26</v>
      </c>
      <c r="P458" s="2">
        <v>-0.26</v>
      </c>
      <c r="Q458" s="2">
        <v>173</v>
      </c>
      <c r="R458" t="s">
        <v>45</v>
      </c>
      <c r="T458" t="s">
        <v>27</v>
      </c>
      <c r="U458" t="s">
        <v>520</v>
      </c>
    </row>
    <row r="459" spans="1:21" x14ac:dyDescent="0.3">
      <c r="A459">
        <v>897</v>
      </c>
      <c r="B459" t="s">
        <v>516</v>
      </c>
      <c r="C459" t="s">
        <v>24</v>
      </c>
      <c r="J459" t="s">
        <v>517</v>
      </c>
      <c r="K459" s="3">
        <v>355</v>
      </c>
      <c r="L459" s="2">
        <v>0</v>
      </c>
      <c r="M459" s="2">
        <f t="shared" si="14"/>
        <v>355</v>
      </c>
      <c r="N459" s="2">
        <f t="shared" si="15"/>
        <v>17.75</v>
      </c>
      <c r="O459" s="7">
        <v>17.760000000000002</v>
      </c>
      <c r="P459" s="2">
        <v>0.24</v>
      </c>
      <c r="Q459" s="2">
        <v>373</v>
      </c>
      <c r="R459" t="s">
        <v>31</v>
      </c>
      <c r="T459" t="s">
        <v>27</v>
      </c>
      <c r="U459" t="s">
        <v>518</v>
      </c>
    </row>
    <row r="460" spans="1:21" x14ac:dyDescent="0.3">
      <c r="A460">
        <v>898</v>
      </c>
      <c r="B460" t="s">
        <v>259</v>
      </c>
      <c r="C460" t="s">
        <v>24</v>
      </c>
      <c r="J460" t="s">
        <v>514</v>
      </c>
      <c r="K460" s="3">
        <v>700</v>
      </c>
      <c r="L460" s="2">
        <v>70</v>
      </c>
      <c r="M460" s="2">
        <f t="shared" si="14"/>
        <v>630</v>
      </c>
      <c r="N460" s="2">
        <f t="shared" si="15"/>
        <v>31.5</v>
      </c>
      <c r="O460" s="7">
        <v>31.5</v>
      </c>
      <c r="P460" s="2">
        <v>0.5</v>
      </c>
      <c r="Q460" s="2">
        <v>662</v>
      </c>
      <c r="R460" t="s">
        <v>45</v>
      </c>
      <c r="T460" t="s">
        <v>27</v>
      </c>
      <c r="U460" t="s">
        <v>515</v>
      </c>
    </row>
    <row r="461" spans="1:21" x14ac:dyDescent="0.3">
      <c r="A461">
        <v>899</v>
      </c>
      <c r="B461" t="s">
        <v>512</v>
      </c>
      <c r="C461" t="s">
        <v>24</v>
      </c>
      <c r="J461" t="s">
        <v>106</v>
      </c>
      <c r="K461" s="3">
        <v>250</v>
      </c>
      <c r="L461" s="2">
        <v>0</v>
      </c>
      <c r="M461" s="2">
        <f t="shared" si="14"/>
        <v>250</v>
      </c>
      <c r="N461" s="2">
        <f t="shared" si="15"/>
        <v>12.5</v>
      </c>
      <c r="O461" s="7">
        <v>12.5</v>
      </c>
      <c r="P461" s="2">
        <v>0.5</v>
      </c>
      <c r="Q461" s="2">
        <v>263</v>
      </c>
      <c r="R461" t="s">
        <v>45</v>
      </c>
      <c r="T461" t="s">
        <v>27</v>
      </c>
      <c r="U461" t="s">
        <v>513</v>
      </c>
    </row>
    <row r="462" spans="1:21" x14ac:dyDescent="0.3">
      <c r="A462">
        <v>900</v>
      </c>
      <c r="B462" t="s">
        <v>509</v>
      </c>
      <c r="C462" t="s">
        <v>24</v>
      </c>
      <c r="J462" t="s">
        <v>510</v>
      </c>
      <c r="K462" s="3">
        <v>630</v>
      </c>
      <c r="L462" s="2">
        <v>0</v>
      </c>
      <c r="M462" s="2">
        <f t="shared" si="14"/>
        <v>630</v>
      </c>
      <c r="N462" s="2">
        <f t="shared" si="15"/>
        <v>31.5</v>
      </c>
      <c r="O462" s="7">
        <v>31.5</v>
      </c>
      <c r="P462" s="2">
        <v>0.5</v>
      </c>
      <c r="Q462" s="2">
        <v>662</v>
      </c>
      <c r="R462" t="s">
        <v>45</v>
      </c>
      <c r="T462" t="s">
        <v>27</v>
      </c>
      <c r="U462" t="s">
        <v>511</v>
      </c>
    </row>
    <row r="463" spans="1:21" x14ac:dyDescent="0.3">
      <c r="A463">
        <v>901</v>
      </c>
      <c r="B463" t="s">
        <v>507</v>
      </c>
      <c r="C463" t="s">
        <v>24</v>
      </c>
      <c r="J463" t="s">
        <v>471</v>
      </c>
      <c r="K463" s="3">
        <v>695</v>
      </c>
      <c r="L463" s="2">
        <v>0</v>
      </c>
      <c r="M463" s="2">
        <f t="shared" si="14"/>
        <v>695</v>
      </c>
      <c r="N463" s="2">
        <f t="shared" si="15"/>
        <v>34.75</v>
      </c>
      <c r="O463" s="7">
        <v>34.76</v>
      </c>
      <c r="P463" s="2">
        <v>0.24</v>
      </c>
      <c r="Q463" s="2">
        <v>730</v>
      </c>
      <c r="R463" t="s">
        <v>26</v>
      </c>
      <c r="T463" t="s">
        <v>27</v>
      </c>
      <c r="U463" t="s">
        <v>508</v>
      </c>
    </row>
    <row r="464" spans="1:21" x14ac:dyDescent="0.3">
      <c r="A464">
        <v>902</v>
      </c>
      <c r="B464" t="s">
        <v>504</v>
      </c>
      <c r="C464" t="s">
        <v>24</v>
      </c>
      <c r="J464" t="s">
        <v>505</v>
      </c>
      <c r="K464" s="3">
        <v>320</v>
      </c>
      <c r="L464" s="2">
        <v>0</v>
      </c>
      <c r="M464" s="2">
        <f t="shared" si="14"/>
        <v>320</v>
      </c>
      <c r="N464" s="2">
        <f t="shared" si="15"/>
        <v>16</v>
      </c>
      <c r="O464" s="7">
        <v>16</v>
      </c>
      <c r="P464" s="2">
        <v>0</v>
      </c>
      <c r="Q464" s="2">
        <v>336</v>
      </c>
      <c r="R464" t="s">
        <v>45</v>
      </c>
      <c r="T464" t="s">
        <v>27</v>
      </c>
      <c r="U464" t="s">
        <v>506</v>
      </c>
    </row>
    <row r="465" spans="1:21" x14ac:dyDescent="0.3">
      <c r="A465">
        <v>903</v>
      </c>
      <c r="B465" t="s">
        <v>501</v>
      </c>
      <c r="C465" t="s">
        <v>24</v>
      </c>
      <c r="J465" t="s">
        <v>502</v>
      </c>
      <c r="K465" s="3">
        <v>1290</v>
      </c>
      <c r="L465" s="2">
        <v>0</v>
      </c>
      <c r="M465" s="2">
        <f t="shared" si="14"/>
        <v>1290</v>
      </c>
      <c r="N465" s="2">
        <f t="shared" si="15"/>
        <v>64.5</v>
      </c>
      <c r="O465" s="7">
        <v>64.5</v>
      </c>
      <c r="P465" s="2">
        <v>0.5</v>
      </c>
      <c r="Q465" s="2">
        <v>1355</v>
      </c>
      <c r="R465" t="s">
        <v>45</v>
      </c>
      <c r="T465" t="s">
        <v>27</v>
      </c>
      <c r="U465" t="s">
        <v>503</v>
      </c>
    </row>
    <row r="466" spans="1:21" x14ac:dyDescent="0.3">
      <c r="A466">
        <v>904</v>
      </c>
      <c r="B466" t="s">
        <v>499</v>
      </c>
      <c r="C466" t="s">
        <v>24</v>
      </c>
      <c r="J466" t="s">
        <v>106</v>
      </c>
      <c r="K466" s="3">
        <v>250</v>
      </c>
      <c r="L466" s="2">
        <v>0</v>
      </c>
      <c r="M466" s="2">
        <f t="shared" si="14"/>
        <v>250</v>
      </c>
      <c r="N466" s="2">
        <f t="shared" si="15"/>
        <v>12.5</v>
      </c>
      <c r="O466" s="7">
        <v>12.5</v>
      </c>
      <c r="P466" s="2">
        <v>0.5</v>
      </c>
      <c r="Q466" s="2">
        <v>263</v>
      </c>
      <c r="R466" t="s">
        <v>45</v>
      </c>
      <c r="T466" t="s">
        <v>27</v>
      </c>
      <c r="U466" t="s">
        <v>500</v>
      </c>
    </row>
    <row r="467" spans="1:21" x14ac:dyDescent="0.3">
      <c r="A467">
        <v>905</v>
      </c>
      <c r="B467" t="s">
        <v>23</v>
      </c>
      <c r="C467" t="s">
        <v>24</v>
      </c>
      <c r="J467" t="s">
        <v>497</v>
      </c>
      <c r="K467" s="3">
        <v>925</v>
      </c>
      <c r="L467" s="2">
        <v>0</v>
      </c>
      <c r="M467" s="2">
        <f t="shared" si="14"/>
        <v>925</v>
      </c>
      <c r="N467" s="2">
        <f t="shared" si="15"/>
        <v>46.25</v>
      </c>
      <c r="O467" s="7">
        <v>43.26</v>
      </c>
      <c r="P467" s="2">
        <v>-0.26</v>
      </c>
      <c r="Q467" s="2">
        <v>968</v>
      </c>
      <c r="R467" t="s">
        <v>26</v>
      </c>
      <c r="T467" t="s">
        <v>27</v>
      </c>
      <c r="U467" t="s">
        <v>498</v>
      </c>
    </row>
    <row r="468" spans="1:21" x14ac:dyDescent="0.3">
      <c r="A468">
        <v>906</v>
      </c>
      <c r="B468" t="s">
        <v>64</v>
      </c>
      <c r="C468" t="s">
        <v>24</v>
      </c>
      <c r="J468" t="s">
        <v>495</v>
      </c>
      <c r="K468" s="3">
        <v>2330</v>
      </c>
      <c r="L468" s="2">
        <v>349.5</v>
      </c>
      <c r="M468" s="2">
        <f t="shared" si="14"/>
        <v>1980.5</v>
      </c>
      <c r="N468" s="2">
        <f t="shared" si="15"/>
        <v>99.025000000000006</v>
      </c>
      <c r="O468" s="7">
        <v>99.02</v>
      </c>
      <c r="P468" s="2">
        <v>0.48</v>
      </c>
      <c r="Q468" s="2">
        <v>2080</v>
      </c>
      <c r="R468" t="s">
        <v>45</v>
      </c>
      <c r="T468" t="s">
        <v>27</v>
      </c>
      <c r="U468" t="s">
        <v>496</v>
      </c>
    </row>
    <row r="469" spans="1:21" x14ac:dyDescent="0.3">
      <c r="A469">
        <v>907</v>
      </c>
      <c r="B469" t="s">
        <v>67</v>
      </c>
      <c r="C469" t="s">
        <v>24</v>
      </c>
      <c r="J469" t="s">
        <v>328</v>
      </c>
      <c r="K469" s="3">
        <v>345</v>
      </c>
      <c r="L469" s="2">
        <v>0</v>
      </c>
      <c r="M469" s="2">
        <f t="shared" si="14"/>
        <v>345</v>
      </c>
      <c r="N469" s="2">
        <f t="shared" si="15"/>
        <v>17.25</v>
      </c>
      <c r="O469" s="7">
        <v>17.260000000000002</v>
      </c>
      <c r="P469" s="2">
        <v>-0.26</v>
      </c>
      <c r="Q469" s="2">
        <v>362</v>
      </c>
      <c r="R469" t="s">
        <v>45</v>
      </c>
      <c r="T469" t="s">
        <v>27</v>
      </c>
      <c r="U469" t="s">
        <v>494</v>
      </c>
    </row>
    <row r="470" spans="1:21" x14ac:dyDescent="0.3">
      <c r="A470">
        <v>908</v>
      </c>
      <c r="B470" t="s">
        <v>491</v>
      </c>
      <c r="C470" t="s">
        <v>24</v>
      </c>
      <c r="J470" t="s">
        <v>492</v>
      </c>
      <c r="K470" s="3">
        <v>190</v>
      </c>
      <c r="L470" s="2">
        <v>0</v>
      </c>
      <c r="M470" s="2">
        <f t="shared" si="14"/>
        <v>190</v>
      </c>
      <c r="N470" s="2">
        <f t="shared" si="15"/>
        <v>9.5</v>
      </c>
      <c r="O470" s="7">
        <v>9.5</v>
      </c>
      <c r="P470" s="2">
        <v>0.5</v>
      </c>
      <c r="Q470" s="2">
        <v>200</v>
      </c>
      <c r="R470" t="s">
        <v>45</v>
      </c>
      <c r="T470" t="s">
        <v>27</v>
      </c>
      <c r="U470" t="s">
        <v>493</v>
      </c>
    </row>
    <row r="471" spans="1:21" x14ac:dyDescent="0.3">
      <c r="A471">
        <v>909</v>
      </c>
      <c r="B471" t="s">
        <v>488</v>
      </c>
      <c r="C471" t="s">
        <v>24</v>
      </c>
      <c r="J471" t="s">
        <v>489</v>
      </c>
      <c r="K471" s="3">
        <v>315</v>
      </c>
      <c r="L471" s="2">
        <v>0</v>
      </c>
      <c r="M471" s="2">
        <f t="shared" si="14"/>
        <v>315</v>
      </c>
      <c r="N471" s="2">
        <f t="shared" si="15"/>
        <v>15.75</v>
      </c>
      <c r="O471" s="7">
        <v>15.76</v>
      </c>
      <c r="P471" s="2">
        <v>0.24</v>
      </c>
      <c r="Q471" s="2">
        <v>331</v>
      </c>
      <c r="R471" t="s">
        <v>31</v>
      </c>
      <c r="T471" t="s">
        <v>27</v>
      </c>
      <c r="U471" t="s">
        <v>490</v>
      </c>
    </row>
    <row r="472" spans="1:21" x14ac:dyDescent="0.3">
      <c r="A472">
        <v>910</v>
      </c>
      <c r="B472" t="s">
        <v>53</v>
      </c>
      <c r="C472" t="s">
        <v>24</v>
      </c>
      <c r="J472" t="s">
        <v>486</v>
      </c>
      <c r="K472" s="3">
        <v>1910</v>
      </c>
      <c r="L472" s="2">
        <v>191</v>
      </c>
      <c r="M472" s="2">
        <f t="shared" si="14"/>
        <v>1719</v>
      </c>
      <c r="N472" s="2">
        <f t="shared" si="15"/>
        <v>85.95</v>
      </c>
      <c r="O472" s="7">
        <v>85.96</v>
      </c>
      <c r="P472" s="2">
        <v>0.04</v>
      </c>
      <c r="Q472" s="2">
        <v>1805</v>
      </c>
      <c r="R472" t="s">
        <v>35</v>
      </c>
      <c r="T472" t="s">
        <v>27</v>
      </c>
      <c r="U472" t="s">
        <v>487</v>
      </c>
    </row>
    <row r="473" spans="1:21" x14ac:dyDescent="0.3">
      <c r="A473">
        <v>911</v>
      </c>
      <c r="B473" t="s">
        <v>482</v>
      </c>
      <c r="C473" t="s">
        <v>24</v>
      </c>
      <c r="D473" t="s">
        <v>483</v>
      </c>
      <c r="E473">
        <v>9536971573</v>
      </c>
      <c r="J473" t="s">
        <v>484</v>
      </c>
      <c r="K473" s="3">
        <v>2750</v>
      </c>
      <c r="L473" s="2">
        <v>0</v>
      </c>
      <c r="M473" s="2">
        <f t="shared" si="14"/>
        <v>2750</v>
      </c>
      <c r="N473" s="2">
        <f t="shared" si="15"/>
        <v>137.5</v>
      </c>
      <c r="O473" s="7">
        <v>137.5</v>
      </c>
      <c r="P473" s="2">
        <v>0.5</v>
      </c>
      <c r="Q473" s="2">
        <v>2888</v>
      </c>
      <c r="R473" t="s">
        <v>31</v>
      </c>
      <c r="T473" t="s">
        <v>27</v>
      </c>
      <c r="U473" t="s">
        <v>485</v>
      </c>
    </row>
    <row r="474" spans="1:21" x14ac:dyDescent="0.3">
      <c r="A474">
        <v>912</v>
      </c>
      <c r="B474" t="s">
        <v>478</v>
      </c>
      <c r="C474" t="s">
        <v>24</v>
      </c>
      <c r="D474" t="s">
        <v>479</v>
      </c>
      <c r="J474" t="s">
        <v>480</v>
      </c>
      <c r="K474" s="3">
        <v>0</v>
      </c>
      <c r="L474" s="2">
        <v>0</v>
      </c>
      <c r="M474" s="2">
        <f t="shared" si="14"/>
        <v>0</v>
      </c>
      <c r="N474" s="2">
        <f t="shared" si="15"/>
        <v>0</v>
      </c>
      <c r="O474" s="7">
        <v>0</v>
      </c>
      <c r="P474" s="2">
        <v>0</v>
      </c>
      <c r="Q474" s="2">
        <v>0</v>
      </c>
      <c r="R474" t="s">
        <v>35</v>
      </c>
      <c r="T474" t="s">
        <v>27</v>
      </c>
      <c r="U474" t="s">
        <v>481</v>
      </c>
    </row>
    <row r="475" spans="1:21" x14ac:dyDescent="0.3">
      <c r="A475">
        <v>913</v>
      </c>
      <c r="B475" t="s">
        <v>37</v>
      </c>
      <c r="C475" t="s">
        <v>24</v>
      </c>
      <c r="J475" t="s">
        <v>106</v>
      </c>
      <c r="K475" s="3">
        <v>0</v>
      </c>
      <c r="L475" s="2">
        <v>0</v>
      </c>
      <c r="M475" s="2">
        <f t="shared" si="14"/>
        <v>0</v>
      </c>
      <c r="N475" s="2">
        <f t="shared" si="15"/>
        <v>0</v>
      </c>
      <c r="O475" s="7">
        <v>0</v>
      </c>
      <c r="P475" s="2">
        <v>0</v>
      </c>
      <c r="Q475" s="2">
        <v>0</v>
      </c>
      <c r="R475" t="s">
        <v>35</v>
      </c>
      <c r="T475" t="s">
        <v>27</v>
      </c>
      <c r="U475" t="s">
        <v>477</v>
      </c>
    </row>
    <row r="476" spans="1:21" x14ac:dyDescent="0.3">
      <c r="A476">
        <v>914</v>
      </c>
      <c r="B476" t="s">
        <v>473</v>
      </c>
      <c r="C476" t="s">
        <v>24</v>
      </c>
      <c r="D476" t="s">
        <v>474</v>
      </c>
      <c r="J476" t="s">
        <v>475</v>
      </c>
      <c r="K476" s="3">
        <v>0</v>
      </c>
      <c r="L476" s="2">
        <v>0</v>
      </c>
      <c r="M476" s="2">
        <f t="shared" si="14"/>
        <v>0</v>
      </c>
      <c r="N476" s="2">
        <f t="shared" si="15"/>
        <v>0</v>
      </c>
      <c r="O476" s="7">
        <v>0</v>
      </c>
      <c r="P476" s="2">
        <v>0</v>
      </c>
      <c r="Q476" s="2">
        <v>0</v>
      </c>
      <c r="R476" t="s">
        <v>35</v>
      </c>
      <c r="T476" t="s">
        <v>27</v>
      </c>
      <c r="U476" t="s">
        <v>476</v>
      </c>
    </row>
    <row r="477" spans="1:21" x14ac:dyDescent="0.3">
      <c r="A477">
        <v>915</v>
      </c>
      <c r="B477" t="s">
        <v>470</v>
      </c>
      <c r="C477" t="s">
        <v>24</v>
      </c>
      <c r="J477" t="s">
        <v>471</v>
      </c>
      <c r="K477" s="3">
        <v>0</v>
      </c>
      <c r="L477" s="2">
        <v>0</v>
      </c>
      <c r="M477" s="2">
        <f t="shared" si="14"/>
        <v>0</v>
      </c>
      <c r="N477" s="2">
        <f t="shared" si="15"/>
        <v>0</v>
      </c>
      <c r="O477" s="7">
        <v>0</v>
      </c>
      <c r="P477" s="2">
        <v>0</v>
      </c>
      <c r="Q477" s="2">
        <v>0</v>
      </c>
      <c r="R477" t="s">
        <v>35</v>
      </c>
      <c r="T477" t="s">
        <v>27</v>
      </c>
      <c r="U477" t="s">
        <v>472</v>
      </c>
    </row>
    <row r="478" spans="1:21" x14ac:dyDescent="0.3">
      <c r="A478">
        <v>916</v>
      </c>
      <c r="B478" t="s">
        <v>50</v>
      </c>
      <c r="C478" t="s">
        <v>24</v>
      </c>
      <c r="J478" t="s">
        <v>264</v>
      </c>
      <c r="K478" s="3">
        <v>169</v>
      </c>
      <c r="L478" s="2">
        <v>0</v>
      </c>
      <c r="M478" s="2">
        <f t="shared" si="14"/>
        <v>169</v>
      </c>
      <c r="N478" s="2">
        <f t="shared" si="15"/>
        <v>8.4500000000000011</v>
      </c>
      <c r="O478" s="7">
        <v>30.42</v>
      </c>
      <c r="P478" s="2">
        <v>-0.42</v>
      </c>
      <c r="Q478" s="2">
        <v>199</v>
      </c>
      <c r="R478" t="s">
        <v>45</v>
      </c>
      <c r="T478" t="s">
        <v>27</v>
      </c>
      <c r="U478" t="s">
        <v>469</v>
      </c>
    </row>
    <row r="479" spans="1:21" x14ac:dyDescent="0.3">
      <c r="A479">
        <v>917</v>
      </c>
      <c r="B479" t="s">
        <v>23</v>
      </c>
      <c r="C479" t="s">
        <v>24</v>
      </c>
      <c r="J479" t="s">
        <v>467</v>
      </c>
      <c r="K479" s="3">
        <v>860</v>
      </c>
      <c r="L479" s="2">
        <v>0</v>
      </c>
      <c r="M479" s="2">
        <f t="shared" si="14"/>
        <v>860</v>
      </c>
      <c r="N479" s="2">
        <f t="shared" si="15"/>
        <v>43</v>
      </c>
      <c r="O479" s="7">
        <v>43</v>
      </c>
      <c r="P479" s="2">
        <v>0</v>
      </c>
      <c r="Q479" s="2">
        <v>903</v>
      </c>
      <c r="R479" t="s">
        <v>45</v>
      </c>
      <c r="T479" t="s">
        <v>27</v>
      </c>
      <c r="U479" t="s">
        <v>468</v>
      </c>
    </row>
    <row r="480" spans="1:21" x14ac:dyDescent="0.3">
      <c r="A480">
        <v>918</v>
      </c>
      <c r="B480" t="s">
        <v>50</v>
      </c>
      <c r="C480" t="s">
        <v>24</v>
      </c>
      <c r="J480" t="s">
        <v>465</v>
      </c>
      <c r="K480" s="3">
        <v>1565</v>
      </c>
      <c r="L480" s="2">
        <v>0</v>
      </c>
      <c r="M480" s="2">
        <f t="shared" si="14"/>
        <v>1565</v>
      </c>
      <c r="N480" s="2">
        <f t="shared" si="15"/>
        <v>78.25</v>
      </c>
      <c r="O480" s="7">
        <v>78.260000000000005</v>
      </c>
      <c r="P480" s="2">
        <v>-0.26</v>
      </c>
      <c r="Q480" s="2">
        <v>1643</v>
      </c>
      <c r="R480" t="s">
        <v>31</v>
      </c>
      <c r="T480" t="s">
        <v>27</v>
      </c>
      <c r="U480" t="s">
        <v>466</v>
      </c>
    </row>
    <row r="481" spans="1:21" x14ac:dyDescent="0.3">
      <c r="A481">
        <v>919</v>
      </c>
      <c r="B481" t="s">
        <v>149</v>
      </c>
      <c r="C481" t="s">
        <v>24</v>
      </c>
      <c r="J481" t="s">
        <v>463</v>
      </c>
      <c r="K481" s="3">
        <v>570</v>
      </c>
      <c r="L481" s="2">
        <v>0</v>
      </c>
      <c r="M481" s="2">
        <f t="shared" si="14"/>
        <v>570</v>
      </c>
      <c r="N481" s="2">
        <f t="shared" si="15"/>
        <v>28.5</v>
      </c>
      <c r="O481" s="7">
        <v>28.5</v>
      </c>
      <c r="P481" s="2">
        <v>0.5</v>
      </c>
      <c r="Q481" s="2">
        <v>599</v>
      </c>
      <c r="R481" t="s">
        <v>45</v>
      </c>
      <c r="T481" t="s">
        <v>27</v>
      </c>
      <c r="U481" t="s">
        <v>464</v>
      </c>
    </row>
    <row r="482" spans="1:21" x14ac:dyDescent="0.3">
      <c r="A482">
        <v>920</v>
      </c>
      <c r="B482" t="s">
        <v>61</v>
      </c>
      <c r="C482" t="s">
        <v>24</v>
      </c>
      <c r="J482" t="s">
        <v>461</v>
      </c>
      <c r="K482" s="3">
        <v>1375</v>
      </c>
      <c r="L482" s="2">
        <v>0</v>
      </c>
      <c r="M482" s="2">
        <f t="shared" si="14"/>
        <v>1375</v>
      </c>
      <c r="N482" s="2">
        <f t="shared" si="15"/>
        <v>68.75</v>
      </c>
      <c r="O482" s="7">
        <v>68.760000000000005</v>
      </c>
      <c r="P482" s="2">
        <v>0.24</v>
      </c>
      <c r="Q482" s="2">
        <v>1444</v>
      </c>
      <c r="R482" t="s">
        <v>45</v>
      </c>
      <c r="T482" t="s">
        <v>27</v>
      </c>
      <c r="U482" t="s">
        <v>462</v>
      </c>
    </row>
    <row r="483" spans="1:21" x14ac:dyDescent="0.3">
      <c r="A483">
        <v>921</v>
      </c>
      <c r="B483" t="s">
        <v>74</v>
      </c>
      <c r="C483" t="s">
        <v>24</v>
      </c>
      <c r="J483" t="s">
        <v>459</v>
      </c>
      <c r="K483" s="3">
        <v>1665</v>
      </c>
      <c r="L483" s="2">
        <v>0</v>
      </c>
      <c r="M483" s="2">
        <f t="shared" si="14"/>
        <v>1665</v>
      </c>
      <c r="N483" s="2">
        <f t="shared" si="15"/>
        <v>83.25</v>
      </c>
      <c r="O483" s="7">
        <v>83.26</v>
      </c>
      <c r="P483" s="2">
        <v>-0.26</v>
      </c>
      <c r="Q483" s="2">
        <v>1748</v>
      </c>
      <c r="R483" t="s">
        <v>45</v>
      </c>
      <c r="T483" t="s">
        <v>27</v>
      </c>
      <c r="U483" t="s">
        <v>460</v>
      </c>
    </row>
    <row r="484" spans="1:21" x14ac:dyDescent="0.3">
      <c r="A484">
        <v>922</v>
      </c>
      <c r="B484" t="s">
        <v>64</v>
      </c>
      <c r="C484" t="s">
        <v>24</v>
      </c>
      <c r="J484" t="s">
        <v>457</v>
      </c>
      <c r="K484" s="3">
        <v>1385</v>
      </c>
      <c r="L484" s="2">
        <v>0</v>
      </c>
      <c r="M484" s="2">
        <f t="shared" si="14"/>
        <v>1385</v>
      </c>
      <c r="N484" s="2">
        <f t="shared" si="15"/>
        <v>69.25</v>
      </c>
      <c r="O484" s="7">
        <v>69.260000000000005</v>
      </c>
      <c r="P484" s="2">
        <v>-0.26</v>
      </c>
      <c r="Q484" s="2">
        <v>1454</v>
      </c>
      <c r="R484" t="s">
        <v>45</v>
      </c>
      <c r="T484" t="s">
        <v>27</v>
      </c>
      <c r="U484" t="s">
        <v>458</v>
      </c>
    </row>
    <row r="485" spans="1:21" x14ac:dyDescent="0.3">
      <c r="A485">
        <v>923</v>
      </c>
      <c r="B485" t="s">
        <v>23</v>
      </c>
      <c r="C485" t="s">
        <v>24</v>
      </c>
      <c r="J485" t="s">
        <v>455</v>
      </c>
      <c r="K485" s="3">
        <v>1259</v>
      </c>
      <c r="L485" s="2">
        <v>0</v>
      </c>
      <c r="M485" s="2">
        <f t="shared" si="14"/>
        <v>1259</v>
      </c>
      <c r="N485" s="2">
        <f t="shared" si="15"/>
        <v>62.95</v>
      </c>
      <c r="O485" s="7">
        <v>59.96</v>
      </c>
      <c r="P485" s="2">
        <v>0.04</v>
      </c>
      <c r="Q485" s="2">
        <v>1319</v>
      </c>
      <c r="R485" t="s">
        <v>45</v>
      </c>
      <c r="T485" t="s">
        <v>27</v>
      </c>
      <c r="U485" t="s">
        <v>456</v>
      </c>
    </row>
    <row r="486" spans="1:21" x14ac:dyDescent="0.3">
      <c r="A486">
        <v>924</v>
      </c>
      <c r="B486" t="s">
        <v>56</v>
      </c>
      <c r="C486" t="s">
        <v>24</v>
      </c>
      <c r="J486" t="s">
        <v>453</v>
      </c>
      <c r="K486" s="3">
        <v>720</v>
      </c>
      <c r="L486" s="2">
        <v>0</v>
      </c>
      <c r="M486" s="2">
        <f t="shared" si="14"/>
        <v>720</v>
      </c>
      <c r="N486" s="2">
        <f t="shared" si="15"/>
        <v>36</v>
      </c>
      <c r="O486" s="7">
        <v>36</v>
      </c>
      <c r="P486" s="2">
        <v>0</v>
      </c>
      <c r="Q486" s="2">
        <v>756</v>
      </c>
      <c r="R486" t="s">
        <v>45</v>
      </c>
      <c r="T486" t="s">
        <v>27</v>
      </c>
      <c r="U486" t="s">
        <v>454</v>
      </c>
    </row>
    <row r="487" spans="1:21" x14ac:dyDescent="0.3">
      <c r="A487">
        <v>925</v>
      </c>
      <c r="B487" t="s">
        <v>50</v>
      </c>
      <c r="C487" t="s">
        <v>24</v>
      </c>
      <c r="J487" t="s">
        <v>451</v>
      </c>
      <c r="K487" s="3">
        <v>1475</v>
      </c>
      <c r="L487" s="2">
        <v>221.25</v>
      </c>
      <c r="M487" s="2">
        <f t="shared" si="14"/>
        <v>1253.75</v>
      </c>
      <c r="N487" s="2">
        <f t="shared" si="15"/>
        <v>62.6875</v>
      </c>
      <c r="O487" s="7">
        <v>62.68</v>
      </c>
      <c r="P487" s="2">
        <v>-0.43</v>
      </c>
      <c r="Q487" s="2">
        <v>1316</v>
      </c>
      <c r="R487" t="s">
        <v>45</v>
      </c>
      <c r="T487" t="s">
        <v>27</v>
      </c>
      <c r="U487" t="s">
        <v>452</v>
      </c>
    </row>
    <row r="488" spans="1:21" x14ac:dyDescent="0.3">
      <c r="A488">
        <v>926</v>
      </c>
      <c r="B488" t="s">
        <v>74</v>
      </c>
      <c r="C488" t="s">
        <v>24</v>
      </c>
      <c r="J488" t="s">
        <v>97</v>
      </c>
      <c r="K488" s="3">
        <v>60</v>
      </c>
      <c r="L488" s="2">
        <v>0</v>
      </c>
      <c r="M488" s="2">
        <f t="shared" si="14"/>
        <v>60</v>
      </c>
      <c r="N488" s="2">
        <f t="shared" si="15"/>
        <v>3</v>
      </c>
      <c r="O488" s="7">
        <v>0</v>
      </c>
      <c r="P488" s="2">
        <v>0</v>
      </c>
      <c r="Q488" s="2">
        <v>60</v>
      </c>
      <c r="R488" t="s">
        <v>35</v>
      </c>
      <c r="T488" t="s">
        <v>27</v>
      </c>
      <c r="U488" t="s">
        <v>450</v>
      </c>
    </row>
    <row r="489" spans="1:21" x14ac:dyDescent="0.3">
      <c r="A489">
        <v>927</v>
      </c>
      <c r="B489" t="s">
        <v>56</v>
      </c>
      <c r="C489" t="s">
        <v>24</v>
      </c>
      <c r="J489" t="s">
        <v>448</v>
      </c>
      <c r="K489" s="3">
        <v>1090</v>
      </c>
      <c r="L489" s="2">
        <v>0</v>
      </c>
      <c r="M489" s="2">
        <f t="shared" si="14"/>
        <v>1090</v>
      </c>
      <c r="N489" s="2">
        <f t="shared" si="15"/>
        <v>54.5</v>
      </c>
      <c r="O489" s="7">
        <v>54.5</v>
      </c>
      <c r="P489" s="2">
        <v>0.5</v>
      </c>
      <c r="Q489" s="2">
        <v>1145</v>
      </c>
      <c r="R489" t="s">
        <v>45</v>
      </c>
      <c r="T489" t="s">
        <v>27</v>
      </c>
      <c r="U489" t="s">
        <v>449</v>
      </c>
    </row>
    <row r="490" spans="1:21" x14ac:dyDescent="0.3">
      <c r="A490">
        <v>928</v>
      </c>
      <c r="B490" t="s">
        <v>67</v>
      </c>
      <c r="C490" t="s">
        <v>24</v>
      </c>
      <c r="J490" t="s">
        <v>446</v>
      </c>
      <c r="K490" s="3">
        <v>1170</v>
      </c>
      <c r="L490" s="2">
        <v>0</v>
      </c>
      <c r="M490" s="2">
        <f t="shared" si="14"/>
        <v>1170</v>
      </c>
      <c r="N490" s="2">
        <f t="shared" si="15"/>
        <v>58.5</v>
      </c>
      <c r="O490" s="7">
        <v>58.5</v>
      </c>
      <c r="P490" s="2">
        <v>0.5</v>
      </c>
      <c r="Q490" s="2">
        <v>1229</v>
      </c>
      <c r="R490" t="s">
        <v>35</v>
      </c>
      <c r="T490" t="s">
        <v>27</v>
      </c>
      <c r="U490" t="s">
        <v>447</v>
      </c>
    </row>
    <row r="491" spans="1:21" x14ac:dyDescent="0.3">
      <c r="A491">
        <v>929</v>
      </c>
      <c r="B491" t="s">
        <v>53</v>
      </c>
      <c r="C491" t="s">
        <v>24</v>
      </c>
      <c r="J491" t="s">
        <v>444</v>
      </c>
      <c r="K491" s="3">
        <v>770</v>
      </c>
      <c r="L491" s="2">
        <v>0</v>
      </c>
      <c r="M491" s="2">
        <f t="shared" si="14"/>
        <v>770</v>
      </c>
      <c r="N491" s="2">
        <f t="shared" si="15"/>
        <v>38.5</v>
      </c>
      <c r="O491" s="7">
        <v>38.5</v>
      </c>
      <c r="P491" s="2">
        <v>0.5</v>
      </c>
      <c r="Q491" s="2">
        <v>809</v>
      </c>
      <c r="R491" t="s">
        <v>35</v>
      </c>
      <c r="T491" t="s">
        <v>27</v>
      </c>
      <c r="U491" t="s">
        <v>445</v>
      </c>
    </row>
    <row r="492" spans="1:21" x14ac:dyDescent="0.3">
      <c r="A492">
        <v>930</v>
      </c>
      <c r="B492" t="s">
        <v>23</v>
      </c>
      <c r="C492" t="s">
        <v>24</v>
      </c>
      <c r="J492" t="s">
        <v>442</v>
      </c>
      <c r="K492" s="3">
        <v>990</v>
      </c>
      <c r="L492" s="2">
        <v>0</v>
      </c>
      <c r="M492" s="2">
        <f t="shared" si="14"/>
        <v>990</v>
      </c>
      <c r="N492" s="2">
        <f t="shared" si="15"/>
        <v>49.5</v>
      </c>
      <c r="O492" s="7">
        <v>49.5</v>
      </c>
      <c r="P492" s="2">
        <v>0.5</v>
      </c>
      <c r="Q492" s="2">
        <v>1040</v>
      </c>
      <c r="R492" t="s">
        <v>35</v>
      </c>
      <c r="T492" t="s">
        <v>27</v>
      </c>
      <c r="U492" t="s">
        <v>443</v>
      </c>
    </row>
    <row r="493" spans="1:21" x14ac:dyDescent="0.3">
      <c r="A493">
        <v>931</v>
      </c>
      <c r="B493" t="s">
        <v>96</v>
      </c>
      <c r="C493" t="s">
        <v>24</v>
      </c>
      <c r="J493" t="s">
        <v>328</v>
      </c>
      <c r="K493" s="3">
        <v>345</v>
      </c>
      <c r="L493" s="2">
        <v>0</v>
      </c>
      <c r="M493" s="2">
        <f t="shared" si="14"/>
        <v>345</v>
      </c>
      <c r="N493" s="2">
        <f t="shared" si="15"/>
        <v>17.25</v>
      </c>
      <c r="O493" s="7">
        <v>17.260000000000002</v>
      </c>
      <c r="P493" s="2">
        <v>-0.26</v>
      </c>
      <c r="Q493" s="2">
        <v>362</v>
      </c>
      <c r="R493" t="s">
        <v>31</v>
      </c>
      <c r="T493" t="s">
        <v>27</v>
      </c>
      <c r="U493" t="s">
        <v>441</v>
      </c>
    </row>
    <row r="494" spans="1:21" x14ac:dyDescent="0.3">
      <c r="A494">
        <v>932</v>
      </c>
      <c r="B494" t="s">
        <v>64</v>
      </c>
      <c r="C494" t="s">
        <v>24</v>
      </c>
      <c r="J494" t="s">
        <v>439</v>
      </c>
      <c r="K494" s="3">
        <v>1735</v>
      </c>
      <c r="L494" s="2">
        <v>0</v>
      </c>
      <c r="M494" s="2">
        <f t="shared" si="14"/>
        <v>1735</v>
      </c>
      <c r="N494" s="2">
        <f t="shared" si="15"/>
        <v>86.75</v>
      </c>
      <c r="O494" s="7">
        <v>83.76</v>
      </c>
      <c r="P494" s="2">
        <v>0.24</v>
      </c>
      <c r="Q494" s="2">
        <v>1819</v>
      </c>
      <c r="R494" t="s">
        <v>26</v>
      </c>
      <c r="T494" t="s">
        <v>27</v>
      </c>
      <c r="U494" t="s">
        <v>440</v>
      </c>
    </row>
    <row r="495" spans="1:21" x14ac:dyDescent="0.3">
      <c r="A495">
        <v>933</v>
      </c>
      <c r="B495" t="s">
        <v>56</v>
      </c>
      <c r="C495" t="s">
        <v>24</v>
      </c>
      <c r="J495" t="s">
        <v>1993</v>
      </c>
      <c r="K495" s="3">
        <v>2100</v>
      </c>
      <c r="L495" s="2">
        <v>210</v>
      </c>
      <c r="M495" s="2">
        <f t="shared" si="14"/>
        <v>1890</v>
      </c>
      <c r="N495" s="2">
        <f t="shared" si="15"/>
        <v>94.5</v>
      </c>
      <c r="O495" s="7">
        <v>94.5</v>
      </c>
      <c r="P495" s="2">
        <v>0.5</v>
      </c>
      <c r="Q495" s="2">
        <v>1985</v>
      </c>
      <c r="R495" t="s">
        <v>31</v>
      </c>
      <c r="T495" t="s">
        <v>27</v>
      </c>
      <c r="U495" t="s">
        <v>438</v>
      </c>
    </row>
    <row r="496" spans="1:21" x14ac:dyDescent="0.3">
      <c r="A496">
        <v>934</v>
      </c>
      <c r="B496" t="s">
        <v>56</v>
      </c>
      <c r="C496" t="s">
        <v>24</v>
      </c>
      <c r="J496" t="s">
        <v>436</v>
      </c>
      <c r="K496" s="3">
        <v>1250</v>
      </c>
      <c r="L496" s="2">
        <v>0</v>
      </c>
      <c r="M496" s="2">
        <f t="shared" si="14"/>
        <v>1250</v>
      </c>
      <c r="N496" s="2">
        <f t="shared" si="15"/>
        <v>62.5</v>
      </c>
      <c r="O496" s="7">
        <v>62.5</v>
      </c>
      <c r="P496" s="2">
        <v>0.5</v>
      </c>
      <c r="Q496" s="2">
        <v>1313</v>
      </c>
      <c r="R496" t="s">
        <v>45</v>
      </c>
      <c r="T496" t="s">
        <v>27</v>
      </c>
      <c r="U496" t="s">
        <v>437</v>
      </c>
    </row>
    <row r="497" spans="1:21" x14ac:dyDescent="0.3">
      <c r="A497">
        <v>935</v>
      </c>
      <c r="B497" t="s">
        <v>433</v>
      </c>
      <c r="C497" t="s">
        <v>24</v>
      </c>
      <c r="J497" t="s">
        <v>434</v>
      </c>
      <c r="K497" s="3">
        <v>815</v>
      </c>
      <c r="L497" s="2">
        <v>0</v>
      </c>
      <c r="M497" s="2">
        <f t="shared" si="14"/>
        <v>815</v>
      </c>
      <c r="N497" s="2">
        <f t="shared" si="15"/>
        <v>40.75</v>
      </c>
      <c r="O497" s="7">
        <v>40.76</v>
      </c>
      <c r="P497" s="2">
        <v>0.24</v>
      </c>
      <c r="Q497" s="2">
        <v>856</v>
      </c>
      <c r="R497" t="s">
        <v>45</v>
      </c>
      <c r="T497" t="s">
        <v>27</v>
      </c>
      <c r="U497" t="s">
        <v>435</v>
      </c>
    </row>
    <row r="498" spans="1:21" x14ac:dyDescent="0.3">
      <c r="A498">
        <v>936</v>
      </c>
      <c r="B498" t="s">
        <v>281</v>
      </c>
      <c r="C498" t="s">
        <v>24</v>
      </c>
      <c r="J498" t="s">
        <v>282</v>
      </c>
      <c r="K498" s="3">
        <v>425</v>
      </c>
      <c r="L498" s="2">
        <v>0</v>
      </c>
      <c r="M498" s="2">
        <f t="shared" si="14"/>
        <v>425</v>
      </c>
      <c r="N498" s="2">
        <f t="shared" si="15"/>
        <v>21.25</v>
      </c>
      <c r="O498" s="7">
        <v>21.26</v>
      </c>
      <c r="P498" s="2">
        <v>-0.26</v>
      </c>
      <c r="Q498" s="2">
        <v>446</v>
      </c>
      <c r="R498" t="s">
        <v>45</v>
      </c>
      <c r="T498" t="s">
        <v>27</v>
      </c>
      <c r="U498" t="s">
        <v>432</v>
      </c>
    </row>
    <row r="499" spans="1:21" x14ac:dyDescent="0.3">
      <c r="A499">
        <v>937</v>
      </c>
      <c r="B499" t="s">
        <v>134</v>
      </c>
      <c r="C499" t="s">
        <v>24</v>
      </c>
      <c r="J499" t="s">
        <v>135</v>
      </c>
      <c r="K499" s="3">
        <v>165</v>
      </c>
      <c r="L499" s="2">
        <v>0</v>
      </c>
      <c r="M499" s="2">
        <f t="shared" si="14"/>
        <v>165</v>
      </c>
      <c r="N499" s="2">
        <f t="shared" si="15"/>
        <v>8.25</v>
      </c>
      <c r="O499" s="7">
        <v>8.26</v>
      </c>
      <c r="P499" s="2">
        <v>-0.26</v>
      </c>
      <c r="Q499" s="2">
        <v>173</v>
      </c>
      <c r="R499" t="s">
        <v>45</v>
      </c>
      <c r="T499" t="s">
        <v>27</v>
      </c>
      <c r="U499" t="s">
        <v>431</v>
      </c>
    </row>
    <row r="500" spans="1:21" x14ac:dyDescent="0.3">
      <c r="A500">
        <v>938</v>
      </c>
      <c r="B500" t="s">
        <v>428</v>
      </c>
      <c r="C500" t="s">
        <v>24</v>
      </c>
      <c r="J500" t="s">
        <v>429</v>
      </c>
      <c r="K500" s="3">
        <v>965</v>
      </c>
      <c r="L500" s="2">
        <v>96.5</v>
      </c>
      <c r="M500" s="2">
        <f t="shared" si="14"/>
        <v>868.5</v>
      </c>
      <c r="N500" s="2">
        <f t="shared" si="15"/>
        <v>43.425000000000004</v>
      </c>
      <c r="O500" s="7">
        <v>43.42</v>
      </c>
      <c r="P500" s="2">
        <v>0.08</v>
      </c>
      <c r="Q500" s="2">
        <v>912</v>
      </c>
      <c r="R500" t="s">
        <v>45</v>
      </c>
      <c r="T500" t="s">
        <v>27</v>
      </c>
      <c r="U500" t="s">
        <v>430</v>
      </c>
    </row>
    <row r="501" spans="1:21" x14ac:dyDescent="0.3">
      <c r="A501">
        <v>939</v>
      </c>
      <c r="B501" t="s">
        <v>424</v>
      </c>
      <c r="C501" t="s">
        <v>24</v>
      </c>
      <c r="D501" t="s">
        <v>425</v>
      </c>
      <c r="J501" t="s">
        <v>426</v>
      </c>
      <c r="K501" s="3">
        <v>1264</v>
      </c>
      <c r="L501" s="2">
        <v>0</v>
      </c>
      <c r="M501" s="2">
        <f t="shared" si="14"/>
        <v>1264</v>
      </c>
      <c r="N501" s="2">
        <f t="shared" si="15"/>
        <v>63.2</v>
      </c>
      <c r="O501" s="7">
        <v>94.92</v>
      </c>
      <c r="P501" s="2">
        <v>0.08</v>
      </c>
      <c r="Q501" s="2">
        <v>1359</v>
      </c>
      <c r="R501" t="s">
        <v>45</v>
      </c>
      <c r="T501" t="s">
        <v>27</v>
      </c>
      <c r="U501" t="s">
        <v>427</v>
      </c>
    </row>
    <row r="502" spans="1:21" x14ac:dyDescent="0.3">
      <c r="A502">
        <v>940</v>
      </c>
      <c r="B502" t="s">
        <v>421</v>
      </c>
      <c r="C502" t="s">
        <v>24</v>
      </c>
      <c r="J502" t="s">
        <v>422</v>
      </c>
      <c r="K502" s="3">
        <v>668</v>
      </c>
      <c r="L502" s="2">
        <v>0</v>
      </c>
      <c r="M502" s="2">
        <f t="shared" si="14"/>
        <v>668</v>
      </c>
      <c r="N502" s="2">
        <f t="shared" si="15"/>
        <v>33.4</v>
      </c>
      <c r="O502" s="7">
        <v>28.5</v>
      </c>
      <c r="P502" s="2">
        <v>0.5</v>
      </c>
      <c r="Q502" s="2">
        <v>697</v>
      </c>
      <c r="R502" t="s">
        <v>45</v>
      </c>
      <c r="T502" t="s">
        <v>27</v>
      </c>
      <c r="U502" t="s">
        <v>423</v>
      </c>
    </row>
    <row r="503" spans="1:21" x14ac:dyDescent="0.3">
      <c r="A503">
        <v>941</v>
      </c>
      <c r="B503" t="s">
        <v>56</v>
      </c>
      <c r="C503" t="s">
        <v>24</v>
      </c>
      <c r="J503" t="s">
        <v>419</v>
      </c>
      <c r="K503" s="3">
        <v>845</v>
      </c>
      <c r="L503" s="2">
        <v>0</v>
      </c>
      <c r="M503" s="2">
        <f t="shared" si="14"/>
        <v>845</v>
      </c>
      <c r="N503" s="2">
        <f t="shared" si="15"/>
        <v>42.25</v>
      </c>
      <c r="O503" s="7">
        <v>42.26</v>
      </c>
      <c r="P503" s="2">
        <v>-0.26</v>
      </c>
      <c r="Q503" s="2">
        <v>887</v>
      </c>
      <c r="R503" t="s">
        <v>31</v>
      </c>
      <c r="T503" t="s">
        <v>27</v>
      </c>
      <c r="U503" t="s">
        <v>420</v>
      </c>
    </row>
    <row r="504" spans="1:21" x14ac:dyDescent="0.3">
      <c r="A504">
        <v>942</v>
      </c>
      <c r="B504" t="s">
        <v>415</v>
      </c>
      <c r="C504" t="s">
        <v>24</v>
      </c>
      <c r="D504" t="s">
        <v>416</v>
      </c>
      <c r="J504" t="s">
        <v>417</v>
      </c>
      <c r="K504" s="3">
        <v>547</v>
      </c>
      <c r="L504" s="2">
        <v>0</v>
      </c>
      <c r="M504" s="2">
        <f t="shared" si="14"/>
        <v>547</v>
      </c>
      <c r="N504" s="2">
        <f t="shared" si="15"/>
        <v>27.35</v>
      </c>
      <c r="O504" s="7">
        <v>43.22</v>
      </c>
      <c r="P504" s="2">
        <v>-0.22</v>
      </c>
      <c r="Q504" s="2">
        <v>590</v>
      </c>
      <c r="R504" t="s">
        <v>45</v>
      </c>
      <c r="T504" t="s">
        <v>27</v>
      </c>
      <c r="U504" t="s">
        <v>418</v>
      </c>
    </row>
    <row r="505" spans="1:21" x14ac:dyDescent="0.3">
      <c r="A505">
        <v>943</v>
      </c>
      <c r="B505" t="s">
        <v>50</v>
      </c>
      <c r="C505" t="s">
        <v>24</v>
      </c>
      <c r="J505" t="s">
        <v>413</v>
      </c>
      <c r="K505" s="3">
        <v>122</v>
      </c>
      <c r="L505" s="2">
        <v>0</v>
      </c>
      <c r="M505" s="2">
        <f t="shared" si="14"/>
        <v>122</v>
      </c>
      <c r="N505" s="2">
        <f t="shared" si="15"/>
        <v>6.1000000000000005</v>
      </c>
      <c r="O505" s="7">
        <v>21.96</v>
      </c>
      <c r="P505" s="2">
        <v>0.04</v>
      </c>
      <c r="Q505" s="2">
        <v>144</v>
      </c>
      <c r="R505" t="s">
        <v>45</v>
      </c>
      <c r="T505" t="s">
        <v>27</v>
      </c>
      <c r="U505" t="s">
        <v>414</v>
      </c>
    </row>
    <row r="506" spans="1:21" x14ac:dyDescent="0.3">
      <c r="A506">
        <v>944</v>
      </c>
      <c r="B506" t="s">
        <v>50</v>
      </c>
      <c r="C506" t="s">
        <v>24</v>
      </c>
      <c r="J506" t="s">
        <v>411</v>
      </c>
      <c r="K506" s="3">
        <v>280</v>
      </c>
      <c r="L506" s="2">
        <v>0</v>
      </c>
      <c r="M506" s="2">
        <f t="shared" si="14"/>
        <v>280</v>
      </c>
      <c r="N506" s="2">
        <f t="shared" si="15"/>
        <v>14</v>
      </c>
      <c r="O506" s="7">
        <v>14</v>
      </c>
      <c r="P506" s="2">
        <v>0</v>
      </c>
      <c r="Q506" s="2">
        <v>294</v>
      </c>
      <c r="R506" t="s">
        <v>45</v>
      </c>
      <c r="T506" t="s">
        <v>27</v>
      </c>
      <c r="U506" t="s">
        <v>412</v>
      </c>
    </row>
    <row r="507" spans="1:21" x14ac:dyDescent="0.3">
      <c r="A507">
        <v>945</v>
      </c>
      <c r="B507" t="s">
        <v>74</v>
      </c>
      <c r="C507" t="s">
        <v>24</v>
      </c>
      <c r="J507" t="s">
        <v>409</v>
      </c>
      <c r="K507" s="3">
        <v>380</v>
      </c>
      <c r="L507" s="2">
        <v>0</v>
      </c>
      <c r="M507" s="2">
        <f t="shared" si="14"/>
        <v>380</v>
      </c>
      <c r="N507" s="2">
        <f t="shared" si="15"/>
        <v>19</v>
      </c>
      <c r="O507" s="7">
        <v>19</v>
      </c>
      <c r="P507" s="2">
        <v>0</v>
      </c>
      <c r="Q507" s="2">
        <v>399</v>
      </c>
      <c r="R507" t="s">
        <v>31</v>
      </c>
      <c r="T507" t="s">
        <v>27</v>
      </c>
      <c r="U507" t="s">
        <v>410</v>
      </c>
    </row>
    <row r="508" spans="1:21" x14ac:dyDescent="0.3">
      <c r="A508">
        <v>946</v>
      </c>
      <c r="B508" t="s">
        <v>67</v>
      </c>
      <c r="C508" t="s">
        <v>24</v>
      </c>
      <c r="J508" t="s">
        <v>407</v>
      </c>
      <c r="K508" s="3">
        <v>2167</v>
      </c>
      <c r="L508" s="2">
        <v>0</v>
      </c>
      <c r="M508" s="2">
        <f t="shared" si="14"/>
        <v>2167</v>
      </c>
      <c r="N508" s="2">
        <f t="shared" si="15"/>
        <v>108.35000000000001</v>
      </c>
      <c r="O508" s="7">
        <v>203.52</v>
      </c>
      <c r="P508" s="2">
        <v>0.48</v>
      </c>
      <c r="Q508" s="2">
        <v>2371</v>
      </c>
      <c r="R508" t="s">
        <v>31</v>
      </c>
      <c r="T508" t="s">
        <v>27</v>
      </c>
      <c r="U508" t="s">
        <v>408</v>
      </c>
    </row>
    <row r="509" spans="1:21" x14ac:dyDescent="0.3">
      <c r="A509">
        <v>947</v>
      </c>
      <c r="B509" t="s">
        <v>404</v>
      </c>
      <c r="C509" t="s">
        <v>24</v>
      </c>
      <c r="J509" t="s">
        <v>405</v>
      </c>
      <c r="K509" s="3">
        <v>1135</v>
      </c>
      <c r="L509" s="2">
        <v>0</v>
      </c>
      <c r="M509" s="2">
        <f t="shared" si="14"/>
        <v>1135</v>
      </c>
      <c r="N509" s="2">
        <f t="shared" si="15"/>
        <v>56.75</v>
      </c>
      <c r="O509" s="7">
        <v>56.76</v>
      </c>
      <c r="P509" s="2">
        <v>0.24</v>
      </c>
      <c r="Q509" s="2">
        <v>1192</v>
      </c>
      <c r="R509" t="s">
        <v>45</v>
      </c>
      <c r="T509" t="s">
        <v>27</v>
      </c>
      <c r="U509" t="s">
        <v>406</v>
      </c>
    </row>
    <row r="510" spans="1:21" x14ac:dyDescent="0.3">
      <c r="A510">
        <v>948</v>
      </c>
      <c r="B510" t="s">
        <v>401</v>
      </c>
      <c r="C510" t="s">
        <v>24</v>
      </c>
      <c r="J510" t="s">
        <v>402</v>
      </c>
      <c r="K510" s="3">
        <v>955</v>
      </c>
      <c r="L510" s="2">
        <v>0</v>
      </c>
      <c r="M510" s="2">
        <f t="shared" si="14"/>
        <v>955</v>
      </c>
      <c r="N510" s="2">
        <f t="shared" si="15"/>
        <v>47.75</v>
      </c>
      <c r="O510" s="7">
        <v>47.76</v>
      </c>
      <c r="P510" s="2">
        <v>0.24</v>
      </c>
      <c r="Q510" s="2">
        <v>1003</v>
      </c>
      <c r="R510" t="s">
        <v>35</v>
      </c>
      <c r="T510" t="s">
        <v>27</v>
      </c>
      <c r="U510" t="s">
        <v>403</v>
      </c>
    </row>
    <row r="511" spans="1:21" x14ac:dyDescent="0.3">
      <c r="A511">
        <v>949</v>
      </c>
      <c r="B511" t="s">
        <v>61</v>
      </c>
      <c r="C511" t="s">
        <v>24</v>
      </c>
      <c r="J511" t="s">
        <v>1992</v>
      </c>
      <c r="K511" s="3">
        <v>4610</v>
      </c>
      <c r="L511" s="2">
        <v>0</v>
      </c>
      <c r="M511" s="2">
        <f t="shared" si="14"/>
        <v>4610</v>
      </c>
      <c r="N511" s="2">
        <f t="shared" si="15"/>
        <v>230.5</v>
      </c>
      <c r="O511" s="7">
        <v>230.5</v>
      </c>
      <c r="P511" s="2">
        <v>0.5</v>
      </c>
      <c r="Q511" s="2">
        <v>4841</v>
      </c>
      <c r="R511" t="s">
        <v>26</v>
      </c>
      <c r="T511" t="s">
        <v>27</v>
      </c>
      <c r="U511" t="s">
        <v>400</v>
      </c>
    </row>
    <row r="512" spans="1:21" x14ac:dyDescent="0.3">
      <c r="A512">
        <v>950</v>
      </c>
      <c r="B512" t="s">
        <v>117</v>
      </c>
      <c r="C512" t="s">
        <v>24</v>
      </c>
      <c r="J512" t="s">
        <v>398</v>
      </c>
      <c r="K512" s="3">
        <v>1855</v>
      </c>
      <c r="L512" s="2">
        <v>0</v>
      </c>
      <c r="M512" s="2">
        <f t="shared" si="14"/>
        <v>1855</v>
      </c>
      <c r="N512" s="2">
        <f t="shared" si="15"/>
        <v>92.75</v>
      </c>
      <c r="O512" s="7">
        <v>92.76</v>
      </c>
      <c r="P512" s="2">
        <v>0.24</v>
      </c>
      <c r="Q512" s="2">
        <v>1948</v>
      </c>
      <c r="R512" t="s">
        <v>31</v>
      </c>
      <c r="T512" t="s">
        <v>27</v>
      </c>
      <c r="U512" t="s">
        <v>399</v>
      </c>
    </row>
    <row r="513" spans="1:21" x14ac:dyDescent="0.3">
      <c r="A513">
        <v>951</v>
      </c>
      <c r="B513" t="s">
        <v>33</v>
      </c>
      <c r="C513" t="s">
        <v>24</v>
      </c>
      <c r="J513" t="s">
        <v>396</v>
      </c>
      <c r="K513" s="3">
        <v>0</v>
      </c>
      <c r="L513" s="2">
        <v>0</v>
      </c>
      <c r="M513" s="2">
        <f t="shared" si="14"/>
        <v>0</v>
      </c>
      <c r="N513" s="2">
        <f t="shared" si="15"/>
        <v>0</v>
      </c>
      <c r="O513" s="7">
        <v>0</v>
      </c>
      <c r="P513" s="2">
        <v>0</v>
      </c>
      <c r="Q513" s="2">
        <v>0</v>
      </c>
      <c r="R513" t="s">
        <v>35</v>
      </c>
      <c r="T513" t="s">
        <v>27</v>
      </c>
      <c r="U513" t="s">
        <v>397</v>
      </c>
    </row>
    <row r="514" spans="1:21" x14ac:dyDescent="0.3">
      <c r="A514">
        <v>952</v>
      </c>
      <c r="B514" t="s">
        <v>149</v>
      </c>
      <c r="C514" t="s">
        <v>24</v>
      </c>
      <c r="J514" t="s">
        <v>353</v>
      </c>
      <c r="K514" s="3">
        <v>295</v>
      </c>
      <c r="L514" s="2">
        <v>0</v>
      </c>
      <c r="M514" s="2">
        <f t="shared" si="14"/>
        <v>295</v>
      </c>
      <c r="N514" s="2">
        <f t="shared" si="15"/>
        <v>14.75</v>
      </c>
      <c r="O514" s="7">
        <v>14.76</v>
      </c>
      <c r="P514" s="2">
        <v>0.24</v>
      </c>
      <c r="Q514" s="2">
        <v>310</v>
      </c>
      <c r="R514" t="s">
        <v>45</v>
      </c>
      <c r="T514" t="s">
        <v>27</v>
      </c>
      <c r="U514" t="s">
        <v>395</v>
      </c>
    </row>
    <row r="515" spans="1:21" x14ac:dyDescent="0.3">
      <c r="A515">
        <v>953</v>
      </c>
      <c r="B515" t="s">
        <v>111</v>
      </c>
      <c r="C515" t="s">
        <v>24</v>
      </c>
      <c r="J515" t="s">
        <v>393</v>
      </c>
      <c r="K515" s="3">
        <v>1075</v>
      </c>
      <c r="L515" s="2">
        <v>0</v>
      </c>
      <c r="M515" s="2">
        <f t="shared" si="14"/>
        <v>1075</v>
      </c>
      <c r="N515" s="2">
        <f t="shared" si="15"/>
        <v>53.75</v>
      </c>
      <c r="O515" s="7">
        <v>53.76</v>
      </c>
      <c r="P515" s="2">
        <v>0.24</v>
      </c>
      <c r="Q515" s="2">
        <v>1129</v>
      </c>
      <c r="R515" t="s">
        <v>31</v>
      </c>
      <c r="T515" t="s">
        <v>27</v>
      </c>
      <c r="U515" t="s">
        <v>394</v>
      </c>
    </row>
    <row r="516" spans="1:21" x14ac:dyDescent="0.3">
      <c r="A516">
        <v>954</v>
      </c>
      <c r="B516" t="s">
        <v>229</v>
      </c>
      <c r="C516" t="s">
        <v>24</v>
      </c>
      <c r="J516" t="s">
        <v>391</v>
      </c>
      <c r="K516" s="3">
        <v>0</v>
      </c>
      <c r="L516" s="2">
        <v>0</v>
      </c>
      <c r="M516" s="2">
        <f t="shared" si="14"/>
        <v>0</v>
      </c>
      <c r="N516" s="2">
        <f t="shared" si="15"/>
        <v>0</v>
      </c>
      <c r="O516" s="7">
        <v>0</v>
      </c>
      <c r="P516" s="2">
        <v>0</v>
      </c>
      <c r="Q516" s="2">
        <v>0</v>
      </c>
      <c r="R516" t="s">
        <v>35</v>
      </c>
      <c r="T516" t="s">
        <v>27</v>
      </c>
      <c r="U516" t="s">
        <v>392</v>
      </c>
    </row>
    <row r="517" spans="1:21" x14ac:dyDescent="0.3">
      <c r="A517">
        <v>955</v>
      </c>
      <c r="B517" t="s">
        <v>64</v>
      </c>
      <c r="C517" t="s">
        <v>24</v>
      </c>
      <c r="J517" t="s">
        <v>389</v>
      </c>
      <c r="K517" s="3">
        <v>1730</v>
      </c>
      <c r="L517" s="2">
        <v>259.5</v>
      </c>
      <c r="M517" s="2">
        <f t="shared" si="14"/>
        <v>1470.5</v>
      </c>
      <c r="N517" s="2">
        <f t="shared" si="15"/>
        <v>73.525000000000006</v>
      </c>
      <c r="O517" s="7">
        <v>73.52</v>
      </c>
      <c r="P517" s="2">
        <v>-0.02</v>
      </c>
      <c r="Q517" s="2">
        <v>1544</v>
      </c>
      <c r="R517" t="s">
        <v>31</v>
      </c>
      <c r="T517" t="s">
        <v>27</v>
      </c>
      <c r="U517" t="s">
        <v>390</v>
      </c>
    </row>
    <row r="518" spans="1:21" x14ac:dyDescent="0.3">
      <c r="A518">
        <v>956</v>
      </c>
      <c r="B518" t="s">
        <v>47</v>
      </c>
      <c r="C518" t="s">
        <v>24</v>
      </c>
      <c r="J518" t="s">
        <v>387</v>
      </c>
      <c r="K518" s="3">
        <v>1370</v>
      </c>
      <c r="L518" s="2">
        <v>0</v>
      </c>
      <c r="M518" s="2">
        <f t="shared" si="14"/>
        <v>1370</v>
      </c>
      <c r="N518" s="2">
        <f t="shared" si="15"/>
        <v>68.5</v>
      </c>
      <c r="O518" s="7">
        <v>66.5</v>
      </c>
      <c r="P518" s="2">
        <v>0.5</v>
      </c>
      <c r="Q518" s="2">
        <v>1437</v>
      </c>
      <c r="R518" t="s">
        <v>45</v>
      </c>
      <c r="T518" t="s">
        <v>27</v>
      </c>
      <c r="U518" t="s">
        <v>388</v>
      </c>
    </row>
    <row r="519" spans="1:21" x14ac:dyDescent="0.3">
      <c r="A519">
        <v>957</v>
      </c>
      <c r="B519" t="s">
        <v>23</v>
      </c>
      <c r="C519" t="s">
        <v>24</v>
      </c>
      <c r="J519" t="s">
        <v>385</v>
      </c>
      <c r="K519" s="3">
        <v>655</v>
      </c>
      <c r="L519" s="2">
        <v>0</v>
      </c>
      <c r="M519" s="2">
        <f t="shared" ref="M519:M582" si="16">K519-L519</f>
        <v>655</v>
      </c>
      <c r="N519" s="2">
        <f t="shared" ref="N519:N582" si="17">M519*5%</f>
        <v>32.75</v>
      </c>
      <c r="O519" s="7">
        <v>32.76</v>
      </c>
      <c r="P519" s="2">
        <v>0.24</v>
      </c>
      <c r="Q519" s="2">
        <v>688</v>
      </c>
      <c r="R519" t="s">
        <v>35</v>
      </c>
      <c r="T519" t="s">
        <v>27</v>
      </c>
      <c r="U519" t="s">
        <v>386</v>
      </c>
    </row>
    <row r="520" spans="1:21" x14ac:dyDescent="0.3">
      <c r="A520">
        <v>958</v>
      </c>
      <c r="B520" t="s">
        <v>56</v>
      </c>
      <c r="C520" t="s">
        <v>24</v>
      </c>
      <c r="J520" t="s">
        <v>383</v>
      </c>
      <c r="K520" s="3">
        <v>280</v>
      </c>
      <c r="L520" s="2">
        <v>0</v>
      </c>
      <c r="M520" s="2">
        <f t="shared" si="16"/>
        <v>280</v>
      </c>
      <c r="N520" s="2">
        <f t="shared" si="17"/>
        <v>14</v>
      </c>
      <c r="O520" s="7">
        <v>14</v>
      </c>
      <c r="P520" s="2">
        <v>0</v>
      </c>
      <c r="Q520" s="2">
        <v>294</v>
      </c>
      <c r="R520" t="s">
        <v>45</v>
      </c>
      <c r="T520" t="s">
        <v>27</v>
      </c>
      <c r="U520" t="s">
        <v>384</v>
      </c>
    </row>
    <row r="521" spans="1:21" x14ac:dyDescent="0.3">
      <c r="A521">
        <v>959</v>
      </c>
      <c r="B521" t="s">
        <v>23</v>
      </c>
      <c r="C521" t="s">
        <v>24</v>
      </c>
      <c r="J521" t="s">
        <v>381</v>
      </c>
      <c r="K521" s="3">
        <v>530</v>
      </c>
      <c r="L521" s="2">
        <v>0</v>
      </c>
      <c r="M521" s="2">
        <f t="shared" si="16"/>
        <v>530</v>
      </c>
      <c r="N521" s="2">
        <f t="shared" si="17"/>
        <v>26.5</v>
      </c>
      <c r="O521" s="7">
        <v>26.5</v>
      </c>
      <c r="P521" s="2">
        <v>0.5</v>
      </c>
      <c r="Q521" s="2">
        <v>557</v>
      </c>
      <c r="R521" t="s">
        <v>35</v>
      </c>
      <c r="T521" t="s">
        <v>27</v>
      </c>
      <c r="U521" t="s">
        <v>382</v>
      </c>
    </row>
    <row r="522" spans="1:21" x14ac:dyDescent="0.3">
      <c r="A522">
        <v>960</v>
      </c>
      <c r="B522" t="s">
        <v>149</v>
      </c>
      <c r="C522" t="s">
        <v>24</v>
      </c>
      <c r="J522" t="s">
        <v>379</v>
      </c>
      <c r="K522" s="3">
        <v>944</v>
      </c>
      <c r="L522" s="2">
        <v>94.4</v>
      </c>
      <c r="M522" s="2">
        <f t="shared" si="16"/>
        <v>849.6</v>
      </c>
      <c r="N522" s="2">
        <f t="shared" si="17"/>
        <v>42.480000000000004</v>
      </c>
      <c r="O522" s="7">
        <v>42.48</v>
      </c>
      <c r="P522" s="2">
        <v>-0.08</v>
      </c>
      <c r="Q522" s="2">
        <v>892</v>
      </c>
      <c r="R522" t="s">
        <v>45</v>
      </c>
      <c r="T522" t="s">
        <v>27</v>
      </c>
      <c r="U522" t="s">
        <v>380</v>
      </c>
    </row>
    <row r="523" spans="1:21" x14ac:dyDescent="0.3">
      <c r="A523">
        <v>961</v>
      </c>
      <c r="B523" t="s">
        <v>53</v>
      </c>
      <c r="C523" t="s">
        <v>24</v>
      </c>
      <c r="J523" t="s">
        <v>377</v>
      </c>
      <c r="K523" s="3">
        <v>1137</v>
      </c>
      <c r="L523" s="2">
        <v>113.7</v>
      </c>
      <c r="M523" s="2">
        <f t="shared" si="16"/>
        <v>1023.3</v>
      </c>
      <c r="N523" s="2">
        <f t="shared" si="17"/>
        <v>51.164999999999999</v>
      </c>
      <c r="O523" s="7">
        <v>46.8</v>
      </c>
      <c r="P523" s="2">
        <v>-0.1</v>
      </c>
      <c r="Q523" s="2">
        <v>1070</v>
      </c>
      <c r="R523" t="s">
        <v>31</v>
      </c>
      <c r="T523" t="s">
        <v>27</v>
      </c>
      <c r="U523" t="s">
        <v>378</v>
      </c>
    </row>
    <row r="524" spans="1:21" x14ac:dyDescent="0.3">
      <c r="A524">
        <v>962</v>
      </c>
      <c r="B524" t="s">
        <v>23</v>
      </c>
      <c r="C524" t="s">
        <v>24</v>
      </c>
      <c r="J524" t="s">
        <v>375</v>
      </c>
      <c r="K524" s="3">
        <v>1415</v>
      </c>
      <c r="L524" s="2">
        <v>141.5</v>
      </c>
      <c r="M524" s="2">
        <f t="shared" si="16"/>
        <v>1273.5</v>
      </c>
      <c r="N524" s="2">
        <f t="shared" si="17"/>
        <v>63.675000000000004</v>
      </c>
      <c r="O524" s="7">
        <v>63.68</v>
      </c>
      <c r="P524" s="2">
        <v>-0.18</v>
      </c>
      <c r="Q524" s="2">
        <v>1337</v>
      </c>
      <c r="R524" t="s">
        <v>31</v>
      </c>
      <c r="T524" t="s">
        <v>27</v>
      </c>
      <c r="U524" t="s">
        <v>376</v>
      </c>
    </row>
    <row r="525" spans="1:21" x14ac:dyDescent="0.3">
      <c r="A525">
        <v>963</v>
      </c>
      <c r="B525" t="s">
        <v>74</v>
      </c>
      <c r="C525" t="s">
        <v>24</v>
      </c>
      <c r="J525" t="s">
        <v>373</v>
      </c>
      <c r="K525" s="3">
        <v>675</v>
      </c>
      <c r="L525" s="2">
        <v>67.5</v>
      </c>
      <c r="M525" s="2">
        <f t="shared" si="16"/>
        <v>607.5</v>
      </c>
      <c r="N525" s="2">
        <f t="shared" si="17"/>
        <v>30.375</v>
      </c>
      <c r="O525" s="7">
        <v>30.38</v>
      </c>
      <c r="P525" s="2">
        <v>0.12</v>
      </c>
      <c r="Q525" s="2">
        <v>638</v>
      </c>
      <c r="R525" t="s">
        <v>31</v>
      </c>
      <c r="T525" t="s">
        <v>27</v>
      </c>
      <c r="U525" t="s">
        <v>374</v>
      </c>
    </row>
    <row r="526" spans="1:21" x14ac:dyDescent="0.3">
      <c r="A526">
        <v>964</v>
      </c>
      <c r="B526" t="s">
        <v>64</v>
      </c>
      <c r="C526" t="s">
        <v>24</v>
      </c>
      <c r="J526" t="s">
        <v>371</v>
      </c>
      <c r="K526" s="3">
        <v>2170</v>
      </c>
      <c r="L526" s="2">
        <v>217</v>
      </c>
      <c r="M526" s="2">
        <f t="shared" si="16"/>
        <v>1953</v>
      </c>
      <c r="N526" s="2">
        <f t="shared" si="17"/>
        <v>97.65</v>
      </c>
      <c r="O526" s="7">
        <v>97.66</v>
      </c>
      <c r="P526" s="2">
        <v>0.34</v>
      </c>
      <c r="Q526" s="2">
        <v>2051</v>
      </c>
      <c r="R526" t="s">
        <v>31</v>
      </c>
      <c r="T526" t="s">
        <v>27</v>
      </c>
      <c r="U526" t="s">
        <v>372</v>
      </c>
    </row>
    <row r="527" spans="1:21" x14ac:dyDescent="0.3">
      <c r="A527">
        <v>965</v>
      </c>
      <c r="B527" t="s">
        <v>47</v>
      </c>
      <c r="C527" t="s">
        <v>24</v>
      </c>
      <c r="J527" t="s">
        <v>369</v>
      </c>
      <c r="K527" s="3">
        <v>1149</v>
      </c>
      <c r="L527" s="2">
        <v>0</v>
      </c>
      <c r="M527" s="2">
        <f t="shared" si="16"/>
        <v>1149</v>
      </c>
      <c r="N527" s="2">
        <f t="shared" si="17"/>
        <v>57.45</v>
      </c>
      <c r="O527" s="7">
        <v>56</v>
      </c>
      <c r="P527" s="2">
        <v>0</v>
      </c>
      <c r="Q527" s="2">
        <v>1205</v>
      </c>
      <c r="R527" t="s">
        <v>45</v>
      </c>
      <c r="T527" t="s">
        <v>27</v>
      </c>
      <c r="U527" t="s">
        <v>370</v>
      </c>
    </row>
    <row r="528" spans="1:21" x14ac:dyDescent="0.3">
      <c r="A528">
        <v>966</v>
      </c>
      <c r="B528" t="s">
        <v>67</v>
      </c>
      <c r="C528" t="s">
        <v>24</v>
      </c>
      <c r="J528" t="s">
        <v>367</v>
      </c>
      <c r="K528" s="3">
        <v>560</v>
      </c>
      <c r="L528" s="2">
        <v>0</v>
      </c>
      <c r="M528" s="2">
        <f t="shared" si="16"/>
        <v>560</v>
      </c>
      <c r="N528" s="2">
        <f t="shared" si="17"/>
        <v>28</v>
      </c>
      <c r="O528" s="7">
        <v>28</v>
      </c>
      <c r="P528" s="2">
        <v>0</v>
      </c>
      <c r="Q528" s="2">
        <v>588</v>
      </c>
      <c r="R528" t="s">
        <v>45</v>
      </c>
      <c r="T528" t="s">
        <v>27</v>
      </c>
      <c r="U528" t="s">
        <v>368</v>
      </c>
    </row>
    <row r="529" spans="1:21" x14ac:dyDescent="0.3">
      <c r="A529">
        <v>967</v>
      </c>
      <c r="B529" t="s">
        <v>64</v>
      </c>
      <c r="C529" t="s">
        <v>24</v>
      </c>
      <c r="J529" t="s">
        <v>365</v>
      </c>
      <c r="K529" s="3">
        <v>1100</v>
      </c>
      <c r="L529" s="2">
        <v>110</v>
      </c>
      <c r="M529" s="2">
        <f t="shared" si="16"/>
        <v>990</v>
      </c>
      <c r="N529" s="2">
        <f t="shared" si="17"/>
        <v>49.5</v>
      </c>
      <c r="O529" s="7">
        <v>49.5</v>
      </c>
      <c r="P529" s="2">
        <v>0.5</v>
      </c>
      <c r="Q529" s="2">
        <v>1040</v>
      </c>
      <c r="R529" t="s">
        <v>45</v>
      </c>
      <c r="T529" t="s">
        <v>27</v>
      </c>
      <c r="U529" t="s">
        <v>366</v>
      </c>
    </row>
    <row r="530" spans="1:21" x14ac:dyDescent="0.3">
      <c r="A530">
        <v>968</v>
      </c>
      <c r="B530" t="s">
        <v>105</v>
      </c>
      <c r="C530" t="s">
        <v>24</v>
      </c>
      <c r="J530" t="s">
        <v>363</v>
      </c>
      <c r="K530" s="3">
        <v>1217</v>
      </c>
      <c r="L530" s="2">
        <v>121.7</v>
      </c>
      <c r="M530" s="2">
        <f t="shared" si="16"/>
        <v>1095.3</v>
      </c>
      <c r="N530" s="2">
        <f t="shared" si="17"/>
        <v>54.765000000000001</v>
      </c>
      <c r="O530" s="7">
        <v>48.16</v>
      </c>
      <c r="P530" s="2">
        <v>-0.46</v>
      </c>
      <c r="Q530" s="2">
        <v>1143</v>
      </c>
      <c r="R530" t="s">
        <v>31</v>
      </c>
      <c r="T530" t="s">
        <v>27</v>
      </c>
      <c r="U530" t="s">
        <v>364</v>
      </c>
    </row>
    <row r="531" spans="1:21" x14ac:dyDescent="0.3">
      <c r="A531">
        <v>969</v>
      </c>
      <c r="B531" t="s">
        <v>67</v>
      </c>
      <c r="C531" t="s">
        <v>24</v>
      </c>
      <c r="J531" t="s">
        <v>361</v>
      </c>
      <c r="K531" s="3">
        <v>930</v>
      </c>
      <c r="L531" s="2">
        <v>0</v>
      </c>
      <c r="M531" s="2">
        <f t="shared" si="16"/>
        <v>930</v>
      </c>
      <c r="N531" s="2">
        <f t="shared" si="17"/>
        <v>46.5</v>
      </c>
      <c r="O531" s="7">
        <v>46.5</v>
      </c>
      <c r="P531" s="2">
        <v>0.5</v>
      </c>
      <c r="Q531" s="2">
        <v>977</v>
      </c>
      <c r="R531" t="s">
        <v>31</v>
      </c>
      <c r="T531" t="s">
        <v>27</v>
      </c>
      <c r="U531" t="s">
        <v>362</v>
      </c>
    </row>
    <row r="532" spans="1:21" x14ac:dyDescent="0.3">
      <c r="A532">
        <v>970</v>
      </c>
      <c r="B532" t="s">
        <v>53</v>
      </c>
      <c r="C532" t="s">
        <v>24</v>
      </c>
      <c r="J532" t="s">
        <v>359</v>
      </c>
      <c r="K532" s="3">
        <v>1385</v>
      </c>
      <c r="L532" s="2">
        <v>0</v>
      </c>
      <c r="M532" s="2">
        <f t="shared" si="16"/>
        <v>1385</v>
      </c>
      <c r="N532" s="2">
        <f t="shared" si="17"/>
        <v>69.25</v>
      </c>
      <c r="O532" s="7">
        <v>69.260000000000005</v>
      </c>
      <c r="P532" s="2">
        <v>-0.26</v>
      </c>
      <c r="Q532" s="2">
        <v>1454</v>
      </c>
      <c r="R532" t="s">
        <v>35</v>
      </c>
      <c r="T532" t="s">
        <v>27</v>
      </c>
      <c r="U532" t="s">
        <v>360</v>
      </c>
    </row>
    <row r="533" spans="1:21" x14ac:dyDescent="0.3">
      <c r="A533">
        <v>971</v>
      </c>
      <c r="B533" t="s">
        <v>50</v>
      </c>
      <c r="C533" t="s">
        <v>24</v>
      </c>
      <c r="J533" t="s">
        <v>357</v>
      </c>
      <c r="K533" s="3">
        <v>1425</v>
      </c>
      <c r="L533" s="2">
        <v>0</v>
      </c>
      <c r="M533" s="2">
        <f t="shared" si="16"/>
        <v>1425</v>
      </c>
      <c r="N533" s="2">
        <f t="shared" si="17"/>
        <v>71.25</v>
      </c>
      <c r="O533" s="7">
        <v>68.260000000000005</v>
      </c>
      <c r="P533" s="2">
        <v>-0.26</v>
      </c>
      <c r="Q533" s="2">
        <v>1493</v>
      </c>
      <c r="R533" t="s">
        <v>31</v>
      </c>
      <c r="T533" t="s">
        <v>27</v>
      </c>
      <c r="U533" t="s">
        <v>358</v>
      </c>
    </row>
    <row r="534" spans="1:21" x14ac:dyDescent="0.3">
      <c r="A534">
        <v>972</v>
      </c>
      <c r="B534" t="s">
        <v>56</v>
      </c>
      <c r="C534" t="s">
        <v>24</v>
      </c>
      <c r="J534" t="s">
        <v>355</v>
      </c>
      <c r="K534" s="3">
        <v>1860</v>
      </c>
      <c r="L534" s="2">
        <v>0</v>
      </c>
      <c r="M534" s="2">
        <f t="shared" si="16"/>
        <v>1860</v>
      </c>
      <c r="N534" s="2">
        <f t="shared" si="17"/>
        <v>93</v>
      </c>
      <c r="O534" s="7">
        <v>93</v>
      </c>
      <c r="P534" s="2">
        <v>0</v>
      </c>
      <c r="Q534" s="2">
        <v>1953</v>
      </c>
      <c r="R534" t="s">
        <v>26</v>
      </c>
      <c r="T534" t="s">
        <v>27</v>
      </c>
      <c r="U534" t="s">
        <v>356</v>
      </c>
    </row>
    <row r="535" spans="1:21" x14ac:dyDescent="0.3">
      <c r="A535">
        <v>973</v>
      </c>
      <c r="B535" t="s">
        <v>248</v>
      </c>
      <c r="C535" t="s">
        <v>24</v>
      </c>
      <c r="J535" t="s">
        <v>353</v>
      </c>
      <c r="K535" s="3">
        <v>590</v>
      </c>
      <c r="L535" s="2">
        <v>0</v>
      </c>
      <c r="M535" s="2">
        <f t="shared" si="16"/>
        <v>590</v>
      </c>
      <c r="N535" s="2">
        <f t="shared" si="17"/>
        <v>29.5</v>
      </c>
      <c r="O535" s="7">
        <v>29.5</v>
      </c>
      <c r="P535" s="2">
        <v>0.5</v>
      </c>
      <c r="Q535" s="2">
        <v>620</v>
      </c>
      <c r="R535" t="s">
        <v>31</v>
      </c>
      <c r="T535" t="s">
        <v>27</v>
      </c>
      <c r="U535" t="s">
        <v>354</v>
      </c>
    </row>
    <row r="536" spans="1:21" x14ac:dyDescent="0.3">
      <c r="A536">
        <v>974</v>
      </c>
      <c r="B536" t="s">
        <v>47</v>
      </c>
      <c r="C536" t="s">
        <v>24</v>
      </c>
      <c r="J536" t="s">
        <v>351</v>
      </c>
      <c r="K536" s="3">
        <v>1225</v>
      </c>
      <c r="L536" s="2">
        <v>0</v>
      </c>
      <c r="M536" s="2">
        <f t="shared" si="16"/>
        <v>1225</v>
      </c>
      <c r="N536" s="2">
        <f t="shared" si="17"/>
        <v>61.25</v>
      </c>
      <c r="O536" s="7">
        <v>61.26</v>
      </c>
      <c r="P536" s="2">
        <v>-0.26</v>
      </c>
      <c r="Q536" s="2">
        <v>1286</v>
      </c>
      <c r="R536" t="s">
        <v>45</v>
      </c>
      <c r="T536" t="s">
        <v>27</v>
      </c>
      <c r="U536" t="s">
        <v>352</v>
      </c>
    </row>
    <row r="537" spans="1:21" x14ac:dyDescent="0.3">
      <c r="A537">
        <v>975</v>
      </c>
      <c r="B537" t="s">
        <v>67</v>
      </c>
      <c r="C537" t="s">
        <v>24</v>
      </c>
      <c r="J537" t="s">
        <v>349</v>
      </c>
      <c r="K537" s="3">
        <v>1010</v>
      </c>
      <c r="L537" s="2">
        <v>0</v>
      </c>
      <c r="M537" s="2">
        <f t="shared" si="16"/>
        <v>1010</v>
      </c>
      <c r="N537" s="2">
        <f t="shared" si="17"/>
        <v>50.5</v>
      </c>
      <c r="O537" s="7">
        <v>50.5</v>
      </c>
      <c r="P537" s="2">
        <v>0.5</v>
      </c>
      <c r="Q537" s="2">
        <v>1061</v>
      </c>
      <c r="R537" t="s">
        <v>26</v>
      </c>
      <c r="T537" t="s">
        <v>27</v>
      </c>
      <c r="U537" t="s">
        <v>350</v>
      </c>
    </row>
    <row r="538" spans="1:21" x14ac:dyDescent="0.3">
      <c r="A538">
        <v>976</v>
      </c>
      <c r="B538" t="s">
        <v>50</v>
      </c>
      <c r="C538" t="s">
        <v>24</v>
      </c>
      <c r="J538" t="s">
        <v>347</v>
      </c>
      <c r="K538" s="3">
        <v>1564</v>
      </c>
      <c r="L538" s="2">
        <v>0</v>
      </c>
      <c r="M538" s="2">
        <f t="shared" si="16"/>
        <v>1564</v>
      </c>
      <c r="N538" s="2">
        <f t="shared" si="17"/>
        <v>78.2</v>
      </c>
      <c r="O538" s="7">
        <v>75.2</v>
      </c>
      <c r="P538" s="2">
        <v>-0.2</v>
      </c>
      <c r="Q538" s="2">
        <v>1639</v>
      </c>
      <c r="R538" t="s">
        <v>26</v>
      </c>
      <c r="T538" t="s">
        <v>27</v>
      </c>
      <c r="U538" t="s">
        <v>348</v>
      </c>
    </row>
    <row r="539" spans="1:21" x14ac:dyDescent="0.3">
      <c r="A539">
        <v>977</v>
      </c>
      <c r="B539" t="s">
        <v>23</v>
      </c>
      <c r="C539" t="s">
        <v>24</v>
      </c>
      <c r="J539" t="s">
        <v>344</v>
      </c>
      <c r="K539" s="3">
        <v>1110</v>
      </c>
      <c r="L539" s="2">
        <v>0</v>
      </c>
      <c r="M539" s="2">
        <f t="shared" si="16"/>
        <v>1110</v>
      </c>
      <c r="N539" s="2">
        <f t="shared" si="17"/>
        <v>55.5</v>
      </c>
      <c r="O539" s="7">
        <v>55.5</v>
      </c>
      <c r="P539" s="2">
        <v>0.5</v>
      </c>
      <c r="Q539" s="2">
        <v>0</v>
      </c>
      <c r="R539" t="s">
        <v>209</v>
      </c>
      <c r="S539" t="s">
        <v>345</v>
      </c>
      <c r="T539" t="s">
        <v>27</v>
      </c>
      <c r="U539" t="s">
        <v>346</v>
      </c>
    </row>
    <row r="540" spans="1:21" x14ac:dyDescent="0.3">
      <c r="A540">
        <v>978</v>
      </c>
      <c r="B540" t="s">
        <v>117</v>
      </c>
      <c r="C540" t="s">
        <v>24</v>
      </c>
      <c r="J540" t="s">
        <v>342</v>
      </c>
      <c r="K540" s="3">
        <v>1575</v>
      </c>
      <c r="L540" s="2">
        <v>0</v>
      </c>
      <c r="M540" s="2">
        <f t="shared" si="16"/>
        <v>1575</v>
      </c>
      <c r="N540" s="2">
        <f t="shared" si="17"/>
        <v>78.75</v>
      </c>
      <c r="O540" s="7">
        <v>76.760000000000005</v>
      </c>
      <c r="P540" s="2">
        <v>0.24</v>
      </c>
      <c r="Q540" s="2">
        <v>1652</v>
      </c>
      <c r="R540" t="s">
        <v>31</v>
      </c>
      <c r="T540" t="s">
        <v>27</v>
      </c>
      <c r="U540" t="s">
        <v>343</v>
      </c>
    </row>
    <row r="541" spans="1:21" x14ac:dyDescent="0.3">
      <c r="A541">
        <v>979</v>
      </c>
      <c r="B541" t="s">
        <v>339</v>
      </c>
      <c r="C541" t="s">
        <v>24</v>
      </c>
      <c r="J541" t="s">
        <v>340</v>
      </c>
      <c r="K541" s="3">
        <v>0</v>
      </c>
      <c r="L541" s="2">
        <v>0</v>
      </c>
      <c r="M541" s="2">
        <f t="shared" si="16"/>
        <v>0</v>
      </c>
      <c r="N541" s="2">
        <f t="shared" si="17"/>
        <v>0</v>
      </c>
      <c r="O541" s="7">
        <v>0</v>
      </c>
      <c r="P541" s="2">
        <v>0</v>
      </c>
      <c r="Q541" s="2">
        <v>0</v>
      </c>
      <c r="R541" t="s">
        <v>35</v>
      </c>
      <c r="T541" t="s">
        <v>27</v>
      </c>
      <c r="U541" t="s">
        <v>341</v>
      </c>
    </row>
    <row r="542" spans="1:21" x14ac:dyDescent="0.3">
      <c r="A542">
        <v>980</v>
      </c>
      <c r="B542" t="s">
        <v>336</v>
      </c>
      <c r="C542" t="s">
        <v>24</v>
      </c>
      <c r="J542" t="s">
        <v>337</v>
      </c>
      <c r="K542" s="3">
        <v>0</v>
      </c>
      <c r="L542" s="2">
        <v>0</v>
      </c>
      <c r="M542" s="2">
        <f t="shared" si="16"/>
        <v>0</v>
      </c>
      <c r="N542" s="2">
        <f t="shared" si="17"/>
        <v>0</v>
      </c>
      <c r="O542" s="7">
        <v>0</v>
      </c>
      <c r="P542" s="2">
        <v>0</v>
      </c>
      <c r="Q542" s="2">
        <v>0</v>
      </c>
      <c r="R542" t="s">
        <v>35</v>
      </c>
      <c r="T542" t="s">
        <v>27</v>
      </c>
      <c r="U542" t="s">
        <v>338</v>
      </c>
    </row>
    <row r="543" spans="1:21" x14ac:dyDescent="0.3">
      <c r="A543">
        <v>981</v>
      </c>
      <c r="B543" t="s">
        <v>61</v>
      </c>
      <c r="C543" t="s">
        <v>24</v>
      </c>
      <c r="J543" t="s">
        <v>334</v>
      </c>
      <c r="K543" s="3">
        <v>945</v>
      </c>
      <c r="L543" s="2">
        <v>0</v>
      </c>
      <c r="M543" s="2">
        <f t="shared" si="16"/>
        <v>945</v>
      </c>
      <c r="N543" s="2">
        <f t="shared" si="17"/>
        <v>47.25</v>
      </c>
      <c r="O543" s="7">
        <v>47.26</v>
      </c>
      <c r="P543" s="2">
        <v>-0.26</v>
      </c>
      <c r="Q543" s="2">
        <v>992</v>
      </c>
      <c r="R543" t="s">
        <v>45</v>
      </c>
      <c r="T543" t="s">
        <v>27</v>
      </c>
      <c r="U543" t="s">
        <v>335</v>
      </c>
    </row>
    <row r="544" spans="1:21" x14ac:dyDescent="0.3">
      <c r="A544">
        <v>982</v>
      </c>
      <c r="B544" t="s">
        <v>56</v>
      </c>
      <c r="C544" t="s">
        <v>24</v>
      </c>
      <c r="J544" t="s">
        <v>332</v>
      </c>
      <c r="K544" s="3">
        <v>250</v>
      </c>
      <c r="L544" s="2">
        <v>0</v>
      </c>
      <c r="M544" s="2">
        <f t="shared" si="16"/>
        <v>250</v>
      </c>
      <c r="N544" s="2">
        <f t="shared" si="17"/>
        <v>12.5</v>
      </c>
      <c r="O544" s="7">
        <v>12.5</v>
      </c>
      <c r="P544" s="2">
        <v>0.5</v>
      </c>
      <c r="Q544" s="2">
        <v>263</v>
      </c>
      <c r="R544" t="s">
        <v>31</v>
      </c>
      <c r="T544" t="s">
        <v>27</v>
      </c>
      <c r="U544" t="s">
        <v>333</v>
      </c>
    </row>
    <row r="545" spans="1:21" x14ac:dyDescent="0.3">
      <c r="A545">
        <v>983</v>
      </c>
      <c r="B545" t="s">
        <v>64</v>
      </c>
      <c r="C545" t="s">
        <v>24</v>
      </c>
      <c r="J545" t="s">
        <v>330</v>
      </c>
      <c r="K545" s="3">
        <v>1130</v>
      </c>
      <c r="L545" s="2">
        <v>0</v>
      </c>
      <c r="M545" s="2">
        <f t="shared" si="16"/>
        <v>1130</v>
      </c>
      <c r="N545" s="2">
        <f t="shared" si="17"/>
        <v>56.5</v>
      </c>
      <c r="O545" s="7">
        <v>56.5</v>
      </c>
      <c r="P545" s="2">
        <v>0.5</v>
      </c>
      <c r="Q545" s="2">
        <v>1187</v>
      </c>
      <c r="R545" t="s">
        <v>31</v>
      </c>
      <c r="T545" t="s">
        <v>27</v>
      </c>
      <c r="U545" t="s">
        <v>331</v>
      </c>
    </row>
    <row r="546" spans="1:21" x14ac:dyDescent="0.3">
      <c r="A546">
        <v>984</v>
      </c>
      <c r="B546" t="s">
        <v>53</v>
      </c>
      <c r="C546" t="s">
        <v>24</v>
      </c>
      <c r="J546" t="s">
        <v>328</v>
      </c>
      <c r="K546" s="3">
        <v>345</v>
      </c>
      <c r="L546" s="2">
        <v>0</v>
      </c>
      <c r="M546" s="2">
        <f t="shared" si="16"/>
        <v>345</v>
      </c>
      <c r="N546" s="2">
        <f t="shared" si="17"/>
        <v>17.25</v>
      </c>
      <c r="O546" s="7">
        <v>17.260000000000002</v>
      </c>
      <c r="P546" s="2">
        <v>-0.26</v>
      </c>
      <c r="Q546" s="2">
        <v>362</v>
      </c>
      <c r="R546" t="s">
        <v>31</v>
      </c>
      <c r="T546" t="s">
        <v>27</v>
      </c>
      <c r="U546" t="s">
        <v>329</v>
      </c>
    </row>
    <row r="547" spans="1:21" x14ac:dyDescent="0.3">
      <c r="A547">
        <v>985</v>
      </c>
      <c r="B547" t="s">
        <v>50</v>
      </c>
      <c r="C547" t="s">
        <v>24</v>
      </c>
      <c r="J547" t="s">
        <v>326</v>
      </c>
      <c r="K547" s="3">
        <v>540</v>
      </c>
      <c r="L547" s="2">
        <v>0</v>
      </c>
      <c r="M547" s="2">
        <f t="shared" si="16"/>
        <v>540</v>
      </c>
      <c r="N547" s="2">
        <f t="shared" si="17"/>
        <v>27</v>
      </c>
      <c r="O547" s="7">
        <v>27</v>
      </c>
      <c r="P547" s="2">
        <v>0</v>
      </c>
      <c r="Q547" s="2">
        <v>567</v>
      </c>
      <c r="R547" t="s">
        <v>45</v>
      </c>
      <c r="T547" t="s">
        <v>27</v>
      </c>
      <c r="U547" t="s">
        <v>327</v>
      </c>
    </row>
    <row r="548" spans="1:21" x14ac:dyDescent="0.3">
      <c r="A548">
        <v>986</v>
      </c>
      <c r="B548" t="s">
        <v>50</v>
      </c>
      <c r="C548" t="s">
        <v>24</v>
      </c>
      <c r="J548" t="s">
        <v>324</v>
      </c>
      <c r="K548" s="3">
        <v>200</v>
      </c>
      <c r="L548" s="2">
        <v>0</v>
      </c>
      <c r="M548" s="2">
        <f t="shared" si="16"/>
        <v>200</v>
      </c>
      <c r="N548" s="2">
        <f t="shared" si="17"/>
        <v>10</v>
      </c>
      <c r="O548" s="7">
        <v>10</v>
      </c>
      <c r="P548" s="2">
        <v>0</v>
      </c>
      <c r="Q548" s="2">
        <v>210</v>
      </c>
      <c r="R548" t="s">
        <v>45</v>
      </c>
      <c r="T548" t="s">
        <v>27</v>
      </c>
      <c r="U548" t="s">
        <v>325</v>
      </c>
    </row>
    <row r="549" spans="1:21" x14ac:dyDescent="0.3">
      <c r="A549">
        <v>987</v>
      </c>
      <c r="B549" t="s">
        <v>23</v>
      </c>
      <c r="C549" t="s">
        <v>24</v>
      </c>
      <c r="J549" t="s">
        <v>227</v>
      </c>
      <c r="K549" s="3">
        <v>380</v>
      </c>
      <c r="L549" s="2">
        <v>0</v>
      </c>
      <c r="M549" s="2">
        <f t="shared" si="16"/>
        <v>380</v>
      </c>
      <c r="N549" s="2">
        <f t="shared" si="17"/>
        <v>19</v>
      </c>
      <c r="O549" s="7">
        <v>19</v>
      </c>
      <c r="P549" s="2">
        <v>0</v>
      </c>
      <c r="Q549" s="2">
        <v>399</v>
      </c>
      <c r="R549" t="s">
        <v>45</v>
      </c>
      <c r="T549" t="s">
        <v>27</v>
      </c>
      <c r="U549" t="s">
        <v>323</v>
      </c>
    </row>
    <row r="550" spans="1:21" x14ac:dyDescent="0.3">
      <c r="A550">
        <v>988</v>
      </c>
      <c r="B550" t="s">
        <v>96</v>
      </c>
      <c r="C550" t="s">
        <v>24</v>
      </c>
      <c r="J550" t="s">
        <v>321</v>
      </c>
      <c r="K550" s="3">
        <v>1145</v>
      </c>
      <c r="L550" s="2">
        <v>0</v>
      </c>
      <c r="M550" s="2">
        <f t="shared" si="16"/>
        <v>1145</v>
      </c>
      <c r="N550" s="2">
        <f t="shared" si="17"/>
        <v>57.25</v>
      </c>
      <c r="O550" s="7">
        <v>57.26</v>
      </c>
      <c r="P550" s="2">
        <v>-0.26</v>
      </c>
      <c r="Q550" s="2">
        <v>1202</v>
      </c>
      <c r="R550" t="s">
        <v>45</v>
      </c>
      <c r="T550" t="s">
        <v>27</v>
      </c>
      <c r="U550" t="s">
        <v>322</v>
      </c>
    </row>
    <row r="551" spans="1:21" x14ac:dyDescent="0.3">
      <c r="A551">
        <v>989</v>
      </c>
      <c r="B551" t="s">
        <v>318</v>
      </c>
      <c r="C551" t="s">
        <v>24</v>
      </c>
      <c r="J551" t="s">
        <v>319</v>
      </c>
      <c r="K551" s="3">
        <v>575</v>
      </c>
      <c r="L551" s="2">
        <v>0</v>
      </c>
      <c r="M551" s="2">
        <f t="shared" si="16"/>
        <v>575</v>
      </c>
      <c r="N551" s="2">
        <f t="shared" si="17"/>
        <v>28.75</v>
      </c>
      <c r="O551" s="7">
        <v>28.76</v>
      </c>
      <c r="P551" s="2">
        <v>0.24</v>
      </c>
      <c r="Q551" s="2">
        <v>604</v>
      </c>
      <c r="R551" t="s">
        <v>45</v>
      </c>
      <c r="T551" t="s">
        <v>27</v>
      </c>
      <c r="U551" t="s">
        <v>320</v>
      </c>
    </row>
    <row r="552" spans="1:21" x14ac:dyDescent="0.3">
      <c r="A552">
        <v>990</v>
      </c>
      <c r="B552" t="s">
        <v>53</v>
      </c>
      <c r="C552" t="s">
        <v>24</v>
      </c>
      <c r="J552" t="s">
        <v>316</v>
      </c>
      <c r="K552" s="3">
        <v>775</v>
      </c>
      <c r="L552" s="2">
        <v>0</v>
      </c>
      <c r="M552" s="2">
        <f t="shared" si="16"/>
        <v>775</v>
      </c>
      <c r="N552" s="2">
        <f t="shared" si="17"/>
        <v>38.75</v>
      </c>
      <c r="O552" s="7">
        <v>38.76</v>
      </c>
      <c r="P552" s="2">
        <v>0.24</v>
      </c>
      <c r="Q552" s="2">
        <v>814</v>
      </c>
      <c r="R552" t="s">
        <v>26</v>
      </c>
      <c r="T552" t="s">
        <v>27</v>
      </c>
      <c r="U552" t="s">
        <v>317</v>
      </c>
    </row>
    <row r="553" spans="1:21" x14ac:dyDescent="0.3">
      <c r="A553">
        <v>991</v>
      </c>
      <c r="B553" t="s">
        <v>149</v>
      </c>
      <c r="C553" t="s">
        <v>24</v>
      </c>
      <c r="J553" t="s">
        <v>314</v>
      </c>
      <c r="K553" s="3">
        <v>745</v>
      </c>
      <c r="L553" s="2">
        <v>74.5</v>
      </c>
      <c r="M553" s="2">
        <f t="shared" si="16"/>
        <v>670.5</v>
      </c>
      <c r="N553" s="2">
        <f t="shared" si="17"/>
        <v>33.524999999999999</v>
      </c>
      <c r="O553" s="7">
        <v>33.520000000000003</v>
      </c>
      <c r="P553" s="2">
        <v>-0.02</v>
      </c>
      <c r="Q553" s="2">
        <v>704</v>
      </c>
      <c r="R553" t="s">
        <v>31</v>
      </c>
      <c r="T553" t="s">
        <v>27</v>
      </c>
      <c r="U553" t="s">
        <v>315</v>
      </c>
    </row>
    <row r="554" spans="1:21" x14ac:dyDescent="0.3">
      <c r="A554">
        <v>992</v>
      </c>
      <c r="B554" t="s">
        <v>56</v>
      </c>
      <c r="C554" t="s">
        <v>24</v>
      </c>
      <c r="J554" t="s">
        <v>312</v>
      </c>
      <c r="K554" s="3">
        <v>1120</v>
      </c>
      <c r="L554" s="2">
        <v>0</v>
      </c>
      <c r="M554" s="2">
        <f t="shared" si="16"/>
        <v>1120</v>
      </c>
      <c r="N554" s="2">
        <f t="shared" si="17"/>
        <v>56</v>
      </c>
      <c r="O554" s="7">
        <v>56</v>
      </c>
      <c r="P554" s="2">
        <v>0</v>
      </c>
      <c r="Q554" s="2">
        <v>1176</v>
      </c>
      <c r="R554" t="s">
        <v>45</v>
      </c>
      <c r="T554" t="s">
        <v>27</v>
      </c>
      <c r="U554" t="s">
        <v>313</v>
      </c>
    </row>
    <row r="555" spans="1:21" x14ac:dyDescent="0.3">
      <c r="A555">
        <v>993</v>
      </c>
      <c r="B555" t="s">
        <v>64</v>
      </c>
      <c r="C555" t="s">
        <v>24</v>
      </c>
      <c r="J555" t="s">
        <v>310</v>
      </c>
      <c r="K555" s="3">
        <v>1765</v>
      </c>
      <c r="L555" s="2">
        <v>0</v>
      </c>
      <c r="M555" s="2">
        <f t="shared" si="16"/>
        <v>1765</v>
      </c>
      <c r="N555" s="2">
        <f t="shared" si="17"/>
        <v>88.25</v>
      </c>
      <c r="O555" s="7">
        <v>88.26</v>
      </c>
      <c r="P555" s="2">
        <v>-0.26</v>
      </c>
      <c r="Q555" s="2">
        <v>1853</v>
      </c>
      <c r="R555" t="s">
        <v>31</v>
      </c>
      <c r="T555" t="s">
        <v>27</v>
      </c>
      <c r="U555" t="s">
        <v>311</v>
      </c>
    </row>
    <row r="556" spans="1:21" x14ac:dyDescent="0.3">
      <c r="A556">
        <v>994</v>
      </c>
      <c r="B556" t="s">
        <v>50</v>
      </c>
      <c r="C556" t="s">
        <v>24</v>
      </c>
      <c r="J556" t="s">
        <v>1991</v>
      </c>
      <c r="K556" s="3">
        <v>3065</v>
      </c>
      <c r="L556" s="2">
        <v>0</v>
      </c>
      <c r="M556" s="2">
        <f t="shared" si="16"/>
        <v>3065</v>
      </c>
      <c r="N556" s="2">
        <f t="shared" si="17"/>
        <v>153.25</v>
      </c>
      <c r="O556" s="7">
        <v>153.26</v>
      </c>
      <c r="P556" s="2">
        <v>-0.26</v>
      </c>
      <c r="Q556" s="2">
        <v>3218</v>
      </c>
      <c r="R556" t="s">
        <v>26</v>
      </c>
      <c r="T556" t="s">
        <v>27</v>
      </c>
      <c r="U556" t="s">
        <v>309</v>
      </c>
    </row>
    <row r="557" spans="1:21" x14ac:dyDescent="0.3">
      <c r="A557">
        <v>995</v>
      </c>
      <c r="B557" t="s">
        <v>47</v>
      </c>
      <c r="C557" t="s">
        <v>24</v>
      </c>
      <c r="J557" t="s">
        <v>307</v>
      </c>
      <c r="K557" s="3">
        <v>800</v>
      </c>
      <c r="L557" s="2">
        <v>0</v>
      </c>
      <c r="M557" s="2">
        <f t="shared" si="16"/>
        <v>800</v>
      </c>
      <c r="N557" s="2">
        <f t="shared" si="17"/>
        <v>40</v>
      </c>
      <c r="O557" s="7">
        <v>40</v>
      </c>
      <c r="P557" s="2">
        <v>0</v>
      </c>
      <c r="Q557" s="2">
        <v>840</v>
      </c>
      <c r="R557" t="s">
        <v>45</v>
      </c>
      <c r="T557" t="s">
        <v>27</v>
      </c>
      <c r="U557" t="s">
        <v>308</v>
      </c>
    </row>
    <row r="558" spans="1:21" x14ac:dyDescent="0.3">
      <c r="A558">
        <v>996</v>
      </c>
      <c r="B558" t="s">
        <v>96</v>
      </c>
      <c r="C558" t="s">
        <v>24</v>
      </c>
      <c r="J558" t="s">
        <v>305</v>
      </c>
      <c r="K558" s="3">
        <v>720</v>
      </c>
      <c r="L558" s="2">
        <v>0</v>
      </c>
      <c r="M558" s="2">
        <f t="shared" si="16"/>
        <v>720</v>
      </c>
      <c r="N558" s="2">
        <f t="shared" si="17"/>
        <v>36</v>
      </c>
      <c r="O558" s="7">
        <v>36</v>
      </c>
      <c r="P558" s="2">
        <v>0</v>
      </c>
      <c r="Q558" s="2">
        <v>756</v>
      </c>
      <c r="R558" t="s">
        <v>45</v>
      </c>
      <c r="T558" t="s">
        <v>27</v>
      </c>
      <c r="U558" t="s">
        <v>306</v>
      </c>
    </row>
    <row r="559" spans="1:21" x14ac:dyDescent="0.3">
      <c r="A559">
        <v>997</v>
      </c>
      <c r="B559" t="s">
        <v>302</v>
      </c>
      <c r="C559" t="s">
        <v>24</v>
      </c>
      <c r="J559" t="s">
        <v>303</v>
      </c>
      <c r="K559" s="3">
        <v>1875</v>
      </c>
      <c r="L559" s="2">
        <v>0</v>
      </c>
      <c r="M559" s="2">
        <f t="shared" si="16"/>
        <v>1875</v>
      </c>
      <c r="N559" s="2">
        <f t="shared" si="17"/>
        <v>93.75</v>
      </c>
      <c r="O559" s="7">
        <v>93.76</v>
      </c>
      <c r="P559" s="2">
        <v>0.24</v>
      </c>
      <c r="Q559" s="2">
        <v>1969</v>
      </c>
      <c r="R559" t="s">
        <v>26</v>
      </c>
      <c r="T559" t="s">
        <v>27</v>
      </c>
      <c r="U559" t="s">
        <v>304</v>
      </c>
    </row>
    <row r="560" spans="1:21" x14ac:dyDescent="0.3">
      <c r="A560">
        <v>998</v>
      </c>
      <c r="B560" t="s">
        <v>61</v>
      </c>
      <c r="C560" t="s">
        <v>24</v>
      </c>
      <c r="J560" t="s">
        <v>1990</v>
      </c>
      <c r="K560" s="3">
        <v>2995</v>
      </c>
      <c r="L560" s="2">
        <v>299.5</v>
      </c>
      <c r="M560" s="2">
        <f t="shared" si="16"/>
        <v>2695.5</v>
      </c>
      <c r="N560" s="2">
        <f t="shared" si="17"/>
        <v>134.77500000000001</v>
      </c>
      <c r="O560" s="7">
        <v>132.08000000000001</v>
      </c>
      <c r="P560" s="2">
        <v>0.42</v>
      </c>
      <c r="Q560" s="2">
        <v>2828</v>
      </c>
      <c r="R560" t="s">
        <v>31</v>
      </c>
      <c r="T560" t="s">
        <v>27</v>
      </c>
      <c r="U560" t="s">
        <v>301</v>
      </c>
    </row>
    <row r="561" spans="1:21" x14ac:dyDescent="0.3">
      <c r="A561">
        <v>999</v>
      </c>
      <c r="B561" t="s">
        <v>50</v>
      </c>
      <c r="C561" t="s">
        <v>24</v>
      </c>
      <c r="J561" t="s">
        <v>1989</v>
      </c>
      <c r="K561" s="3">
        <v>2840</v>
      </c>
      <c r="L561" s="2">
        <v>568</v>
      </c>
      <c r="M561" s="2">
        <f t="shared" si="16"/>
        <v>2272</v>
      </c>
      <c r="N561" s="2">
        <f t="shared" si="17"/>
        <v>113.60000000000001</v>
      </c>
      <c r="O561" s="7">
        <v>113.6</v>
      </c>
      <c r="P561" s="2">
        <v>0.4</v>
      </c>
      <c r="Q561" s="2">
        <v>2386</v>
      </c>
      <c r="R561" t="s">
        <v>31</v>
      </c>
      <c r="T561" t="s">
        <v>27</v>
      </c>
      <c r="U561" t="s">
        <v>300</v>
      </c>
    </row>
    <row r="562" spans="1:21" x14ac:dyDescent="0.3">
      <c r="A562">
        <v>1000</v>
      </c>
      <c r="B562" t="s">
        <v>56</v>
      </c>
      <c r="C562" t="s">
        <v>24</v>
      </c>
      <c r="J562" t="s">
        <v>78</v>
      </c>
      <c r="K562" s="3">
        <v>840</v>
      </c>
      <c r="L562" s="2">
        <v>0</v>
      </c>
      <c r="M562" s="2">
        <f t="shared" si="16"/>
        <v>840</v>
      </c>
      <c r="N562" s="2">
        <f t="shared" si="17"/>
        <v>42</v>
      </c>
      <c r="O562" s="7">
        <v>42</v>
      </c>
      <c r="P562" s="2">
        <v>0</v>
      </c>
      <c r="Q562" s="2">
        <v>882</v>
      </c>
      <c r="R562" t="s">
        <v>31</v>
      </c>
      <c r="T562" t="s">
        <v>27</v>
      </c>
      <c r="U562" t="s">
        <v>299</v>
      </c>
    </row>
    <row r="563" spans="1:21" x14ac:dyDescent="0.3">
      <c r="A563">
        <v>1001</v>
      </c>
      <c r="B563" t="s">
        <v>149</v>
      </c>
      <c r="C563" t="s">
        <v>24</v>
      </c>
      <c r="J563" t="s">
        <v>297</v>
      </c>
      <c r="K563" s="3">
        <v>875</v>
      </c>
      <c r="L563" s="2">
        <v>0</v>
      </c>
      <c r="M563" s="2">
        <f t="shared" si="16"/>
        <v>875</v>
      </c>
      <c r="N563" s="2">
        <f t="shared" si="17"/>
        <v>43.75</v>
      </c>
      <c r="O563" s="7">
        <v>43.76</v>
      </c>
      <c r="P563" s="2">
        <v>0.24</v>
      </c>
      <c r="Q563" s="2">
        <v>919</v>
      </c>
      <c r="R563" t="s">
        <v>31</v>
      </c>
      <c r="T563" t="s">
        <v>27</v>
      </c>
      <c r="U563" t="s">
        <v>298</v>
      </c>
    </row>
    <row r="564" spans="1:21" x14ac:dyDescent="0.3">
      <c r="A564">
        <v>1002</v>
      </c>
      <c r="B564" t="s">
        <v>23</v>
      </c>
      <c r="C564" t="s">
        <v>24</v>
      </c>
      <c r="J564" t="s">
        <v>295</v>
      </c>
      <c r="K564" s="3">
        <v>1315</v>
      </c>
      <c r="L564" s="2">
        <v>131.5</v>
      </c>
      <c r="M564" s="2">
        <f t="shared" si="16"/>
        <v>1183.5</v>
      </c>
      <c r="N564" s="2">
        <f t="shared" si="17"/>
        <v>59.175000000000004</v>
      </c>
      <c r="O564" s="7">
        <v>59.18</v>
      </c>
      <c r="P564" s="2">
        <v>0.32</v>
      </c>
      <c r="Q564" s="2">
        <v>1243</v>
      </c>
      <c r="R564" t="s">
        <v>31</v>
      </c>
      <c r="T564" t="s">
        <v>27</v>
      </c>
      <c r="U564" t="s">
        <v>296</v>
      </c>
    </row>
    <row r="565" spans="1:21" x14ac:dyDescent="0.3">
      <c r="A565">
        <v>1003</v>
      </c>
      <c r="B565" t="s">
        <v>292</v>
      </c>
      <c r="C565" t="s">
        <v>24</v>
      </c>
      <c r="J565" t="s">
        <v>293</v>
      </c>
      <c r="K565" s="3">
        <v>190</v>
      </c>
      <c r="L565" s="2">
        <v>0</v>
      </c>
      <c r="M565" s="2">
        <f t="shared" si="16"/>
        <v>190</v>
      </c>
      <c r="N565" s="2">
        <f t="shared" si="17"/>
        <v>9.5</v>
      </c>
      <c r="O565" s="7">
        <v>9.5</v>
      </c>
      <c r="P565" s="2">
        <v>0.5</v>
      </c>
      <c r="Q565" s="2">
        <v>200</v>
      </c>
      <c r="R565" t="s">
        <v>45</v>
      </c>
      <c r="T565" t="s">
        <v>27</v>
      </c>
      <c r="U565" t="s">
        <v>294</v>
      </c>
    </row>
    <row r="566" spans="1:21" x14ac:dyDescent="0.3">
      <c r="A566">
        <v>1004</v>
      </c>
      <c r="B566" t="s">
        <v>288</v>
      </c>
      <c r="C566" t="s">
        <v>24</v>
      </c>
      <c r="D566" t="s">
        <v>289</v>
      </c>
      <c r="J566" t="s">
        <v>290</v>
      </c>
      <c r="K566" s="3">
        <v>0</v>
      </c>
      <c r="L566" s="2">
        <v>0</v>
      </c>
      <c r="M566" s="2">
        <f t="shared" si="16"/>
        <v>0</v>
      </c>
      <c r="N566" s="2">
        <f t="shared" si="17"/>
        <v>0</v>
      </c>
      <c r="O566" s="7">
        <v>0</v>
      </c>
      <c r="P566" s="2">
        <v>0</v>
      </c>
      <c r="Q566" s="2">
        <v>0</v>
      </c>
      <c r="R566" t="s">
        <v>35</v>
      </c>
      <c r="T566" t="s">
        <v>27</v>
      </c>
      <c r="U566" t="s">
        <v>291</v>
      </c>
    </row>
    <row r="567" spans="1:21" x14ac:dyDescent="0.3">
      <c r="A567">
        <v>1005</v>
      </c>
      <c r="B567" t="s">
        <v>64</v>
      </c>
      <c r="C567" t="s">
        <v>24</v>
      </c>
      <c r="J567" t="s">
        <v>286</v>
      </c>
      <c r="K567" s="3">
        <v>520</v>
      </c>
      <c r="L567" s="2">
        <v>0</v>
      </c>
      <c r="M567" s="2">
        <f t="shared" si="16"/>
        <v>520</v>
      </c>
      <c r="N567" s="2">
        <f t="shared" si="17"/>
        <v>26</v>
      </c>
      <c r="O567" s="7">
        <v>26</v>
      </c>
      <c r="P567" s="2">
        <v>0</v>
      </c>
      <c r="Q567" s="2">
        <v>546</v>
      </c>
      <c r="R567" t="s">
        <v>45</v>
      </c>
      <c r="T567" t="s">
        <v>27</v>
      </c>
      <c r="U567" t="s">
        <v>287</v>
      </c>
    </row>
    <row r="568" spans="1:21" x14ac:dyDescent="0.3">
      <c r="A568">
        <v>1006</v>
      </c>
      <c r="B568" t="s">
        <v>284</v>
      </c>
      <c r="C568" t="s">
        <v>24</v>
      </c>
      <c r="J568" t="s">
        <v>135</v>
      </c>
      <c r="K568" s="3">
        <v>165</v>
      </c>
      <c r="L568" s="2">
        <v>0</v>
      </c>
      <c r="M568" s="2">
        <f t="shared" si="16"/>
        <v>165</v>
      </c>
      <c r="N568" s="2">
        <f t="shared" si="17"/>
        <v>8.25</v>
      </c>
      <c r="O568" s="7">
        <v>8.26</v>
      </c>
      <c r="P568" s="2">
        <v>-0.26</v>
      </c>
      <c r="Q568" s="2">
        <v>173</v>
      </c>
      <c r="R568" t="s">
        <v>45</v>
      </c>
      <c r="T568" t="s">
        <v>27</v>
      </c>
      <c r="U568" t="s">
        <v>285</v>
      </c>
    </row>
    <row r="569" spans="1:21" x14ac:dyDescent="0.3">
      <c r="A569">
        <v>1007</v>
      </c>
      <c r="B569" t="s">
        <v>281</v>
      </c>
      <c r="C569" t="s">
        <v>24</v>
      </c>
      <c r="J569" t="s">
        <v>282</v>
      </c>
      <c r="K569" s="3">
        <v>425</v>
      </c>
      <c r="L569" s="2">
        <v>0</v>
      </c>
      <c r="M569" s="2">
        <f t="shared" si="16"/>
        <v>425</v>
      </c>
      <c r="N569" s="2">
        <f t="shared" si="17"/>
        <v>21.25</v>
      </c>
      <c r="O569" s="7">
        <v>21.26</v>
      </c>
      <c r="P569" s="2">
        <v>-0.26</v>
      </c>
      <c r="Q569" s="2">
        <v>446</v>
      </c>
      <c r="R569" t="s">
        <v>45</v>
      </c>
      <c r="T569" t="s">
        <v>27</v>
      </c>
      <c r="U569" t="s">
        <v>283</v>
      </c>
    </row>
    <row r="570" spans="1:21" x14ac:dyDescent="0.3">
      <c r="A570">
        <v>1008</v>
      </c>
      <c r="B570" t="s">
        <v>47</v>
      </c>
      <c r="C570" t="s">
        <v>24</v>
      </c>
      <c r="J570" t="s">
        <v>279</v>
      </c>
      <c r="K570" s="3">
        <v>615</v>
      </c>
      <c r="L570" s="2">
        <v>0</v>
      </c>
      <c r="M570" s="2">
        <f t="shared" si="16"/>
        <v>615</v>
      </c>
      <c r="N570" s="2">
        <f t="shared" si="17"/>
        <v>30.75</v>
      </c>
      <c r="O570" s="7">
        <v>30.76</v>
      </c>
      <c r="P570" s="2">
        <v>0.24</v>
      </c>
      <c r="Q570" s="2">
        <v>646</v>
      </c>
      <c r="R570" t="s">
        <v>35</v>
      </c>
      <c r="T570" t="s">
        <v>27</v>
      </c>
      <c r="U570" t="s">
        <v>280</v>
      </c>
    </row>
    <row r="571" spans="1:21" x14ac:dyDescent="0.3">
      <c r="A571">
        <v>1009</v>
      </c>
      <c r="B571" t="s">
        <v>277</v>
      </c>
      <c r="C571" t="s">
        <v>24</v>
      </c>
      <c r="J571" t="s">
        <v>138</v>
      </c>
      <c r="K571" s="3">
        <v>290</v>
      </c>
      <c r="L571" s="2">
        <v>0</v>
      </c>
      <c r="M571" s="2">
        <f t="shared" si="16"/>
        <v>290</v>
      </c>
      <c r="N571" s="2">
        <f t="shared" si="17"/>
        <v>14.5</v>
      </c>
      <c r="O571" s="7">
        <v>14.5</v>
      </c>
      <c r="P571" s="2">
        <v>0.5</v>
      </c>
      <c r="Q571" s="2">
        <v>305</v>
      </c>
      <c r="R571" t="s">
        <v>35</v>
      </c>
      <c r="T571" t="s">
        <v>27</v>
      </c>
      <c r="U571" t="s">
        <v>278</v>
      </c>
    </row>
    <row r="572" spans="1:21" x14ac:dyDescent="0.3">
      <c r="A572">
        <v>1010</v>
      </c>
      <c r="B572" t="s">
        <v>23</v>
      </c>
      <c r="C572" t="s">
        <v>24</v>
      </c>
      <c r="J572" t="s">
        <v>275</v>
      </c>
      <c r="K572" s="3">
        <v>545</v>
      </c>
      <c r="L572" s="2">
        <v>0</v>
      </c>
      <c r="M572" s="2">
        <f t="shared" si="16"/>
        <v>545</v>
      </c>
      <c r="N572" s="2">
        <f t="shared" si="17"/>
        <v>27.25</v>
      </c>
      <c r="O572" s="7">
        <v>27.26</v>
      </c>
      <c r="P572" s="2">
        <v>-0.26</v>
      </c>
      <c r="Q572" s="2">
        <v>572</v>
      </c>
      <c r="R572" t="s">
        <v>45</v>
      </c>
      <c r="T572" t="s">
        <v>27</v>
      </c>
      <c r="U572" t="s">
        <v>276</v>
      </c>
    </row>
    <row r="573" spans="1:21" x14ac:dyDescent="0.3">
      <c r="A573">
        <v>1011</v>
      </c>
      <c r="B573" t="s">
        <v>273</v>
      </c>
      <c r="C573" t="s">
        <v>24</v>
      </c>
      <c r="J573" t="s">
        <v>34</v>
      </c>
      <c r="K573" s="3">
        <v>390</v>
      </c>
      <c r="L573" s="2">
        <v>0</v>
      </c>
      <c r="M573" s="2">
        <f t="shared" si="16"/>
        <v>390</v>
      </c>
      <c r="N573" s="2">
        <f t="shared" si="17"/>
        <v>19.5</v>
      </c>
      <c r="O573" s="7">
        <v>19.5</v>
      </c>
      <c r="P573" s="2">
        <v>0.5</v>
      </c>
      <c r="Q573" s="2">
        <v>410</v>
      </c>
      <c r="R573" t="s">
        <v>45</v>
      </c>
      <c r="T573" t="s">
        <v>27</v>
      </c>
      <c r="U573" t="s">
        <v>274</v>
      </c>
    </row>
    <row r="574" spans="1:21" x14ac:dyDescent="0.3">
      <c r="A574">
        <v>1012</v>
      </c>
      <c r="B574" t="s">
        <v>61</v>
      </c>
      <c r="C574" t="s">
        <v>24</v>
      </c>
      <c r="J574" t="s">
        <v>264</v>
      </c>
      <c r="K574" s="3">
        <v>169</v>
      </c>
      <c r="L574" s="2">
        <v>0</v>
      </c>
      <c r="M574" s="2">
        <f t="shared" si="16"/>
        <v>169</v>
      </c>
      <c r="N574" s="2">
        <f t="shared" si="17"/>
        <v>8.4500000000000011</v>
      </c>
      <c r="O574" s="7">
        <v>30.42</v>
      </c>
      <c r="P574" s="2">
        <v>-0.42</v>
      </c>
      <c r="Q574" s="2">
        <v>199</v>
      </c>
      <c r="R574" t="s">
        <v>45</v>
      </c>
      <c r="T574" t="s">
        <v>27</v>
      </c>
      <c r="U574" t="s">
        <v>272</v>
      </c>
    </row>
    <row r="575" spans="1:21" x14ac:dyDescent="0.3">
      <c r="A575">
        <v>1013</v>
      </c>
      <c r="B575" t="s">
        <v>269</v>
      </c>
      <c r="C575" t="s">
        <v>24</v>
      </c>
      <c r="J575" t="s">
        <v>270</v>
      </c>
      <c r="K575" s="3">
        <v>935</v>
      </c>
      <c r="L575" s="2">
        <v>0</v>
      </c>
      <c r="M575" s="2">
        <f t="shared" si="16"/>
        <v>935</v>
      </c>
      <c r="N575" s="2">
        <f t="shared" si="17"/>
        <v>46.75</v>
      </c>
      <c r="O575" s="7">
        <v>46.76</v>
      </c>
      <c r="P575" s="2">
        <v>0.24</v>
      </c>
      <c r="Q575" s="2">
        <v>982</v>
      </c>
      <c r="R575" t="s">
        <v>45</v>
      </c>
      <c r="T575" t="s">
        <v>27</v>
      </c>
      <c r="U575" t="s">
        <v>271</v>
      </c>
    </row>
    <row r="576" spans="1:21" x14ac:dyDescent="0.3">
      <c r="A576">
        <v>1014</v>
      </c>
      <c r="B576" t="s">
        <v>266</v>
      </c>
      <c r="C576" t="s">
        <v>24</v>
      </c>
      <c r="J576" t="s">
        <v>267</v>
      </c>
      <c r="K576" s="3">
        <v>1815</v>
      </c>
      <c r="L576" s="2">
        <v>0</v>
      </c>
      <c r="M576" s="2">
        <f t="shared" si="16"/>
        <v>1815</v>
      </c>
      <c r="N576" s="2">
        <f t="shared" si="17"/>
        <v>90.75</v>
      </c>
      <c r="O576" s="7">
        <v>90.76</v>
      </c>
      <c r="P576" s="2">
        <v>0.24</v>
      </c>
      <c r="Q576" s="2">
        <v>1906</v>
      </c>
      <c r="R576" t="s">
        <v>45</v>
      </c>
      <c r="T576" t="s">
        <v>27</v>
      </c>
      <c r="U576" t="s">
        <v>268</v>
      </c>
    </row>
    <row r="577" spans="1:21" x14ac:dyDescent="0.3">
      <c r="A577">
        <v>1015</v>
      </c>
      <c r="B577" t="s">
        <v>56</v>
      </c>
      <c r="C577" t="s">
        <v>24</v>
      </c>
      <c r="J577" t="s">
        <v>264</v>
      </c>
      <c r="K577" s="3">
        <v>169</v>
      </c>
      <c r="L577" s="2">
        <v>0</v>
      </c>
      <c r="M577" s="2">
        <f t="shared" si="16"/>
        <v>169</v>
      </c>
      <c r="N577" s="2">
        <f t="shared" si="17"/>
        <v>8.4500000000000011</v>
      </c>
      <c r="O577" s="7">
        <v>30.42</v>
      </c>
      <c r="P577" s="2">
        <v>-0.42</v>
      </c>
      <c r="Q577" s="2">
        <v>199</v>
      </c>
      <c r="R577" t="s">
        <v>45</v>
      </c>
      <c r="T577" t="s">
        <v>27</v>
      </c>
      <c r="U577" t="s">
        <v>265</v>
      </c>
    </row>
    <row r="578" spans="1:21" x14ac:dyDescent="0.3">
      <c r="A578">
        <v>1016</v>
      </c>
      <c r="B578" t="s">
        <v>50</v>
      </c>
      <c r="C578" t="s">
        <v>24</v>
      </c>
      <c r="J578" t="s">
        <v>262</v>
      </c>
      <c r="K578" s="3">
        <v>490</v>
      </c>
      <c r="L578" s="2">
        <v>0</v>
      </c>
      <c r="M578" s="2">
        <f t="shared" si="16"/>
        <v>490</v>
      </c>
      <c r="N578" s="2">
        <f t="shared" si="17"/>
        <v>24.5</v>
      </c>
      <c r="O578" s="7">
        <v>24.5</v>
      </c>
      <c r="P578" s="2">
        <v>0.5</v>
      </c>
      <c r="Q578" s="2">
        <v>515</v>
      </c>
      <c r="R578" t="s">
        <v>45</v>
      </c>
      <c r="T578" t="s">
        <v>27</v>
      </c>
      <c r="U578" t="s">
        <v>263</v>
      </c>
    </row>
    <row r="579" spans="1:21" x14ac:dyDescent="0.3">
      <c r="A579">
        <v>1017</v>
      </c>
      <c r="B579" t="s">
        <v>259</v>
      </c>
      <c r="C579" t="s">
        <v>24</v>
      </c>
      <c r="J579" t="s">
        <v>260</v>
      </c>
      <c r="K579" s="3">
        <v>1375</v>
      </c>
      <c r="L579" s="2">
        <v>137.5</v>
      </c>
      <c r="M579" s="2">
        <f t="shared" si="16"/>
        <v>1237.5</v>
      </c>
      <c r="N579" s="2">
        <f t="shared" si="17"/>
        <v>61.875</v>
      </c>
      <c r="O579" s="7">
        <v>61.88</v>
      </c>
      <c r="P579" s="2">
        <v>-0.38</v>
      </c>
      <c r="Q579" s="2">
        <v>1299</v>
      </c>
      <c r="R579" t="s">
        <v>31</v>
      </c>
      <c r="T579" t="s">
        <v>27</v>
      </c>
      <c r="U579" t="s">
        <v>261</v>
      </c>
    </row>
    <row r="580" spans="1:21" x14ac:dyDescent="0.3">
      <c r="A580">
        <v>1018</v>
      </c>
      <c r="B580" t="s">
        <v>256</v>
      </c>
      <c r="C580" t="s">
        <v>24</v>
      </c>
      <c r="J580" t="s">
        <v>257</v>
      </c>
      <c r="K580" s="3">
        <v>770</v>
      </c>
      <c r="L580" s="2">
        <v>77</v>
      </c>
      <c r="M580" s="2">
        <f t="shared" si="16"/>
        <v>693</v>
      </c>
      <c r="N580" s="2">
        <f t="shared" si="17"/>
        <v>34.65</v>
      </c>
      <c r="O580" s="7">
        <v>34.659999999999997</v>
      </c>
      <c r="P580" s="2">
        <v>0.34</v>
      </c>
      <c r="Q580" s="2">
        <v>728</v>
      </c>
      <c r="R580" t="s">
        <v>35</v>
      </c>
      <c r="T580" t="s">
        <v>27</v>
      </c>
      <c r="U580" t="s">
        <v>258</v>
      </c>
    </row>
    <row r="581" spans="1:21" x14ac:dyDescent="0.3">
      <c r="A581">
        <v>1019</v>
      </c>
      <c r="B581" t="s">
        <v>253</v>
      </c>
      <c r="C581" t="s">
        <v>24</v>
      </c>
      <c r="J581" t="s">
        <v>254</v>
      </c>
      <c r="K581" s="3">
        <v>0</v>
      </c>
      <c r="L581" s="2">
        <v>0</v>
      </c>
      <c r="M581" s="2">
        <f t="shared" si="16"/>
        <v>0</v>
      </c>
      <c r="N581" s="2">
        <f t="shared" si="17"/>
        <v>0</v>
      </c>
      <c r="O581" s="7">
        <v>0</v>
      </c>
      <c r="P581" s="2">
        <v>0</v>
      </c>
      <c r="Q581" s="2">
        <v>0</v>
      </c>
      <c r="R581" t="s">
        <v>35</v>
      </c>
      <c r="T581" t="s">
        <v>27</v>
      </c>
      <c r="U581" t="s">
        <v>255</v>
      </c>
    </row>
    <row r="582" spans="1:21" x14ac:dyDescent="0.3">
      <c r="A582">
        <v>1020</v>
      </c>
      <c r="B582" t="s">
        <v>29</v>
      </c>
      <c r="C582" t="s">
        <v>24</v>
      </c>
      <c r="J582" t="s">
        <v>251</v>
      </c>
      <c r="K582" s="3">
        <v>1455</v>
      </c>
      <c r="L582" s="2">
        <v>0</v>
      </c>
      <c r="M582" s="2">
        <f t="shared" si="16"/>
        <v>1455</v>
      </c>
      <c r="N582" s="2">
        <f t="shared" si="17"/>
        <v>72.75</v>
      </c>
      <c r="O582" s="7">
        <v>66.760000000000005</v>
      </c>
      <c r="P582" s="2">
        <v>0.24</v>
      </c>
      <c r="Q582" s="2">
        <v>1522</v>
      </c>
      <c r="R582" t="s">
        <v>31</v>
      </c>
      <c r="T582" t="s">
        <v>27</v>
      </c>
      <c r="U582" t="s">
        <v>252</v>
      </c>
    </row>
    <row r="583" spans="1:21" x14ac:dyDescent="0.3">
      <c r="A583">
        <v>1021</v>
      </c>
      <c r="B583" t="s">
        <v>248</v>
      </c>
      <c r="C583" t="s">
        <v>24</v>
      </c>
      <c r="J583" t="s">
        <v>249</v>
      </c>
      <c r="K583" s="3">
        <v>359</v>
      </c>
      <c r="L583" s="2">
        <v>0</v>
      </c>
      <c r="M583" s="2">
        <f t="shared" ref="M583:M646" si="18">K583-L583</f>
        <v>359</v>
      </c>
      <c r="N583" s="2">
        <f t="shared" ref="N583:N646" si="19">M583*5%</f>
        <v>17.95</v>
      </c>
      <c r="O583" s="7">
        <v>39.92</v>
      </c>
      <c r="P583" s="2">
        <v>0.08</v>
      </c>
      <c r="Q583" s="2">
        <v>399</v>
      </c>
      <c r="R583" t="s">
        <v>45</v>
      </c>
      <c r="T583" t="s">
        <v>27</v>
      </c>
      <c r="U583" t="s">
        <v>250</v>
      </c>
    </row>
    <row r="584" spans="1:21" x14ac:dyDescent="0.3">
      <c r="A584">
        <v>1022</v>
      </c>
      <c r="B584" t="s">
        <v>245</v>
      </c>
      <c r="C584" t="s">
        <v>24</v>
      </c>
      <c r="J584" t="s">
        <v>246</v>
      </c>
      <c r="K584" s="3">
        <v>1273</v>
      </c>
      <c r="L584" s="2">
        <v>0</v>
      </c>
      <c r="M584" s="2">
        <f t="shared" si="18"/>
        <v>1273</v>
      </c>
      <c r="N584" s="2">
        <f t="shared" si="19"/>
        <v>63.650000000000006</v>
      </c>
      <c r="O584" s="7">
        <v>104.6</v>
      </c>
      <c r="P584" s="2">
        <v>0.4</v>
      </c>
      <c r="Q584" s="2">
        <v>1378</v>
      </c>
      <c r="R584" t="s">
        <v>45</v>
      </c>
      <c r="T584" t="s">
        <v>27</v>
      </c>
      <c r="U584" t="s">
        <v>247</v>
      </c>
    </row>
    <row r="585" spans="1:21" x14ac:dyDescent="0.3">
      <c r="A585">
        <v>1023</v>
      </c>
      <c r="B585" t="s">
        <v>242</v>
      </c>
      <c r="C585" t="s">
        <v>24</v>
      </c>
      <c r="J585" t="s">
        <v>243</v>
      </c>
      <c r="K585" s="3">
        <v>1045</v>
      </c>
      <c r="L585" s="2">
        <v>0</v>
      </c>
      <c r="M585" s="2">
        <f t="shared" si="18"/>
        <v>1045</v>
      </c>
      <c r="N585" s="2">
        <f t="shared" si="19"/>
        <v>52.25</v>
      </c>
      <c r="O585" s="7">
        <v>52.26</v>
      </c>
      <c r="P585" s="2">
        <v>-0.26</v>
      </c>
      <c r="Q585" s="2">
        <v>1097</v>
      </c>
      <c r="R585" t="s">
        <v>45</v>
      </c>
      <c r="T585" t="s">
        <v>27</v>
      </c>
      <c r="U585" t="s">
        <v>244</v>
      </c>
    </row>
    <row r="586" spans="1:21" x14ac:dyDescent="0.3">
      <c r="A586">
        <v>1024</v>
      </c>
      <c r="B586" t="s">
        <v>239</v>
      </c>
      <c r="C586" t="s">
        <v>24</v>
      </c>
      <c r="J586" t="s">
        <v>240</v>
      </c>
      <c r="K586" s="3">
        <v>1955</v>
      </c>
      <c r="L586" s="2">
        <v>195.5</v>
      </c>
      <c r="M586" s="2">
        <f t="shared" si="18"/>
        <v>1759.5</v>
      </c>
      <c r="N586" s="2">
        <f t="shared" si="19"/>
        <v>87.975000000000009</v>
      </c>
      <c r="O586" s="7">
        <v>87.98</v>
      </c>
      <c r="P586" s="2">
        <v>-0.48</v>
      </c>
      <c r="Q586" s="2">
        <v>1847</v>
      </c>
      <c r="R586" t="s">
        <v>45</v>
      </c>
      <c r="T586" t="s">
        <v>27</v>
      </c>
      <c r="U586" t="s">
        <v>241</v>
      </c>
    </row>
    <row r="587" spans="1:21" x14ac:dyDescent="0.3">
      <c r="A587">
        <v>1025</v>
      </c>
      <c r="B587" t="s">
        <v>237</v>
      </c>
      <c r="C587" t="s">
        <v>24</v>
      </c>
      <c r="J587" t="s">
        <v>30</v>
      </c>
      <c r="K587" s="3">
        <v>380</v>
      </c>
      <c r="L587" s="2">
        <v>0</v>
      </c>
      <c r="M587" s="2">
        <f t="shared" si="18"/>
        <v>380</v>
      </c>
      <c r="N587" s="2">
        <f t="shared" si="19"/>
        <v>19</v>
      </c>
      <c r="O587" s="7">
        <v>19</v>
      </c>
      <c r="P587" s="2">
        <v>0</v>
      </c>
      <c r="Q587" s="2">
        <v>399</v>
      </c>
      <c r="R587" t="s">
        <v>45</v>
      </c>
      <c r="T587" t="s">
        <v>27</v>
      </c>
      <c r="U587" t="s">
        <v>238</v>
      </c>
    </row>
    <row r="588" spans="1:21" x14ac:dyDescent="0.3">
      <c r="A588">
        <v>1026</v>
      </c>
      <c r="B588" t="s">
        <v>235</v>
      </c>
      <c r="C588" t="s">
        <v>24</v>
      </c>
      <c r="J588" t="s">
        <v>129</v>
      </c>
      <c r="K588" s="3">
        <v>325</v>
      </c>
      <c r="L588" s="2">
        <v>0</v>
      </c>
      <c r="M588" s="2">
        <f t="shared" si="18"/>
        <v>325</v>
      </c>
      <c r="N588" s="2">
        <f t="shared" si="19"/>
        <v>16.25</v>
      </c>
      <c r="O588" s="7">
        <v>16.260000000000002</v>
      </c>
      <c r="P588" s="2">
        <v>-0.26</v>
      </c>
      <c r="Q588" s="2">
        <v>341</v>
      </c>
      <c r="R588" t="s">
        <v>45</v>
      </c>
      <c r="T588" t="s">
        <v>27</v>
      </c>
      <c r="U588" t="s">
        <v>236</v>
      </c>
    </row>
    <row r="589" spans="1:21" x14ac:dyDescent="0.3">
      <c r="A589">
        <v>1027</v>
      </c>
      <c r="B589" t="s">
        <v>232</v>
      </c>
      <c r="C589" t="s">
        <v>24</v>
      </c>
      <c r="J589" t="s">
        <v>233</v>
      </c>
      <c r="K589" s="3">
        <v>795</v>
      </c>
      <c r="L589" s="2">
        <v>79.5</v>
      </c>
      <c r="M589" s="2">
        <f t="shared" si="18"/>
        <v>715.5</v>
      </c>
      <c r="N589" s="2">
        <f t="shared" si="19"/>
        <v>35.774999999999999</v>
      </c>
      <c r="O589" s="7">
        <v>35.78</v>
      </c>
      <c r="P589" s="2">
        <v>-0.28000000000000003</v>
      </c>
      <c r="Q589" s="2">
        <v>751</v>
      </c>
      <c r="R589" t="s">
        <v>45</v>
      </c>
      <c r="T589" t="s">
        <v>27</v>
      </c>
      <c r="U589" t="s">
        <v>234</v>
      </c>
    </row>
    <row r="590" spans="1:21" x14ac:dyDescent="0.3">
      <c r="A590">
        <v>1028</v>
      </c>
      <c r="B590" t="s">
        <v>229</v>
      </c>
      <c r="C590" t="s">
        <v>24</v>
      </c>
      <c r="J590" t="s">
        <v>230</v>
      </c>
      <c r="K590" s="3">
        <v>0</v>
      </c>
      <c r="L590" s="2">
        <v>0</v>
      </c>
      <c r="M590" s="2">
        <f t="shared" si="18"/>
        <v>0</v>
      </c>
      <c r="N590" s="2">
        <f t="shared" si="19"/>
        <v>0</v>
      </c>
      <c r="O590" s="7">
        <v>0</v>
      </c>
      <c r="P590" s="2">
        <v>0</v>
      </c>
      <c r="Q590" s="2">
        <v>0</v>
      </c>
      <c r="R590" t="s">
        <v>35</v>
      </c>
      <c r="T590" t="s">
        <v>27</v>
      </c>
      <c r="U590" t="s">
        <v>231</v>
      </c>
    </row>
    <row r="591" spans="1:21" x14ac:dyDescent="0.3">
      <c r="A591">
        <v>1029</v>
      </c>
      <c r="B591" t="s">
        <v>226</v>
      </c>
      <c r="C591" t="s">
        <v>24</v>
      </c>
      <c r="J591" t="s">
        <v>227</v>
      </c>
      <c r="K591" s="3">
        <v>380</v>
      </c>
      <c r="L591" s="2">
        <v>0</v>
      </c>
      <c r="M591" s="2">
        <f t="shared" si="18"/>
        <v>380</v>
      </c>
      <c r="N591" s="2">
        <f t="shared" si="19"/>
        <v>19</v>
      </c>
      <c r="O591" s="7">
        <v>19</v>
      </c>
      <c r="P591" s="2">
        <v>0</v>
      </c>
      <c r="Q591" s="2">
        <v>399</v>
      </c>
      <c r="R591" t="s">
        <v>45</v>
      </c>
      <c r="T591" t="s">
        <v>27</v>
      </c>
      <c r="U591" t="s">
        <v>228</v>
      </c>
    </row>
    <row r="592" spans="1:21" x14ac:dyDescent="0.3">
      <c r="A592">
        <v>1030</v>
      </c>
      <c r="B592" t="s">
        <v>37</v>
      </c>
      <c r="C592" t="s">
        <v>24</v>
      </c>
      <c r="J592" t="s">
        <v>106</v>
      </c>
      <c r="K592" s="3">
        <v>0</v>
      </c>
      <c r="L592" s="2">
        <v>0</v>
      </c>
      <c r="M592" s="2">
        <f t="shared" si="18"/>
        <v>0</v>
      </c>
      <c r="N592" s="2">
        <f t="shared" si="19"/>
        <v>0</v>
      </c>
      <c r="O592" s="7">
        <v>0</v>
      </c>
      <c r="P592" s="2">
        <v>0</v>
      </c>
      <c r="Q592" s="2">
        <v>0</v>
      </c>
      <c r="R592" t="s">
        <v>35</v>
      </c>
      <c r="T592" t="s">
        <v>27</v>
      </c>
      <c r="U592" t="s">
        <v>225</v>
      </c>
    </row>
    <row r="593" spans="1:21" x14ac:dyDescent="0.3">
      <c r="A593">
        <v>1031</v>
      </c>
      <c r="B593" t="s">
        <v>50</v>
      </c>
      <c r="C593" t="s">
        <v>24</v>
      </c>
      <c r="J593" t="s">
        <v>223</v>
      </c>
      <c r="K593" s="3">
        <v>920</v>
      </c>
      <c r="L593" s="2">
        <v>92</v>
      </c>
      <c r="M593" s="2">
        <f t="shared" si="18"/>
        <v>828</v>
      </c>
      <c r="N593" s="2">
        <f t="shared" si="19"/>
        <v>41.400000000000006</v>
      </c>
      <c r="O593" s="7">
        <v>41.4</v>
      </c>
      <c r="P593" s="2">
        <v>-0.4</v>
      </c>
      <c r="Q593" s="2">
        <v>869</v>
      </c>
      <c r="R593" t="s">
        <v>45</v>
      </c>
      <c r="T593" t="s">
        <v>27</v>
      </c>
      <c r="U593" t="s">
        <v>224</v>
      </c>
    </row>
    <row r="594" spans="1:21" x14ac:dyDescent="0.3">
      <c r="A594">
        <v>1032</v>
      </c>
      <c r="B594" t="s">
        <v>64</v>
      </c>
      <c r="C594" t="s">
        <v>24</v>
      </c>
      <c r="J594" t="s">
        <v>106</v>
      </c>
      <c r="K594" s="3">
        <v>1000</v>
      </c>
      <c r="L594" s="2">
        <v>0</v>
      </c>
      <c r="M594" s="2">
        <f t="shared" si="18"/>
        <v>1000</v>
      </c>
      <c r="N594" s="2">
        <f t="shared" si="19"/>
        <v>50</v>
      </c>
      <c r="O594" s="7">
        <v>50</v>
      </c>
      <c r="P594" s="2">
        <v>0</v>
      </c>
      <c r="Q594" s="2">
        <v>1050</v>
      </c>
      <c r="R594" t="s">
        <v>45</v>
      </c>
      <c r="T594" t="s">
        <v>27</v>
      </c>
      <c r="U594" t="s">
        <v>222</v>
      </c>
    </row>
    <row r="595" spans="1:21" x14ac:dyDescent="0.3">
      <c r="A595">
        <v>1033</v>
      </c>
      <c r="B595" t="s">
        <v>23</v>
      </c>
      <c r="C595" t="s">
        <v>24</v>
      </c>
      <c r="J595" t="s">
        <v>220</v>
      </c>
      <c r="K595" s="3">
        <v>220</v>
      </c>
      <c r="L595" s="2">
        <v>0</v>
      </c>
      <c r="M595" s="2">
        <f t="shared" si="18"/>
        <v>220</v>
      </c>
      <c r="N595" s="2">
        <f t="shared" si="19"/>
        <v>11</v>
      </c>
      <c r="O595" s="7">
        <v>11</v>
      </c>
      <c r="P595" s="2">
        <v>0</v>
      </c>
      <c r="Q595" s="2">
        <v>231</v>
      </c>
      <c r="R595" t="s">
        <v>31</v>
      </c>
      <c r="T595" t="s">
        <v>27</v>
      </c>
      <c r="U595" t="s">
        <v>221</v>
      </c>
    </row>
    <row r="596" spans="1:21" x14ac:dyDescent="0.3">
      <c r="A596">
        <v>1034</v>
      </c>
      <c r="B596" t="s">
        <v>149</v>
      </c>
      <c r="C596" t="s">
        <v>24</v>
      </c>
      <c r="J596" t="s">
        <v>218</v>
      </c>
      <c r="K596" s="3">
        <v>595</v>
      </c>
      <c r="L596" s="2">
        <v>0</v>
      </c>
      <c r="M596" s="2">
        <f t="shared" si="18"/>
        <v>595</v>
      </c>
      <c r="N596" s="2">
        <f t="shared" si="19"/>
        <v>29.75</v>
      </c>
      <c r="O596" s="7">
        <v>29.76</v>
      </c>
      <c r="P596" s="2">
        <v>0.24</v>
      </c>
      <c r="Q596" s="2">
        <v>625</v>
      </c>
      <c r="R596" t="s">
        <v>45</v>
      </c>
      <c r="T596" t="s">
        <v>27</v>
      </c>
      <c r="U596" t="s">
        <v>219</v>
      </c>
    </row>
    <row r="597" spans="1:21" x14ac:dyDescent="0.3">
      <c r="A597">
        <v>1035</v>
      </c>
      <c r="B597" t="s">
        <v>67</v>
      </c>
      <c r="C597" t="s">
        <v>24</v>
      </c>
      <c r="J597" t="s">
        <v>216</v>
      </c>
      <c r="K597" s="3">
        <v>770</v>
      </c>
      <c r="L597" s="2">
        <v>0</v>
      </c>
      <c r="M597" s="2">
        <f t="shared" si="18"/>
        <v>770</v>
      </c>
      <c r="N597" s="2">
        <f t="shared" si="19"/>
        <v>38.5</v>
      </c>
      <c r="O597" s="7">
        <v>38.5</v>
      </c>
      <c r="P597" s="2">
        <v>0.5</v>
      </c>
      <c r="Q597" s="2">
        <v>809</v>
      </c>
      <c r="R597" t="s">
        <v>26</v>
      </c>
      <c r="T597" t="s">
        <v>27</v>
      </c>
      <c r="U597" t="s">
        <v>217</v>
      </c>
    </row>
    <row r="598" spans="1:21" x14ac:dyDescent="0.3">
      <c r="A598">
        <v>1036</v>
      </c>
      <c r="B598" t="s">
        <v>64</v>
      </c>
      <c r="C598" t="s">
        <v>24</v>
      </c>
      <c r="J598" t="s">
        <v>214</v>
      </c>
      <c r="K598" s="3">
        <v>1125</v>
      </c>
      <c r="L598" s="2">
        <v>112.5</v>
      </c>
      <c r="M598" s="2">
        <f t="shared" si="18"/>
        <v>1012.5</v>
      </c>
      <c r="N598" s="2">
        <f t="shared" si="19"/>
        <v>50.625</v>
      </c>
      <c r="O598" s="7">
        <v>50.62</v>
      </c>
      <c r="P598" s="2">
        <v>-0.12</v>
      </c>
      <c r="Q598" s="2">
        <v>1063</v>
      </c>
      <c r="R598" t="s">
        <v>45</v>
      </c>
      <c r="T598" t="s">
        <v>27</v>
      </c>
      <c r="U598" t="s">
        <v>215</v>
      </c>
    </row>
    <row r="599" spans="1:21" x14ac:dyDescent="0.3">
      <c r="A599">
        <v>1037</v>
      </c>
      <c r="B599" t="s">
        <v>23</v>
      </c>
      <c r="C599" t="s">
        <v>24</v>
      </c>
      <c r="J599" t="s">
        <v>212</v>
      </c>
      <c r="K599" s="3">
        <v>1110</v>
      </c>
      <c r="L599" s="2">
        <v>0</v>
      </c>
      <c r="M599" s="2">
        <f t="shared" si="18"/>
        <v>1110</v>
      </c>
      <c r="N599" s="2">
        <f t="shared" si="19"/>
        <v>55.5</v>
      </c>
      <c r="O599" s="7">
        <v>55.5</v>
      </c>
      <c r="P599" s="2">
        <v>0.5</v>
      </c>
      <c r="Q599" s="2">
        <v>1166</v>
      </c>
      <c r="R599" t="s">
        <v>45</v>
      </c>
      <c r="T599" t="s">
        <v>27</v>
      </c>
      <c r="U599" t="s">
        <v>213</v>
      </c>
    </row>
    <row r="600" spans="1:21" x14ac:dyDescent="0.3">
      <c r="A600">
        <v>1038</v>
      </c>
      <c r="B600" t="s">
        <v>67</v>
      </c>
      <c r="C600" t="s">
        <v>24</v>
      </c>
      <c r="J600" t="s">
        <v>208</v>
      </c>
      <c r="K600" s="3">
        <v>2074</v>
      </c>
      <c r="L600" s="2">
        <v>0</v>
      </c>
      <c r="M600" s="2">
        <f t="shared" si="18"/>
        <v>2074</v>
      </c>
      <c r="N600" s="2">
        <f t="shared" si="19"/>
        <v>103.7</v>
      </c>
      <c r="O600" s="7">
        <v>93.96</v>
      </c>
      <c r="P600" s="2">
        <v>0.04</v>
      </c>
      <c r="Q600" s="2">
        <v>0</v>
      </c>
      <c r="R600" t="s">
        <v>209</v>
      </c>
      <c r="S600" t="s">
        <v>210</v>
      </c>
      <c r="T600" t="s">
        <v>27</v>
      </c>
      <c r="U600" t="s">
        <v>211</v>
      </c>
    </row>
    <row r="601" spans="1:21" x14ac:dyDescent="0.3">
      <c r="A601">
        <v>1039</v>
      </c>
      <c r="B601" t="s">
        <v>206</v>
      </c>
      <c r="C601" t="s">
        <v>24</v>
      </c>
      <c r="J601" t="s">
        <v>86</v>
      </c>
      <c r="K601" s="3">
        <v>480</v>
      </c>
      <c r="L601" s="2">
        <v>0</v>
      </c>
      <c r="M601" s="2">
        <f t="shared" si="18"/>
        <v>480</v>
      </c>
      <c r="N601" s="2">
        <f t="shared" si="19"/>
        <v>24</v>
      </c>
      <c r="O601" s="7">
        <v>24</v>
      </c>
      <c r="P601" s="2">
        <v>0</v>
      </c>
      <c r="Q601" s="2">
        <v>504</v>
      </c>
      <c r="R601" t="s">
        <v>35</v>
      </c>
      <c r="T601" t="s">
        <v>27</v>
      </c>
      <c r="U601" t="s">
        <v>207</v>
      </c>
    </row>
    <row r="602" spans="1:21" x14ac:dyDescent="0.3">
      <c r="A602">
        <v>1040</v>
      </c>
      <c r="B602" t="s">
        <v>56</v>
      </c>
      <c r="C602" t="s">
        <v>24</v>
      </c>
      <c r="J602" t="s">
        <v>204</v>
      </c>
      <c r="K602" s="3">
        <v>770</v>
      </c>
      <c r="L602" s="2">
        <v>0</v>
      </c>
      <c r="M602" s="2">
        <f t="shared" si="18"/>
        <v>770</v>
      </c>
      <c r="N602" s="2">
        <f t="shared" si="19"/>
        <v>38.5</v>
      </c>
      <c r="O602" s="7">
        <v>38.5</v>
      </c>
      <c r="P602" s="2">
        <v>0.5</v>
      </c>
      <c r="Q602" s="2">
        <v>809</v>
      </c>
      <c r="R602" t="s">
        <v>31</v>
      </c>
      <c r="T602" t="s">
        <v>27</v>
      </c>
      <c r="U602" t="s">
        <v>205</v>
      </c>
    </row>
    <row r="603" spans="1:21" x14ac:dyDescent="0.3">
      <c r="A603">
        <v>1041</v>
      </c>
      <c r="B603" t="s">
        <v>201</v>
      </c>
      <c r="C603" t="s">
        <v>24</v>
      </c>
      <c r="J603" t="s">
        <v>202</v>
      </c>
      <c r="K603" s="3">
        <v>550</v>
      </c>
      <c r="L603" s="2">
        <v>0</v>
      </c>
      <c r="M603" s="2">
        <f t="shared" si="18"/>
        <v>550</v>
      </c>
      <c r="N603" s="2">
        <f t="shared" si="19"/>
        <v>27.5</v>
      </c>
      <c r="O603" s="7">
        <v>27.5</v>
      </c>
      <c r="P603" s="2">
        <v>0.5</v>
      </c>
      <c r="Q603" s="2">
        <v>578</v>
      </c>
      <c r="R603" t="s">
        <v>45</v>
      </c>
      <c r="T603" t="s">
        <v>27</v>
      </c>
      <c r="U603" t="s">
        <v>203</v>
      </c>
    </row>
    <row r="604" spans="1:21" x14ac:dyDescent="0.3">
      <c r="A604">
        <v>1042</v>
      </c>
      <c r="B604" t="s">
        <v>67</v>
      </c>
      <c r="C604" t="s">
        <v>24</v>
      </c>
      <c r="J604" t="s">
        <v>199</v>
      </c>
      <c r="K604" s="3">
        <v>2025</v>
      </c>
      <c r="L604" s="2">
        <v>0</v>
      </c>
      <c r="M604" s="2">
        <f t="shared" si="18"/>
        <v>2025</v>
      </c>
      <c r="N604" s="2">
        <f t="shared" si="19"/>
        <v>101.25</v>
      </c>
      <c r="O604" s="7">
        <v>101.26</v>
      </c>
      <c r="P604" s="2">
        <v>-0.26</v>
      </c>
      <c r="Q604" s="2">
        <v>2126</v>
      </c>
      <c r="R604" t="s">
        <v>45</v>
      </c>
      <c r="T604" t="s">
        <v>27</v>
      </c>
      <c r="U604" t="s">
        <v>200</v>
      </c>
    </row>
    <row r="605" spans="1:21" x14ac:dyDescent="0.3">
      <c r="A605">
        <v>1043</v>
      </c>
      <c r="B605" t="s">
        <v>47</v>
      </c>
      <c r="C605" t="s">
        <v>24</v>
      </c>
      <c r="J605" t="s">
        <v>197</v>
      </c>
      <c r="K605" s="3">
        <v>645</v>
      </c>
      <c r="L605" s="2">
        <v>64.5</v>
      </c>
      <c r="M605" s="2">
        <f t="shared" si="18"/>
        <v>580.5</v>
      </c>
      <c r="N605" s="2">
        <f t="shared" si="19"/>
        <v>29.025000000000002</v>
      </c>
      <c r="O605" s="7">
        <v>22.28</v>
      </c>
      <c r="P605" s="2">
        <v>0.22</v>
      </c>
      <c r="Q605" s="2">
        <v>603</v>
      </c>
      <c r="R605" t="s">
        <v>35</v>
      </c>
      <c r="T605" t="s">
        <v>27</v>
      </c>
      <c r="U605" t="s">
        <v>198</v>
      </c>
    </row>
    <row r="606" spans="1:21" x14ac:dyDescent="0.3">
      <c r="A606">
        <v>1044</v>
      </c>
      <c r="B606" t="s">
        <v>194</v>
      </c>
      <c r="C606" t="s">
        <v>24</v>
      </c>
      <c r="J606" t="s">
        <v>195</v>
      </c>
      <c r="K606" s="3">
        <v>0</v>
      </c>
      <c r="L606" s="2">
        <v>0</v>
      </c>
      <c r="M606" s="2">
        <f t="shared" si="18"/>
        <v>0</v>
      </c>
      <c r="N606" s="2">
        <f t="shared" si="19"/>
        <v>0</v>
      </c>
      <c r="O606" s="7">
        <v>0</v>
      </c>
      <c r="P606" s="2">
        <v>0</v>
      </c>
      <c r="Q606" s="2">
        <v>0</v>
      </c>
      <c r="R606" t="s">
        <v>35</v>
      </c>
      <c r="T606" t="s">
        <v>27</v>
      </c>
      <c r="U606" t="s">
        <v>196</v>
      </c>
    </row>
    <row r="607" spans="1:21" x14ac:dyDescent="0.3">
      <c r="A607">
        <v>1045</v>
      </c>
      <c r="B607" t="s">
        <v>33</v>
      </c>
      <c r="C607" t="s">
        <v>24</v>
      </c>
      <c r="J607" t="s">
        <v>192</v>
      </c>
      <c r="K607" s="3">
        <v>0</v>
      </c>
      <c r="L607" s="2">
        <v>0</v>
      </c>
      <c r="M607" s="2">
        <f t="shared" si="18"/>
        <v>0</v>
      </c>
      <c r="N607" s="2">
        <f t="shared" si="19"/>
        <v>0</v>
      </c>
      <c r="O607" s="7">
        <v>0</v>
      </c>
      <c r="P607" s="2">
        <v>0</v>
      </c>
      <c r="Q607" s="2">
        <v>0</v>
      </c>
      <c r="R607" t="s">
        <v>35</v>
      </c>
      <c r="T607" t="s">
        <v>27</v>
      </c>
      <c r="U607" t="s">
        <v>193</v>
      </c>
    </row>
    <row r="608" spans="1:21" x14ac:dyDescent="0.3">
      <c r="A608">
        <v>1046</v>
      </c>
      <c r="B608" t="s">
        <v>189</v>
      </c>
      <c r="C608" t="s">
        <v>24</v>
      </c>
      <c r="J608" t="s">
        <v>190</v>
      </c>
      <c r="K608" s="3">
        <v>410</v>
      </c>
      <c r="L608" s="2">
        <v>0</v>
      </c>
      <c r="M608" s="2">
        <f t="shared" si="18"/>
        <v>410</v>
      </c>
      <c r="N608" s="2">
        <f t="shared" si="19"/>
        <v>20.5</v>
      </c>
      <c r="O608" s="7">
        <v>14.5</v>
      </c>
      <c r="P608" s="2">
        <v>0.5</v>
      </c>
      <c r="Q608" s="2">
        <v>425</v>
      </c>
      <c r="R608" t="s">
        <v>31</v>
      </c>
      <c r="T608" t="s">
        <v>27</v>
      </c>
      <c r="U608" t="s">
        <v>191</v>
      </c>
    </row>
    <row r="609" spans="1:21" x14ac:dyDescent="0.3">
      <c r="A609">
        <v>359</v>
      </c>
      <c r="B609" t="s">
        <v>23</v>
      </c>
      <c r="C609" t="s">
        <v>24</v>
      </c>
      <c r="J609" t="s">
        <v>1904</v>
      </c>
      <c r="K609" s="3">
        <v>1495</v>
      </c>
      <c r="L609" s="2">
        <v>0</v>
      </c>
      <c r="M609" s="2">
        <f t="shared" si="18"/>
        <v>1495</v>
      </c>
      <c r="N609" s="2">
        <f t="shared" si="19"/>
        <v>74.75</v>
      </c>
      <c r="O609" s="7">
        <v>74.760000000000005</v>
      </c>
      <c r="P609" s="2">
        <v>0.24</v>
      </c>
      <c r="Q609" s="2">
        <v>1570</v>
      </c>
      <c r="R609" t="s">
        <v>45</v>
      </c>
      <c r="T609" t="s">
        <v>27</v>
      </c>
      <c r="U609" t="s">
        <v>1905</v>
      </c>
    </row>
    <row r="610" spans="1:21" x14ac:dyDescent="0.3">
      <c r="A610">
        <v>360</v>
      </c>
      <c r="B610" t="s">
        <v>1900</v>
      </c>
      <c r="C610" t="s">
        <v>24</v>
      </c>
      <c r="D610" t="s">
        <v>1901</v>
      </c>
      <c r="J610" t="s">
        <v>1902</v>
      </c>
      <c r="K610" s="3">
        <v>775</v>
      </c>
      <c r="L610" s="2">
        <v>0</v>
      </c>
      <c r="M610" s="2">
        <f t="shared" si="18"/>
        <v>775</v>
      </c>
      <c r="N610" s="2">
        <f t="shared" si="19"/>
        <v>38.75</v>
      </c>
      <c r="O610" s="7">
        <v>38.76</v>
      </c>
      <c r="P610" s="2">
        <v>0.24</v>
      </c>
      <c r="Q610" s="2">
        <v>814</v>
      </c>
      <c r="R610" t="s">
        <v>45</v>
      </c>
      <c r="T610" t="s">
        <v>27</v>
      </c>
      <c r="U610" t="s">
        <v>1903</v>
      </c>
    </row>
    <row r="611" spans="1:21" x14ac:dyDescent="0.3">
      <c r="A611">
        <v>361</v>
      </c>
      <c r="B611" t="s">
        <v>1897</v>
      </c>
      <c r="C611" t="s">
        <v>24</v>
      </c>
      <c r="D611" t="s">
        <v>1898</v>
      </c>
      <c r="J611" t="s">
        <v>651</v>
      </c>
      <c r="K611" s="3">
        <v>280</v>
      </c>
      <c r="L611" s="2">
        <v>0</v>
      </c>
      <c r="M611" s="2">
        <f t="shared" si="18"/>
        <v>280</v>
      </c>
      <c r="N611" s="2">
        <f t="shared" si="19"/>
        <v>14</v>
      </c>
      <c r="O611" s="7">
        <v>14</v>
      </c>
      <c r="P611" s="2">
        <v>0</v>
      </c>
      <c r="Q611" s="2">
        <v>294</v>
      </c>
      <c r="R611" t="s">
        <v>45</v>
      </c>
      <c r="T611" t="s">
        <v>27</v>
      </c>
      <c r="U611" t="s">
        <v>1899</v>
      </c>
    </row>
    <row r="612" spans="1:21" x14ac:dyDescent="0.3">
      <c r="A612">
        <v>362</v>
      </c>
      <c r="B612" t="s">
        <v>61</v>
      </c>
      <c r="C612" t="s">
        <v>24</v>
      </c>
      <c r="J612" t="s">
        <v>1895</v>
      </c>
      <c r="K612" s="3">
        <v>1230</v>
      </c>
      <c r="L612" s="2">
        <v>0</v>
      </c>
      <c r="M612" s="2">
        <f t="shared" si="18"/>
        <v>1230</v>
      </c>
      <c r="N612" s="2">
        <f t="shared" si="19"/>
        <v>61.5</v>
      </c>
      <c r="O612" s="7">
        <v>61.5</v>
      </c>
      <c r="P612" s="2">
        <v>0.5</v>
      </c>
      <c r="Q612" s="2">
        <v>1292</v>
      </c>
      <c r="R612" t="s">
        <v>31</v>
      </c>
      <c r="T612" t="s">
        <v>27</v>
      </c>
      <c r="U612" t="s">
        <v>1896</v>
      </c>
    </row>
    <row r="613" spans="1:21" x14ac:dyDescent="0.3">
      <c r="A613">
        <v>363</v>
      </c>
      <c r="B613" t="s">
        <v>1891</v>
      </c>
      <c r="C613" t="s">
        <v>24</v>
      </c>
      <c r="D613" t="s">
        <v>1892</v>
      </c>
      <c r="J613" t="s">
        <v>1893</v>
      </c>
      <c r="K613" s="3">
        <v>1270</v>
      </c>
      <c r="L613" s="2">
        <v>0</v>
      </c>
      <c r="M613" s="2">
        <f t="shared" si="18"/>
        <v>1270</v>
      </c>
      <c r="N613" s="2">
        <f t="shared" si="19"/>
        <v>63.5</v>
      </c>
      <c r="O613" s="7">
        <v>63.5</v>
      </c>
      <c r="P613" s="2">
        <v>0.5</v>
      </c>
      <c r="Q613" s="2">
        <v>1334</v>
      </c>
      <c r="R613" t="s">
        <v>31</v>
      </c>
      <c r="T613" t="s">
        <v>27</v>
      </c>
      <c r="U613" t="s">
        <v>1894</v>
      </c>
    </row>
    <row r="614" spans="1:21" x14ac:dyDescent="0.3">
      <c r="A614">
        <v>364</v>
      </c>
      <c r="B614" t="s">
        <v>64</v>
      </c>
      <c r="C614" t="s">
        <v>24</v>
      </c>
      <c r="J614" t="s">
        <v>1889</v>
      </c>
      <c r="K614" s="3">
        <v>965</v>
      </c>
      <c r="L614" s="2">
        <v>0</v>
      </c>
      <c r="M614" s="2">
        <f t="shared" si="18"/>
        <v>965</v>
      </c>
      <c r="N614" s="2">
        <f t="shared" si="19"/>
        <v>48.25</v>
      </c>
      <c r="O614" s="7">
        <v>48.26</v>
      </c>
      <c r="P614" s="2">
        <v>-0.26</v>
      </c>
      <c r="Q614" s="2">
        <v>1013</v>
      </c>
      <c r="R614" t="s">
        <v>31</v>
      </c>
      <c r="T614" t="s">
        <v>27</v>
      </c>
      <c r="U614" t="s">
        <v>1890</v>
      </c>
    </row>
    <row r="615" spans="1:21" x14ac:dyDescent="0.3">
      <c r="A615">
        <v>365</v>
      </c>
      <c r="B615" t="s">
        <v>47</v>
      </c>
      <c r="C615" t="s">
        <v>24</v>
      </c>
      <c r="J615" t="s">
        <v>1887</v>
      </c>
      <c r="K615" s="3">
        <v>750</v>
      </c>
      <c r="L615" s="2">
        <v>0</v>
      </c>
      <c r="M615" s="2">
        <f t="shared" si="18"/>
        <v>750</v>
      </c>
      <c r="N615" s="2">
        <f t="shared" si="19"/>
        <v>37.5</v>
      </c>
      <c r="O615" s="7">
        <v>37.5</v>
      </c>
      <c r="P615" s="2">
        <v>0.5</v>
      </c>
      <c r="Q615" s="2">
        <v>788</v>
      </c>
      <c r="R615" t="s">
        <v>35</v>
      </c>
      <c r="T615" t="s">
        <v>27</v>
      </c>
      <c r="U615" t="s">
        <v>1888</v>
      </c>
    </row>
    <row r="616" spans="1:21" x14ac:dyDescent="0.3">
      <c r="A616">
        <v>366</v>
      </c>
      <c r="B616" t="s">
        <v>1263</v>
      </c>
      <c r="C616" t="s">
        <v>24</v>
      </c>
      <c r="D616" t="s">
        <v>1884</v>
      </c>
      <c r="J616" t="s">
        <v>1885</v>
      </c>
      <c r="K616" s="3">
        <v>900</v>
      </c>
      <c r="L616" s="2">
        <v>0</v>
      </c>
      <c r="M616" s="2">
        <f t="shared" si="18"/>
        <v>900</v>
      </c>
      <c r="N616" s="2">
        <f t="shared" si="19"/>
        <v>45</v>
      </c>
      <c r="O616" s="7">
        <v>45</v>
      </c>
      <c r="P616" s="2">
        <v>0</v>
      </c>
      <c r="Q616" s="2">
        <v>945</v>
      </c>
      <c r="R616" t="s">
        <v>35</v>
      </c>
      <c r="T616" t="s">
        <v>27</v>
      </c>
      <c r="U616" t="s">
        <v>1886</v>
      </c>
    </row>
    <row r="617" spans="1:21" x14ac:dyDescent="0.3">
      <c r="A617">
        <v>367</v>
      </c>
      <c r="B617" t="s">
        <v>1880</v>
      </c>
      <c r="C617" t="s">
        <v>24</v>
      </c>
      <c r="D617" t="s">
        <v>1881</v>
      </c>
      <c r="J617" t="s">
        <v>1882</v>
      </c>
      <c r="K617" s="3">
        <v>720</v>
      </c>
      <c r="L617" s="2">
        <v>0</v>
      </c>
      <c r="M617" s="2">
        <f t="shared" si="18"/>
        <v>720</v>
      </c>
      <c r="N617" s="2">
        <f t="shared" si="19"/>
        <v>36</v>
      </c>
      <c r="O617" s="7">
        <v>36</v>
      </c>
      <c r="P617" s="2">
        <v>0</v>
      </c>
      <c r="Q617" s="2">
        <v>756</v>
      </c>
      <c r="R617" t="s">
        <v>31</v>
      </c>
      <c r="T617" t="s">
        <v>27</v>
      </c>
      <c r="U617" t="s">
        <v>1883</v>
      </c>
    </row>
    <row r="618" spans="1:21" x14ac:dyDescent="0.3">
      <c r="A618">
        <v>368</v>
      </c>
      <c r="B618" t="s">
        <v>117</v>
      </c>
      <c r="C618" t="s">
        <v>24</v>
      </c>
      <c r="D618" t="s">
        <v>1160</v>
      </c>
      <c r="J618" t="s">
        <v>1878</v>
      </c>
      <c r="K618" s="3">
        <v>1275</v>
      </c>
      <c r="L618" s="2">
        <v>0</v>
      </c>
      <c r="M618" s="2">
        <f t="shared" si="18"/>
        <v>1275</v>
      </c>
      <c r="N618" s="2">
        <f t="shared" si="19"/>
        <v>63.75</v>
      </c>
      <c r="O618" s="7">
        <v>63.76</v>
      </c>
      <c r="P618" s="2">
        <v>0.24</v>
      </c>
      <c r="Q618" s="2">
        <v>1339</v>
      </c>
      <c r="R618" t="s">
        <v>31</v>
      </c>
      <c r="T618" t="s">
        <v>27</v>
      </c>
      <c r="U618" t="s">
        <v>1879</v>
      </c>
    </row>
    <row r="619" spans="1:21" x14ac:dyDescent="0.3">
      <c r="A619">
        <v>369</v>
      </c>
      <c r="B619" t="s">
        <v>1078</v>
      </c>
      <c r="C619" t="s">
        <v>24</v>
      </c>
      <c r="D619" t="s">
        <v>802</v>
      </c>
      <c r="J619" t="s">
        <v>1089</v>
      </c>
      <c r="K619" s="3">
        <v>420</v>
      </c>
      <c r="L619" s="2">
        <v>42</v>
      </c>
      <c r="M619" s="2">
        <f t="shared" si="18"/>
        <v>378</v>
      </c>
      <c r="N619" s="2">
        <f t="shared" si="19"/>
        <v>18.900000000000002</v>
      </c>
      <c r="O619" s="7">
        <v>18.899999999999999</v>
      </c>
      <c r="P619" s="2">
        <v>0.1</v>
      </c>
      <c r="Q619" s="2">
        <v>397</v>
      </c>
      <c r="R619" t="s">
        <v>31</v>
      </c>
      <c r="T619" t="s">
        <v>27</v>
      </c>
      <c r="U619" t="s">
        <v>1877</v>
      </c>
    </row>
    <row r="620" spans="1:21" x14ac:dyDescent="0.3">
      <c r="A620">
        <v>370</v>
      </c>
      <c r="B620" t="s">
        <v>40</v>
      </c>
      <c r="C620" t="s">
        <v>24</v>
      </c>
      <c r="D620" t="s">
        <v>1874</v>
      </c>
      <c r="J620" t="s">
        <v>1875</v>
      </c>
      <c r="K620" s="3">
        <v>0</v>
      </c>
      <c r="L620" s="2">
        <v>0</v>
      </c>
      <c r="M620" s="2">
        <f t="shared" si="18"/>
        <v>0</v>
      </c>
      <c r="N620" s="2">
        <f t="shared" si="19"/>
        <v>0</v>
      </c>
      <c r="O620" s="7">
        <v>0</v>
      </c>
      <c r="P620" s="2">
        <v>0</v>
      </c>
      <c r="Q620" s="2">
        <v>0</v>
      </c>
      <c r="R620" t="s">
        <v>35</v>
      </c>
      <c r="T620" t="s">
        <v>27</v>
      </c>
      <c r="U620" t="s">
        <v>1876</v>
      </c>
    </row>
    <row r="621" spans="1:21" x14ac:dyDescent="0.3">
      <c r="A621">
        <v>371</v>
      </c>
      <c r="B621" t="s">
        <v>33</v>
      </c>
      <c r="C621" t="s">
        <v>24</v>
      </c>
      <c r="D621" t="s">
        <v>1871</v>
      </c>
      <c r="J621" t="s">
        <v>1872</v>
      </c>
      <c r="K621" s="3">
        <v>0</v>
      </c>
      <c r="L621" s="2">
        <v>0</v>
      </c>
      <c r="M621" s="2">
        <f t="shared" si="18"/>
        <v>0</v>
      </c>
      <c r="N621" s="2">
        <f t="shared" si="19"/>
        <v>0</v>
      </c>
      <c r="O621" s="7">
        <v>0</v>
      </c>
      <c r="P621" s="2">
        <v>0</v>
      </c>
      <c r="Q621" s="2">
        <v>0</v>
      </c>
      <c r="R621" t="s">
        <v>35</v>
      </c>
      <c r="T621" t="s">
        <v>27</v>
      </c>
      <c r="U621" t="s">
        <v>1873</v>
      </c>
    </row>
    <row r="622" spans="1:21" x14ac:dyDescent="0.3">
      <c r="A622">
        <v>1047</v>
      </c>
      <c r="B622" t="s">
        <v>53</v>
      </c>
      <c r="C622" t="s">
        <v>24</v>
      </c>
      <c r="J622" t="s">
        <v>187</v>
      </c>
      <c r="K622" s="3">
        <v>615</v>
      </c>
      <c r="L622" s="2">
        <v>0</v>
      </c>
      <c r="M622" s="2">
        <f t="shared" si="18"/>
        <v>615</v>
      </c>
      <c r="N622" s="2">
        <f t="shared" si="19"/>
        <v>30.75</v>
      </c>
      <c r="O622" s="7">
        <v>30.76</v>
      </c>
      <c r="P622" s="2">
        <v>0.24</v>
      </c>
      <c r="Q622" s="2">
        <v>646</v>
      </c>
      <c r="R622" t="s">
        <v>45</v>
      </c>
      <c r="T622" t="s">
        <v>27</v>
      </c>
      <c r="U622" t="s">
        <v>188</v>
      </c>
    </row>
    <row r="623" spans="1:21" x14ac:dyDescent="0.3">
      <c r="A623">
        <v>1048</v>
      </c>
      <c r="B623" t="s">
        <v>50</v>
      </c>
      <c r="C623" t="s">
        <v>24</v>
      </c>
      <c r="J623" t="s">
        <v>1988</v>
      </c>
      <c r="K623" s="3">
        <v>3370</v>
      </c>
      <c r="L623" s="2">
        <v>0</v>
      </c>
      <c r="M623" s="2">
        <f t="shared" si="18"/>
        <v>3370</v>
      </c>
      <c r="N623" s="2">
        <f t="shared" si="19"/>
        <v>168.5</v>
      </c>
      <c r="O623" s="7">
        <v>168.5</v>
      </c>
      <c r="P623" s="2">
        <v>0.5</v>
      </c>
      <c r="Q623" s="2">
        <v>3539</v>
      </c>
      <c r="R623" t="s">
        <v>35</v>
      </c>
      <c r="T623" t="s">
        <v>27</v>
      </c>
      <c r="U623" t="s">
        <v>186</v>
      </c>
    </row>
    <row r="624" spans="1:21" x14ac:dyDescent="0.3">
      <c r="A624">
        <v>1049</v>
      </c>
      <c r="B624" t="s">
        <v>67</v>
      </c>
      <c r="C624" t="s">
        <v>24</v>
      </c>
      <c r="J624" t="s">
        <v>184</v>
      </c>
      <c r="K624" s="3">
        <v>575</v>
      </c>
      <c r="L624" s="2">
        <v>0</v>
      </c>
      <c r="M624" s="2">
        <f t="shared" si="18"/>
        <v>575</v>
      </c>
      <c r="N624" s="2">
        <f t="shared" si="19"/>
        <v>28.75</v>
      </c>
      <c r="O624" s="7">
        <v>28.76</v>
      </c>
      <c r="P624" s="2">
        <v>0.24</v>
      </c>
      <c r="Q624" s="2">
        <v>604</v>
      </c>
      <c r="R624" t="s">
        <v>26</v>
      </c>
      <c r="T624" t="s">
        <v>27</v>
      </c>
      <c r="U624" t="s">
        <v>185</v>
      </c>
    </row>
    <row r="625" spans="1:21" x14ac:dyDescent="0.3">
      <c r="A625">
        <v>1050</v>
      </c>
      <c r="B625" t="s">
        <v>64</v>
      </c>
      <c r="C625" t="s">
        <v>24</v>
      </c>
      <c r="J625" t="s">
        <v>182</v>
      </c>
      <c r="K625" s="3">
        <v>995</v>
      </c>
      <c r="L625" s="2">
        <v>0</v>
      </c>
      <c r="M625" s="2">
        <f t="shared" si="18"/>
        <v>995</v>
      </c>
      <c r="N625" s="2">
        <f t="shared" si="19"/>
        <v>49.75</v>
      </c>
      <c r="O625" s="7">
        <v>49.76</v>
      </c>
      <c r="P625" s="2">
        <v>0.24</v>
      </c>
      <c r="Q625" s="2">
        <v>1045</v>
      </c>
      <c r="R625" t="s">
        <v>35</v>
      </c>
      <c r="T625" t="s">
        <v>27</v>
      </c>
      <c r="U625" t="s">
        <v>183</v>
      </c>
    </row>
    <row r="626" spans="1:21" x14ac:dyDescent="0.3">
      <c r="A626">
        <v>1051</v>
      </c>
      <c r="B626" t="s">
        <v>56</v>
      </c>
      <c r="C626" t="s">
        <v>24</v>
      </c>
      <c r="J626" t="s">
        <v>180</v>
      </c>
      <c r="K626" s="3">
        <v>1245</v>
      </c>
      <c r="L626" s="2">
        <v>0</v>
      </c>
      <c r="M626" s="2">
        <f t="shared" si="18"/>
        <v>1245</v>
      </c>
      <c r="N626" s="2">
        <f t="shared" si="19"/>
        <v>62.25</v>
      </c>
      <c r="O626" s="7">
        <v>62.26</v>
      </c>
      <c r="P626" s="2">
        <v>-0.26</v>
      </c>
      <c r="Q626" s="2">
        <v>1307</v>
      </c>
      <c r="R626" t="s">
        <v>31</v>
      </c>
      <c r="T626" t="s">
        <v>27</v>
      </c>
      <c r="U626" t="s">
        <v>181</v>
      </c>
    </row>
    <row r="627" spans="1:21" x14ac:dyDescent="0.3">
      <c r="A627">
        <v>1052</v>
      </c>
      <c r="B627" t="s">
        <v>61</v>
      </c>
      <c r="C627" t="s">
        <v>24</v>
      </c>
      <c r="J627" t="s">
        <v>106</v>
      </c>
      <c r="K627" s="3">
        <v>250</v>
      </c>
      <c r="L627" s="2">
        <v>0</v>
      </c>
      <c r="M627" s="2">
        <f t="shared" si="18"/>
        <v>250</v>
      </c>
      <c r="N627" s="2">
        <f t="shared" si="19"/>
        <v>12.5</v>
      </c>
      <c r="O627" s="7">
        <v>12.5</v>
      </c>
      <c r="P627" s="2">
        <v>0.5</v>
      </c>
      <c r="Q627" s="2">
        <v>263</v>
      </c>
      <c r="R627" t="s">
        <v>45</v>
      </c>
      <c r="T627" t="s">
        <v>27</v>
      </c>
      <c r="U627" t="s">
        <v>179</v>
      </c>
    </row>
    <row r="628" spans="1:21" x14ac:dyDescent="0.3">
      <c r="A628">
        <v>1053</v>
      </c>
      <c r="B628" t="s">
        <v>23</v>
      </c>
      <c r="C628" t="s">
        <v>24</v>
      </c>
      <c r="J628" t="s">
        <v>177</v>
      </c>
      <c r="K628" s="3">
        <v>620</v>
      </c>
      <c r="L628" s="2">
        <v>0</v>
      </c>
      <c r="M628" s="2">
        <f t="shared" si="18"/>
        <v>620</v>
      </c>
      <c r="N628" s="2">
        <f t="shared" si="19"/>
        <v>31</v>
      </c>
      <c r="O628" s="7">
        <v>31</v>
      </c>
      <c r="P628" s="2">
        <v>0</v>
      </c>
      <c r="Q628" s="2">
        <v>651</v>
      </c>
      <c r="R628" t="s">
        <v>45</v>
      </c>
      <c r="T628" t="s">
        <v>27</v>
      </c>
      <c r="U628" t="s">
        <v>178</v>
      </c>
    </row>
    <row r="629" spans="1:21" x14ac:dyDescent="0.3">
      <c r="A629">
        <v>1054</v>
      </c>
      <c r="B629" t="s">
        <v>50</v>
      </c>
      <c r="C629" t="s">
        <v>24</v>
      </c>
      <c r="J629" t="s">
        <v>175</v>
      </c>
      <c r="K629" s="3">
        <v>59</v>
      </c>
      <c r="L629" s="2">
        <v>0</v>
      </c>
      <c r="M629" s="2">
        <f t="shared" si="18"/>
        <v>59</v>
      </c>
      <c r="N629" s="2">
        <f t="shared" si="19"/>
        <v>2.95</v>
      </c>
      <c r="O629" s="7">
        <v>2.96</v>
      </c>
      <c r="P629" s="2">
        <v>0.04</v>
      </c>
      <c r="Q629" s="2">
        <v>62</v>
      </c>
      <c r="R629" t="s">
        <v>45</v>
      </c>
      <c r="T629" t="s">
        <v>27</v>
      </c>
      <c r="U629" t="s">
        <v>176</v>
      </c>
    </row>
    <row r="630" spans="1:21" x14ac:dyDescent="0.3">
      <c r="A630">
        <v>1055</v>
      </c>
      <c r="B630" t="s">
        <v>172</v>
      </c>
      <c r="C630" t="s">
        <v>24</v>
      </c>
      <c r="J630" t="s">
        <v>173</v>
      </c>
      <c r="K630" s="3">
        <v>425</v>
      </c>
      <c r="L630" s="2">
        <v>0</v>
      </c>
      <c r="M630" s="2">
        <f t="shared" si="18"/>
        <v>425</v>
      </c>
      <c r="N630" s="2">
        <f t="shared" si="19"/>
        <v>21.25</v>
      </c>
      <c r="O630" s="7">
        <v>21.26</v>
      </c>
      <c r="P630" s="2">
        <v>-0.26</v>
      </c>
      <c r="Q630" s="2">
        <v>446</v>
      </c>
      <c r="R630" t="s">
        <v>45</v>
      </c>
      <c r="T630" t="s">
        <v>27</v>
      </c>
      <c r="U630" t="s">
        <v>174</v>
      </c>
    </row>
    <row r="631" spans="1:21" x14ac:dyDescent="0.3">
      <c r="A631">
        <v>1056</v>
      </c>
      <c r="B631" t="s">
        <v>74</v>
      </c>
      <c r="C631" t="s">
        <v>24</v>
      </c>
      <c r="J631" t="s">
        <v>170</v>
      </c>
      <c r="K631" s="3">
        <v>634</v>
      </c>
      <c r="L631" s="2">
        <v>0</v>
      </c>
      <c r="M631" s="2">
        <f t="shared" si="18"/>
        <v>634</v>
      </c>
      <c r="N631" s="2">
        <f t="shared" si="19"/>
        <v>31.700000000000003</v>
      </c>
      <c r="O631" s="7">
        <v>28.7</v>
      </c>
      <c r="P631" s="2">
        <v>0.3</v>
      </c>
      <c r="Q631" s="2">
        <v>663</v>
      </c>
      <c r="R631" t="s">
        <v>31</v>
      </c>
      <c r="T631" t="s">
        <v>27</v>
      </c>
      <c r="U631" t="s">
        <v>171</v>
      </c>
    </row>
    <row r="632" spans="1:21" x14ac:dyDescent="0.3">
      <c r="A632">
        <v>1057</v>
      </c>
      <c r="B632" t="s">
        <v>56</v>
      </c>
      <c r="C632" t="s">
        <v>24</v>
      </c>
      <c r="J632" t="s">
        <v>168</v>
      </c>
      <c r="K632" s="3">
        <v>1290</v>
      </c>
      <c r="L632" s="2">
        <v>0</v>
      </c>
      <c r="M632" s="2">
        <f t="shared" si="18"/>
        <v>1290</v>
      </c>
      <c r="N632" s="2">
        <f t="shared" si="19"/>
        <v>64.5</v>
      </c>
      <c r="O632" s="7">
        <v>64.5</v>
      </c>
      <c r="P632" s="2">
        <v>0.5</v>
      </c>
      <c r="Q632" s="2">
        <v>1355</v>
      </c>
      <c r="R632" t="s">
        <v>26</v>
      </c>
      <c r="T632" t="s">
        <v>27</v>
      </c>
      <c r="U632" t="s">
        <v>169</v>
      </c>
    </row>
    <row r="633" spans="1:21" x14ac:dyDescent="0.3">
      <c r="A633">
        <v>1058</v>
      </c>
      <c r="B633" t="s">
        <v>149</v>
      </c>
      <c r="C633" t="s">
        <v>24</v>
      </c>
      <c r="J633" t="s">
        <v>166</v>
      </c>
      <c r="K633" s="3">
        <v>1115</v>
      </c>
      <c r="L633" s="2">
        <v>0</v>
      </c>
      <c r="M633" s="2">
        <f t="shared" si="18"/>
        <v>1115</v>
      </c>
      <c r="N633" s="2">
        <f t="shared" si="19"/>
        <v>55.75</v>
      </c>
      <c r="O633" s="7">
        <v>55.76</v>
      </c>
      <c r="P633" s="2">
        <v>0.24</v>
      </c>
      <c r="Q633" s="2">
        <v>1171</v>
      </c>
      <c r="R633" t="s">
        <v>45</v>
      </c>
      <c r="T633" t="s">
        <v>27</v>
      </c>
      <c r="U633" t="s">
        <v>167</v>
      </c>
    </row>
    <row r="634" spans="1:21" x14ac:dyDescent="0.3">
      <c r="A634">
        <v>1059</v>
      </c>
      <c r="B634" t="s">
        <v>163</v>
      </c>
      <c r="C634" t="s">
        <v>24</v>
      </c>
      <c r="J634" t="s">
        <v>164</v>
      </c>
      <c r="K634" s="3">
        <v>579</v>
      </c>
      <c r="L634" s="2">
        <v>0</v>
      </c>
      <c r="M634" s="2">
        <f t="shared" si="18"/>
        <v>579</v>
      </c>
      <c r="N634" s="2">
        <f t="shared" si="19"/>
        <v>28.950000000000003</v>
      </c>
      <c r="O634" s="7">
        <v>50.92</v>
      </c>
      <c r="P634" s="2">
        <v>0.08</v>
      </c>
      <c r="Q634" s="2">
        <v>630</v>
      </c>
      <c r="R634" t="s">
        <v>45</v>
      </c>
      <c r="T634" t="s">
        <v>27</v>
      </c>
      <c r="U634" t="s">
        <v>165</v>
      </c>
    </row>
    <row r="635" spans="1:21" x14ac:dyDescent="0.3">
      <c r="A635">
        <v>1060</v>
      </c>
      <c r="B635" t="s">
        <v>96</v>
      </c>
      <c r="C635" t="s">
        <v>24</v>
      </c>
      <c r="J635" t="s">
        <v>161</v>
      </c>
      <c r="K635" s="3">
        <v>860</v>
      </c>
      <c r="L635" s="2">
        <v>86</v>
      </c>
      <c r="M635" s="2">
        <f t="shared" si="18"/>
        <v>774</v>
      </c>
      <c r="N635" s="2">
        <f t="shared" si="19"/>
        <v>38.700000000000003</v>
      </c>
      <c r="O635" s="7">
        <v>36</v>
      </c>
      <c r="P635" s="2">
        <v>0</v>
      </c>
      <c r="Q635" s="2">
        <v>810</v>
      </c>
      <c r="R635" t="s">
        <v>31</v>
      </c>
      <c r="T635" t="s">
        <v>27</v>
      </c>
      <c r="U635" t="s">
        <v>162</v>
      </c>
    </row>
    <row r="636" spans="1:21" x14ac:dyDescent="0.3">
      <c r="A636">
        <v>1061</v>
      </c>
      <c r="B636" t="s">
        <v>158</v>
      </c>
      <c r="C636" t="s">
        <v>24</v>
      </c>
      <c r="J636" t="s">
        <v>159</v>
      </c>
      <c r="K636" s="3">
        <v>875</v>
      </c>
      <c r="L636" s="2">
        <v>0</v>
      </c>
      <c r="M636" s="2">
        <f t="shared" si="18"/>
        <v>875</v>
      </c>
      <c r="N636" s="2">
        <f t="shared" si="19"/>
        <v>43.75</v>
      </c>
      <c r="O636" s="7">
        <v>43.76</v>
      </c>
      <c r="P636" s="2">
        <v>0.24</v>
      </c>
      <c r="Q636" s="2">
        <v>919</v>
      </c>
      <c r="R636" t="s">
        <v>45</v>
      </c>
      <c r="T636" t="s">
        <v>27</v>
      </c>
      <c r="U636" t="s">
        <v>160</v>
      </c>
    </row>
    <row r="637" spans="1:21" x14ac:dyDescent="0.3">
      <c r="A637">
        <v>1062</v>
      </c>
      <c r="B637" t="s">
        <v>67</v>
      </c>
      <c r="C637" t="s">
        <v>24</v>
      </c>
      <c r="J637" t="s">
        <v>156</v>
      </c>
      <c r="K637" s="3">
        <v>3816</v>
      </c>
      <c r="L637" s="2">
        <v>0</v>
      </c>
      <c r="M637" s="2">
        <f t="shared" si="18"/>
        <v>3816</v>
      </c>
      <c r="N637" s="2">
        <f t="shared" si="19"/>
        <v>190.8</v>
      </c>
      <c r="O637" s="7">
        <v>278.68</v>
      </c>
      <c r="P637" s="2">
        <v>0.32</v>
      </c>
      <c r="Q637" s="2">
        <v>4095</v>
      </c>
      <c r="R637" t="s">
        <v>26</v>
      </c>
      <c r="T637" t="s">
        <v>27</v>
      </c>
      <c r="U637" t="s">
        <v>157</v>
      </c>
    </row>
    <row r="638" spans="1:21" x14ac:dyDescent="0.3">
      <c r="A638">
        <v>1063</v>
      </c>
      <c r="B638" t="s">
        <v>64</v>
      </c>
      <c r="C638" t="s">
        <v>24</v>
      </c>
      <c r="J638" t="s">
        <v>154</v>
      </c>
      <c r="K638" s="3">
        <v>2640</v>
      </c>
      <c r="L638" s="2">
        <v>0</v>
      </c>
      <c r="M638" s="2">
        <f t="shared" si="18"/>
        <v>2640</v>
      </c>
      <c r="N638" s="2">
        <f t="shared" si="19"/>
        <v>132</v>
      </c>
      <c r="O638" s="7">
        <v>132</v>
      </c>
      <c r="P638" s="2">
        <v>0</v>
      </c>
      <c r="Q638" s="2">
        <v>2772</v>
      </c>
      <c r="R638" t="s">
        <v>26</v>
      </c>
      <c r="T638" t="s">
        <v>27</v>
      </c>
      <c r="U638" t="s">
        <v>155</v>
      </c>
    </row>
    <row r="639" spans="1:21" x14ac:dyDescent="0.3">
      <c r="A639">
        <v>1064</v>
      </c>
      <c r="B639" t="s">
        <v>56</v>
      </c>
      <c r="C639" t="s">
        <v>24</v>
      </c>
      <c r="J639" t="s">
        <v>152</v>
      </c>
      <c r="K639" s="3">
        <v>880</v>
      </c>
      <c r="L639" s="2">
        <v>0</v>
      </c>
      <c r="M639" s="2">
        <f t="shared" si="18"/>
        <v>880</v>
      </c>
      <c r="N639" s="2">
        <f t="shared" si="19"/>
        <v>44</v>
      </c>
      <c r="O639" s="7">
        <v>44</v>
      </c>
      <c r="P639" s="2">
        <v>0</v>
      </c>
      <c r="Q639" s="2">
        <v>924</v>
      </c>
      <c r="R639" t="s">
        <v>35</v>
      </c>
      <c r="T639" t="s">
        <v>27</v>
      </c>
      <c r="U639" t="s">
        <v>153</v>
      </c>
    </row>
    <row r="640" spans="1:21" x14ac:dyDescent="0.3">
      <c r="A640">
        <v>1065</v>
      </c>
      <c r="B640" t="s">
        <v>149</v>
      </c>
      <c r="C640" t="s">
        <v>24</v>
      </c>
      <c r="J640" t="s">
        <v>150</v>
      </c>
      <c r="K640" s="3">
        <v>1230</v>
      </c>
      <c r="L640" s="2">
        <v>0</v>
      </c>
      <c r="M640" s="2">
        <f t="shared" si="18"/>
        <v>1230</v>
      </c>
      <c r="N640" s="2">
        <f t="shared" si="19"/>
        <v>61.5</v>
      </c>
      <c r="O640" s="7">
        <v>61.5</v>
      </c>
      <c r="P640" s="2">
        <v>0.5</v>
      </c>
      <c r="Q640" s="2">
        <v>1292</v>
      </c>
      <c r="R640" t="s">
        <v>26</v>
      </c>
      <c r="T640" t="s">
        <v>27</v>
      </c>
      <c r="U640" t="s">
        <v>151</v>
      </c>
    </row>
    <row r="641" spans="1:21" x14ac:dyDescent="0.3">
      <c r="A641">
        <v>1066</v>
      </c>
      <c r="B641" t="s">
        <v>146</v>
      </c>
      <c r="C641" t="s">
        <v>24</v>
      </c>
      <c r="J641" t="s">
        <v>147</v>
      </c>
      <c r="K641" s="3">
        <v>504</v>
      </c>
      <c r="L641" s="2">
        <v>75.599999999999994</v>
      </c>
      <c r="M641" s="2">
        <f t="shared" si="18"/>
        <v>428.4</v>
      </c>
      <c r="N641" s="2">
        <f t="shared" si="19"/>
        <v>21.42</v>
      </c>
      <c r="O641" s="7">
        <v>18.059999999999999</v>
      </c>
      <c r="P641" s="2">
        <v>-0.46</v>
      </c>
      <c r="Q641" s="2">
        <v>446</v>
      </c>
      <c r="R641" t="s">
        <v>31</v>
      </c>
      <c r="T641" t="s">
        <v>27</v>
      </c>
      <c r="U641" t="s">
        <v>148</v>
      </c>
    </row>
    <row r="642" spans="1:21" x14ac:dyDescent="0.3">
      <c r="A642">
        <v>1067</v>
      </c>
      <c r="B642" t="s">
        <v>144</v>
      </c>
      <c r="C642" t="s">
        <v>24</v>
      </c>
      <c r="J642" t="s">
        <v>129</v>
      </c>
      <c r="K642" s="3">
        <v>325</v>
      </c>
      <c r="L642" s="2">
        <v>0</v>
      </c>
      <c r="M642" s="2">
        <f t="shared" si="18"/>
        <v>325</v>
      </c>
      <c r="N642" s="2">
        <f t="shared" si="19"/>
        <v>16.25</v>
      </c>
      <c r="O642" s="7">
        <v>16.260000000000002</v>
      </c>
      <c r="P642" s="2">
        <v>-0.26</v>
      </c>
      <c r="Q642" s="2">
        <v>341</v>
      </c>
      <c r="R642" t="s">
        <v>45</v>
      </c>
      <c r="T642" t="s">
        <v>27</v>
      </c>
      <c r="U642" t="s">
        <v>145</v>
      </c>
    </row>
    <row r="643" spans="1:21" x14ac:dyDescent="0.3">
      <c r="A643">
        <v>1068</v>
      </c>
      <c r="B643" t="s">
        <v>67</v>
      </c>
      <c r="C643" t="s">
        <v>24</v>
      </c>
      <c r="J643" t="s">
        <v>142</v>
      </c>
      <c r="K643" s="3">
        <v>1275</v>
      </c>
      <c r="L643" s="2">
        <v>0</v>
      </c>
      <c r="M643" s="2">
        <f t="shared" si="18"/>
        <v>1275</v>
      </c>
      <c r="N643" s="2">
        <f t="shared" si="19"/>
        <v>63.75</v>
      </c>
      <c r="O643" s="7">
        <v>63.76</v>
      </c>
      <c r="P643" s="2">
        <v>0.24</v>
      </c>
      <c r="Q643" s="2">
        <v>1339</v>
      </c>
      <c r="R643" t="s">
        <v>26</v>
      </c>
      <c r="T643" t="s">
        <v>27</v>
      </c>
      <c r="U643" t="s">
        <v>143</v>
      </c>
    </row>
    <row r="644" spans="1:21" x14ac:dyDescent="0.3">
      <c r="A644">
        <v>1069</v>
      </c>
      <c r="B644" t="s">
        <v>64</v>
      </c>
      <c r="C644" t="s">
        <v>24</v>
      </c>
      <c r="J644" t="s">
        <v>140</v>
      </c>
      <c r="K644" s="3">
        <v>1150</v>
      </c>
      <c r="L644" s="2">
        <v>0</v>
      </c>
      <c r="M644" s="2">
        <f t="shared" si="18"/>
        <v>1150</v>
      </c>
      <c r="N644" s="2">
        <f t="shared" si="19"/>
        <v>57.5</v>
      </c>
      <c r="O644" s="7">
        <v>57.5</v>
      </c>
      <c r="P644" s="2">
        <v>0.5</v>
      </c>
      <c r="Q644" s="2">
        <v>1208</v>
      </c>
      <c r="R644" t="s">
        <v>45</v>
      </c>
      <c r="T644" t="s">
        <v>27</v>
      </c>
      <c r="U644" t="s">
        <v>141</v>
      </c>
    </row>
    <row r="645" spans="1:21" x14ac:dyDescent="0.3">
      <c r="A645">
        <v>1070</v>
      </c>
      <c r="B645" t="s">
        <v>137</v>
      </c>
      <c r="C645" t="s">
        <v>24</v>
      </c>
      <c r="J645" t="s">
        <v>138</v>
      </c>
      <c r="K645" s="3">
        <v>0</v>
      </c>
      <c r="L645" s="2">
        <v>0</v>
      </c>
      <c r="M645" s="2">
        <f t="shared" si="18"/>
        <v>0</v>
      </c>
      <c r="N645" s="2">
        <f t="shared" si="19"/>
        <v>0</v>
      </c>
      <c r="O645" s="7">
        <v>0</v>
      </c>
      <c r="P645" s="2">
        <v>0</v>
      </c>
      <c r="Q645" s="2">
        <v>0</v>
      </c>
      <c r="R645" t="s">
        <v>35</v>
      </c>
      <c r="T645" t="s">
        <v>27</v>
      </c>
      <c r="U645" t="s">
        <v>139</v>
      </c>
    </row>
    <row r="646" spans="1:21" x14ac:dyDescent="0.3">
      <c r="A646">
        <v>1071</v>
      </c>
      <c r="B646" t="s">
        <v>134</v>
      </c>
      <c r="C646" t="s">
        <v>24</v>
      </c>
      <c r="J646" t="s">
        <v>135</v>
      </c>
      <c r="K646" s="3">
        <v>165</v>
      </c>
      <c r="L646" s="2">
        <v>0</v>
      </c>
      <c r="M646" s="2">
        <f t="shared" si="18"/>
        <v>165</v>
      </c>
      <c r="N646" s="2">
        <f t="shared" si="19"/>
        <v>8.25</v>
      </c>
      <c r="O646" s="7">
        <v>8.26</v>
      </c>
      <c r="P646" s="2">
        <v>-0.26</v>
      </c>
      <c r="Q646" s="2">
        <v>173</v>
      </c>
      <c r="R646" t="s">
        <v>45</v>
      </c>
      <c r="T646" t="s">
        <v>27</v>
      </c>
      <c r="U646" t="s">
        <v>136</v>
      </c>
    </row>
    <row r="647" spans="1:21" x14ac:dyDescent="0.3">
      <c r="A647">
        <v>1072</v>
      </c>
      <c r="B647" t="s">
        <v>131</v>
      </c>
      <c r="C647" t="s">
        <v>24</v>
      </c>
      <c r="J647" t="s">
        <v>132</v>
      </c>
      <c r="K647" s="3">
        <v>0</v>
      </c>
      <c r="L647" s="2">
        <v>0</v>
      </c>
      <c r="M647" s="2">
        <f t="shared" ref="M647:M710" si="20">K647-L647</f>
        <v>0</v>
      </c>
      <c r="N647" s="2">
        <f t="shared" ref="N647:N710" si="21">M647*5%</f>
        <v>0</v>
      </c>
      <c r="O647" s="7">
        <v>0</v>
      </c>
      <c r="P647" s="2">
        <v>0</v>
      </c>
      <c r="Q647" s="2">
        <v>0</v>
      </c>
      <c r="R647" t="s">
        <v>35</v>
      </c>
      <c r="T647" t="s">
        <v>27</v>
      </c>
      <c r="U647" t="s">
        <v>133</v>
      </c>
    </row>
    <row r="648" spans="1:21" x14ac:dyDescent="0.3">
      <c r="A648">
        <v>1073</v>
      </c>
      <c r="B648" t="s">
        <v>128</v>
      </c>
      <c r="C648" t="s">
        <v>24</v>
      </c>
      <c r="J648" t="s">
        <v>129</v>
      </c>
      <c r="K648" s="3">
        <v>325</v>
      </c>
      <c r="L648" s="2">
        <v>0</v>
      </c>
      <c r="M648" s="2">
        <f t="shared" si="20"/>
        <v>325</v>
      </c>
      <c r="N648" s="2">
        <f t="shared" si="21"/>
        <v>16.25</v>
      </c>
      <c r="O648" s="7">
        <v>16.260000000000002</v>
      </c>
      <c r="P648" s="2">
        <v>-0.26</v>
      </c>
      <c r="Q648" s="2">
        <v>341</v>
      </c>
      <c r="R648" t="s">
        <v>45</v>
      </c>
      <c r="T648" t="s">
        <v>27</v>
      </c>
      <c r="U648" t="s">
        <v>130</v>
      </c>
    </row>
    <row r="649" spans="1:21" x14ac:dyDescent="0.3">
      <c r="A649">
        <v>1074</v>
      </c>
      <c r="B649" t="s">
        <v>125</v>
      </c>
      <c r="C649" t="s">
        <v>24</v>
      </c>
      <c r="J649" t="s">
        <v>126</v>
      </c>
      <c r="K649" s="3">
        <v>610</v>
      </c>
      <c r="L649" s="2">
        <v>91.5</v>
      </c>
      <c r="M649" s="2">
        <f t="shared" si="20"/>
        <v>518.5</v>
      </c>
      <c r="N649" s="2">
        <f t="shared" si="21"/>
        <v>25.925000000000001</v>
      </c>
      <c r="O649" s="7">
        <v>25.92</v>
      </c>
      <c r="P649" s="2">
        <v>-0.42</v>
      </c>
      <c r="Q649" s="2">
        <v>544</v>
      </c>
      <c r="R649" t="s">
        <v>45</v>
      </c>
      <c r="T649" t="s">
        <v>27</v>
      </c>
      <c r="U649" t="s">
        <v>127</v>
      </c>
    </row>
    <row r="650" spans="1:21" x14ac:dyDescent="0.3">
      <c r="A650">
        <v>1075</v>
      </c>
      <c r="B650" t="s">
        <v>122</v>
      </c>
      <c r="C650" t="s">
        <v>24</v>
      </c>
      <c r="J650" t="s">
        <v>123</v>
      </c>
      <c r="K650" s="3">
        <v>150</v>
      </c>
      <c r="L650" s="2">
        <v>0</v>
      </c>
      <c r="M650" s="2">
        <f t="shared" si="20"/>
        <v>150</v>
      </c>
      <c r="N650" s="2">
        <f t="shared" si="21"/>
        <v>7.5</v>
      </c>
      <c r="O650" s="7">
        <v>7.5</v>
      </c>
      <c r="P650" s="2">
        <v>0.5</v>
      </c>
      <c r="Q650" s="2">
        <v>158</v>
      </c>
      <c r="R650" t="s">
        <v>45</v>
      </c>
      <c r="T650" t="s">
        <v>27</v>
      </c>
      <c r="U650" t="s">
        <v>124</v>
      </c>
    </row>
    <row r="651" spans="1:21" x14ac:dyDescent="0.3">
      <c r="A651">
        <v>1076</v>
      </c>
      <c r="B651" t="s">
        <v>37</v>
      </c>
      <c r="C651" t="s">
        <v>24</v>
      </c>
      <c r="J651" t="s">
        <v>120</v>
      </c>
      <c r="K651" s="3">
        <v>0</v>
      </c>
      <c r="L651" s="2">
        <v>0</v>
      </c>
      <c r="M651" s="2">
        <f t="shared" si="20"/>
        <v>0</v>
      </c>
      <c r="N651" s="2">
        <f t="shared" si="21"/>
        <v>0</v>
      </c>
      <c r="O651" s="7">
        <v>0</v>
      </c>
      <c r="P651" s="2">
        <v>0</v>
      </c>
      <c r="Q651" s="2">
        <v>0</v>
      </c>
      <c r="R651" t="s">
        <v>35</v>
      </c>
      <c r="T651" t="s">
        <v>27</v>
      </c>
      <c r="U651" t="s">
        <v>121</v>
      </c>
    </row>
    <row r="652" spans="1:21" x14ac:dyDescent="0.3">
      <c r="A652">
        <v>1077</v>
      </c>
      <c r="B652" t="s">
        <v>117</v>
      </c>
      <c r="C652" t="s">
        <v>24</v>
      </c>
      <c r="J652" t="s">
        <v>118</v>
      </c>
      <c r="K652" s="3">
        <v>815</v>
      </c>
      <c r="L652" s="2">
        <v>0</v>
      </c>
      <c r="M652" s="2">
        <f t="shared" si="20"/>
        <v>815</v>
      </c>
      <c r="N652" s="2">
        <f t="shared" si="21"/>
        <v>40.75</v>
      </c>
      <c r="O652" s="7">
        <v>34.76</v>
      </c>
      <c r="P652" s="2">
        <v>0.24</v>
      </c>
      <c r="Q652" s="2">
        <v>850</v>
      </c>
      <c r="R652" t="s">
        <v>31</v>
      </c>
      <c r="T652" t="s">
        <v>27</v>
      </c>
      <c r="U652" t="s">
        <v>119</v>
      </c>
    </row>
    <row r="653" spans="1:21" x14ac:dyDescent="0.3">
      <c r="A653">
        <v>1078</v>
      </c>
      <c r="B653" t="s">
        <v>114</v>
      </c>
      <c r="C653" t="s">
        <v>24</v>
      </c>
      <c r="J653" t="s">
        <v>115</v>
      </c>
      <c r="K653" s="3">
        <v>459</v>
      </c>
      <c r="L653" s="2">
        <v>0</v>
      </c>
      <c r="M653" s="2">
        <f t="shared" si="20"/>
        <v>459</v>
      </c>
      <c r="N653" s="2">
        <f t="shared" si="21"/>
        <v>22.950000000000003</v>
      </c>
      <c r="O653" s="7">
        <v>44.92</v>
      </c>
      <c r="P653" s="2">
        <v>0.08</v>
      </c>
      <c r="Q653" s="2">
        <v>504</v>
      </c>
      <c r="R653" t="s">
        <v>45</v>
      </c>
      <c r="T653" t="s">
        <v>27</v>
      </c>
      <c r="U653" t="s">
        <v>116</v>
      </c>
    </row>
    <row r="654" spans="1:21" x14ac:dyDescent="0.3">
      <c r="A654">
        <v>1079</v>
      </c>
      <c r="B654" t="s">
        <v>111</v>
      </c>
      <c r="C654" t="s">
        <v>24</v>
      </c>
      <c r="J654" t="s">
        <v>112</v>
      </c>
      <c r="K654" s="3">
        <v>1150</v>
      </c>
      <c r="L654" s="2">
        <v>172.5</v>
      </c>
      <c r="M654" s="2">
        <f t="shared" si="20"/>
        <v>977.5</v>
      </c>
      <c r="N654" s="2">
        <f t="shared" si="21"/>
        <v>48.875</v>
      </c>
      <c r="O654" s="7">
        <v>48.88</v>
      </c>
      <c r="P654" s="2">
        <v>-0.38</v>
      </c>
      <c r="Q654" s="2">
        <v>1026</v>
      </c>
      <c r="R654" t="s">
        <v>31</v>
      </c>
      <c r="T654" t="s">
        <v>27</v>
      </c>
      <c r="U654" t="s">
        <v>113</v>
      </c>
    </row>
    <row r="655" spans="1:21" x14ac:dyDescent="0.3">
      <c r="A655">
        <v>1080</v>
      </c>
      <c r="B655" t="s">
        <v>74</v>
      </c>
      <c r="C655" t="s">
        <v>24</v>
      </c>
      <c r="J655" t="s">
        <v>109</v>
      </c>
      <c r="K655" s="3">
        <v>675</v>
      </c>
      <c r="L655" s="2">
        <v>0</v>
      </c>
      <c r="M655" s="2">
        <f t="shared" si="20"/>
        <v>675</v>
      </c>
      <c r="N655" s="2">
        <f t="shared" si="21"/>
        <v>33.75</v>
      </c>
      <c r="O655" s="7">
        <v>33.76</v>
      </c>
      <c r="P655" s="2">
        <v>0.24</v>
      </c>
      <c r="Q655" s="2">
        <v>709</v>
      </c>
      <c r="R655" t="s">
        <v>45</v>
      </c>
      <c r="T655" t="s">
        <v>27</v>
      </c>
      <c r="U655" t="s">
        <v>110</v>
      </c>
    </row>
    <row r="656" spans="1:21" x14ac:dyDescent="0.3">
      <c r="A656">
        <v>1081</v>
      </c>
      <c r="B656" t="s">
        <v>23</v>
      </c>
      <c r="C656" t="s">
        <v>24</v>
      </c>
      <c r="J656" t="s">
        <v>106</v>
      </c>
      <c r="K656" s="3">
        <v>500</v>
      </c>
      <c r="L656" s="2">
        <v>0</v>
      </c>
      <c r="M656" s="2">
        <f t="shared" si="20"/>
        <v>500</v>
      </c>
      <c r="N656" s="2">
        <f t="shared" si="21"/>
        <v>25</v>
      </c>
      <c r="O656" s="7">
        <v>25</v>
      </c>
      <c r="P656" s="2">
        <v>0</v>
      </c>
      <c r="Q656" s="2">
        <v>525</v>
      </c>
      <c r="R656" t="s">
        <v>45</v>
      </c>
      <c r="T656" t="s">
        <v>27</v>
      </c>
      <c r="U656" t="s">
        <v>108</v>
      </c>
    </row>
    <row r="657" spans="1:21" x14ac:dyDescent="0.3">
      <c r="A657">
        <v>1082</v>
      </c>
      <c r="B657" t="s">
        <v>105</v>
      </c>
      <c r="C657" t="s">
        <v>24</v>
      </c>
      <c r="J657" t="s">
        <v>106</v>
      </c>
      <c r="K657" s="3">
        <v>250</v>
      </c>
      <c r="L657" s="2">
        <v>0</v>
      </c>
      <c r="M657" s="2">
        <f t="shared" si="20"/>
        <v>250</v>
      </c>
      <c r="N657" s="2">
        <f t="shared" si="21"/>
        <v>12.5</v>
      </c>
      <c r="O657" s="7">
        <v>12.5</v>
      </c>
      <c r="P657" s="2">
        <v>0.5</v>
      </c>
      <c r="Q657" s="2">
        <v>263</v>
      </c>
      <c r="R657" t="s">
        <v>45</v>
      </c>
      <c r="T657" t="s">
        <v>27</v>
      </c>
      <c r="U657" t="s">
        <v>107</v>
      </c>
    </row>
    <row r="658" spans="1:21" x14ac:dyDescent="0.3">
      <c r="A658">
        <v>1083</v>
      </c>
      <c r="B658" t="s">
        <v>64</v>
      </c>
      <c r="C658" t="s">
        <v>24</v>
      </c>
      <c r="J658" t="s">
        <v>103</v>
      </c>
      <c r="K658" s="3">
        <v>1810</v>
      </c>
      <c r="L658" s="2">
        <v>0</v>
      </c>
      <c r="M658" s="2">
        <f t="shared" si="20"/>
        <v>1810</v>
      </c>
      <c r="N658" s="2">
        <f t="shared" si="21"/>
        <v>90.5</v>
      </c>
      <c r="O658" s="7">
        <v>90.5</v>
      </c>
      <c r="P658" s="2">
        <v>0.5</v>
      </c>
      <c r="Q658" s="2">
        <v>1901</v>
      </c>
      <c r="R658" t="s">
        <v>31</v>
      </c>
      <c r="T658" t="s">
        <v>27</v>
      </c>
      <c r="U658" t="s">
        <v>104</v>
      </c>
    </row>
    <row r="659" spans="1:21" x14ac:dyDescent="0.3">
      <c r="A659">
        <v>1084</v>
      </c>
      <c r="B659" t="s">
        <v>56</v>
      </c>
      <c r="C659" t="s">
        <v>24</v>
      </c>
      <c r="J659" t="s">
        <v>101</v>
      </c>
      <c r="K659" s="3">
        <v>2409</v>
      </c>
      <c r="L659" s="2">
        <v>0</v>
      </c>
      <c r="M659" s="2">
        <f t="shared" si="20"/>
        <v>2409</v>
      </c>
      <c r="N659" s="2">
        <f t="shared" si="21"/>
        <v>120.45</v>
      </c>
      <c r="O659" s="7">
        <v>119</v>
      </c>
      <c r="P659" s="2">
        <v>0</v>
      </c>
      <c r="Q659" s="2">
        <v>2528</v>
      </c>
      <c r="R659" t="s">
        <v>35</v>
      </c>
      <c r="T659" t="s">
        <v>27</v>
      </c>
      <c r="U659" t="s">
        <v>102</v>
      </c>
    </row>
    <row r="660" spans="1:21" x14ac:dyDescent="0.3">
      <c r="A660">
        <v>1085</v>
      </c>
      <c r="B660" t="s">
        <v>23</v>
      </c>
      <c r="C660" t="s">
        <v>24</v>
      </c>
      <c r="J660" t="s">
        <v>99</v>
      </c>
      <c r="K660" s="3">
        <v>2075</v>
      </c>
      <c r="L660" s="2">
        <v>0</v>
      </c>
      <c r="M660" s="2">
        <f t="shared" si="20"/>
        <v>2075</v>
      </c>
      <c r="N660" s="2">
        <f t="shared" si="21"/>
        <v>103.75</v>
      </c>
      <c r="O660" s="7">
        <v>103.76</v>
      </c>
      <c r="P660" s="2">
        <v>0.24</v>
      </c>
      <c r="Q660" s="2">
        <v>2179</v>
      </c>
      <c r="R660" t="s">
        <v>45</v>
      </c>
      <c r="T660" t="s">
        <v>27</v>
      </c>
      <c r="U660" t="s">
        <v>100</v>
      </c>
    </row>
    <row r="661" spans="1:21" x14ac:dyDescent="0.3">
      <c r="A661">
        <v>1086</v>
      </c>
      <c r="B661" t="s">
        <v>96</v>
      </c>
      <c r="C661" t="s">
        <v>24</v>
      </c>
      <c r="J661" t="s">
        <v>97</v>
      </c>
      <c r="K661" s="3">
        <v>60</v>
      </c>
      <c r="L661" s="2">
        <v>0</v>
      </c>
      <c r="M661" s="2">
        <f t="shared" si="20"/>
        <v>60</v>
      </c>
      <c r="N661" s="2">
        <f t="shared" si="21"/>
        <v>3</v>
      </c>
      <c r="O661" s="7">
        <v>0</v>
      </c>
      <c r="P661" s="2">
        <v>0</v>
      </c>
      <c r="Q661" s="2">
        <v>60</v>
      </c>
      <c r="R661" t="s">
        <v>45</v>
      </c>
      <c r="T661" t="s">
        <v>27</v>
      </c>
      <c r="U661" t="s">
        <v>98</v>
      </c>
    </row>
    <row r="662" spans="1:21" x14ac:dyDescent="0.3">
      <c r="A662">
        <v>1087</v>
      </c>
      <c r="B662" t="s">
        <v>50</v>
      </c>
      <c r="C662" t="s">
        <v>24</v>
      </c>
      <c r="J662" t="s">
        <v>94</v>
      </c>
      <c r="K662" s="3">
        <v>2165</v>
      </c>
      <c r="L662" s="2">
        <v>0</v>
      </c>
      <c r="M662" s="2">
        <f t="shared" si="20"/>
        <v>2165</v>
      </c>
      <c r="N662" s="2">
        <f t="shared" si="21"/>
        <v>108.25</v>
      </c>
      <c r="O662" s="7">
        <v>108.26</v>
      </c>
      <c r="P662" s="2">
        <v>-0.26</v>
      </c>
      <c r="Q662" s="2">
        <v>2273</v>
      </c>
      <c r="R662" t="s">
        <v>31</v>
      </c>
      <c r="T662" t="s">
        <v>27</v>
      </c>
      <c r="U662" t="s">
        <v>95</v>
      </c>
    </row>
    <row r="663" spans="1:21" x14ac:dyDescent="0.3">
      <c r="A663">
        <v>1088</v>
      </c>
      <c r="B663" t="s">
        <v>23</v>
      </c>
      <c r="C663" t="s">
        <v>24</v>
      </c>
      <c r="J663" t="s">
        <v>92</v>
      </c>
      <c r="K663" s="3">
        <v>675</v>
      </c>
      <c r="L663" s="2">
        <v>0</v>
      </c>
      <c r="M663" s="2">
        <f t="shared" si="20"/>
        <v>675</v>
      </c>
      <c r="N663" s="2">
        <f t="shared" si="21"/>
        <v>33.75</v>
      </c>
      <c r="O663" s="7">
        <v>33.76</v>
      </c>
      <c r="P663" s="2">
        <v>0.24</v>
      </c>
      <c r="Q663" s="2">
        <v>709</v>
      </c>
      <c r="R663" t="s">
        <v>26</v>
      </c>
      <c r="T663" t="s">
        <v>27</v>
      </c>
      <c r="U663" t="s">
        <v>93</v>
      </c>
    </row>
    <row r="664" spans="1:21" x14ac:dyDescent="0.3">
      <c r="A664">
        <v>1089</v>
      </c>
      <c r="B664" t="s">
        <v>74</v>
      </c>
      <c r="C664" t="s">
        <v>24</v>
      </c>
      <c r="J664" t="s">
        <v>90</v>
      </c>
      <c r="K664" s="3">
        <v>1320</v>
      </c>
      <c r="L664" s="2">
        <v>0</v>
      </c>
      <c r="M664" s="2">
        <f t="shared" si="20"/>
        <v>1320</v>
      </c>
      <c r="N664" s="2">
        <f t="shared" si="21"/>
        <v>66</v>
      </c>
      <c r="O664" s="7">
        <v>66</v>
      </c>
      <c r="P664" s="2">
        <v>0</v>
      </c>
      <c r="Q664" s="2">
        <v>1386</v>
      </c>
      <c r="R664" t="s">
        <v>35</v>
      </c>
      <c r="T664" t="s">
        <v>27</v>
      </c>
      <c r="U664" t="s">
        <v>91</v>
      </c>
    </row>
    <row r="665" spans="1:21" x14ac:dyDescent="0.3">
      <c r="A665">
        <v>1090</v>
      </c>
      <c r="B665" t="s">
        <v>53</v>
      </c>
      <c r="C665" t="s">
        <v>24</v>
      </c>
      <c r="J665" t="s">
        <v>88</v>
      </c>
      <c r="K665" s="3">
        <v>1900</v>
      </c>
      <c r="L665" s="2">
        <v>0</v>
      </c>
      <c r="M665" s="2">
        <f t="shared" si="20"/>
        <v>1900</v>
      </c>
      <c r="N665" s="2">
        <f t="shared" si="21"/>
        <v>95</v>
      </c>
      <c r="O665" s="7">
        <v>95</v>
      </c>
      <c r="P665" s="2">
        <v>0</v>
      </c>
      <c r="Q665" s="2">
        <v>1995</v>
      </c>
      <c r="R665" t="s">
        <v>26</v>
      </c>
      <c r="T665" t="s">
        <v>27</v>
      </c>
      <c r="U665" t="s">
        <v>89</v>
      </c>
    </row>
    <row r="666" spans="1:21" x14ac:dyDescent="0.3">
      <c r="A666">
        <v>1091</v>
      </c>
      <c r="B666" t="s">
        <v>23</v>
      </c>
      <c r="C666" t="s">
        <v>24</v>
      </c>
      <c r="J666" t="s">
        <v>86</v>
      </c>
      <c r="K666" s="3">
        <v>480</v>
      </c>
      <c r="L666" s="2">
        <v>0</v>
      </c>
      <c r="M666" s="2">
        <f t="shared" si="20"/>
        <v>480</v>
      </c>
      <c r="N666" s="2">
        <f t="shared" si="21"/>
        <v>24</v>
      </c>
      <c r="O666" s="7">
        <v>24</v>
      </c>
      <c r="P666" s="2">
        <v>0</v>
      </c>
      <c r="Q666" s="2">
        <v>504</v>
      </c>
      <c r="R666" t="s">
        <v>45</v>
      </c>
      <c r="T666" t="s">
        <v>27</v>
      </c>
      <c r="U666" t="s">
        <v>87</v>
      </c>
    </row>
    <row r="667" spans="1:21" x14ac:dyDescent="0.3">
      <c r="A667">
        <v>1092</v>
      </c>
      <c r="B667" t="s">
        <v>64</v>
      </c>
      <c r="C667" t="s">
        <v>24</v>
      </c>
      <c r="J667" t="s">
        <v>84</v>
      </c>
      <c r="K667" s="3">
        <v>2275</v>
      </c>
      <c r="L667" s="2">
        <v>0</v>
      </c>
      <c r="M667" s="2">
        <f t="shared" si="20"/>
        <v>2275</v>
      </c>
      <c r="N667" s="2">
        <f t="shared" si="21"/>
        <v>113.75</v>
      </c>
      <c r="O667" s="7">
        <v>113.76</v>
      </c>
      <c r="P667" s="2">
        <v>0.24</v>
      </c>
      <c r="Q667" s="2">
        <v>2389</v>
      </c>
      <c r="R667" t="s">
        <v>45</v>
      </c>
      <c r="T667" t="s">
        <v>27</v>
      </c>
      <c r="U667" t="s">
        <v>85</v>
      </c>
    </row>
    <row r="668" spans="1:21" x14ac:dyDescent="0.3">
      <c r="A668">
        <v>1093</v>
      </c>
      <c r="B668" t="s">
        <v>61</v>
      </c>
      <c r="C668" t="s">
        <v>24</v>
      </c>
      <c r="J668" t="s">
        <v>82</v>
      </c>
      <c r="K668" s="3">
        <v>1145</v>
      </c>
      <c r="L668" s="2">
        <v>114.5</v>
      </c>
      <c r="M668" s="2">
        <f t="shared" si="20"/>
        <v>1030.5</v>
      </c>
      <c r="N668" s="2">
        <f t="shared" si="21"/>
        <v>51.525000000000006</v>
      </c>
      <c r="O668" s="7">
        <v>51.52</v>
      </c>
      <c r="P668" s="2">
        <v>-0.02</v>
      </c>
      <c r="Q668" s="2">
        <v>1082</v>
      </c>
      <c r="R668" t="s">
        <v>45</v>
      </c>
      <c r="T668" t="s">
        <v>27</v>
      </c>
      <c r="U668" t="s">
        <v>83</v>
      </c>
    </row>
    <row r="669" spans="1:21" x14ac:dyDescent="0.3">
      <c r="A669">
        <v>1094</v>
      </c>
      <c r="B669" t="s">
        <v>64</v>
      </c>
      <c r="C669" t="s">
        <v>24</v>
      </c>
      <c r="J669" t="s">
        <v>80</v>
      </c>
      <c r="K669" s="3">
        <v>875</v>
      </c>
      <c r="L669" s="2">
        <v>0</v>
      </c>
      <c r="M669" s="2">
        <f t="shared" si="20"/>
        <v>875</v>
      </c>
      <c r="N669" s="2">
        <f t="shared" si="21"/>
        <v>43.75</v>
      </c>
      <c r="O669" s="7">
        <v>43.76</v>
      </c>
      <c r="P669" s="2">
        <v>0.24</v>
      </c>
      <c r="Q669" s="2">
        <v>919</v>
      </c>
      <c r="R669" t="s">
        <v>26</v>
      </c>
      <c r="T669" t="s">
        <v>27</v>
      </c>
      <c r="U669" t="s">
        <v>81</v>
      </c>
    </row>
    <row r="670" spans="1:21" x14ac:dyDescent="0.3">
      <c r="A670">
        <v>1095</v>
      </c>
      <c r="B670" t="s">
        <v>77</v>
      </c>
      <c r="C670" t="s">
        <v>24</v>
      </c>
      <c r="J670" t="s">
        <v>78</v>
      </c>
      <c r="K670" s="3">
        <v>840</v>
      </c>
      <c r="L670" s="2">
        <v>0</v>
      </c>
      <c r="M670" s="2">
        <f t="shared" si="20"/>
        <v>840</v>
      </c>
      <c r="N670" s="2">
        <f t="shared" si="21"/>
        <v>42</v>
      </c>
      <c r="O670" s="7">
        <v>42</v>
      </c>
      <c r="P670" s="2">
        <v>0</v>
      </c>
      <c r="Q670" s="2">
        <v>882</v>
      </c>
      <c r="R670" t="s">
        <v>45</v>
      </c>
      <c r="T670" t="s">
        <v>27</v>
      </c>
      <c r="U670" t="s">
        <v>79</v>
      </c>
    </row>
    <row r="671" spans="1:21" x14ac:dyDescent="0.3">
      <c r="A671">
        <v>1096</v>
      </c>
      <c r="B671" t="s">
        <v>74</v>
      </c>
      <c r="C671" t="s">
        <v>24</v>
      </c>
      <c r="J671" t="s">
        <v>75</v>
      </c>
      <c r="K671" s="3">
        <v>1550</v>
      </c>
      <c r="L671" s="2">
        <v>0</v>
      </c>
      <c r="M671" s="2">
        <f t="shared" si="20"/>
        <v>1550</v>
      </c>
      <c r="N671" s="2">
        <f t="shared" si="21"/>
        <v>77.5</v>
      </c>
      <c r="O671" s="7">
        <v>77.5</v>
      </c>
      <c r="P671" s="2">
        <v>0.5</v>
      </c>
      <c r="Q671" s="2">
        <v>1628</v>
      </c>
      <c r="R671" t="s">
        <v>26</v>
      </c>
      <c r="T671" t="s">
        <v>27</v>
      </c>
      <c r="U671" t="s">
        <v>76</v>
      </c>
    </row>
    <row r="672" spans="1:21" x14ac:dyDescent="0.3">
      <c r="A672">
        <v>1097</v>
      </c>
      <c r="B672" t="s">
        <v>61</v>
      </c>
      <c r="C672" t="s">
        <v>24</v>
      </c>
      <c r="J672" t="s">
        <v>72</v>
      </c>
      <c r="K672" s="3">
        <v>1420</v>
      </c>
      <c r="L672" s="2">
        <v>0</v>
      </c>
      <c r="M672" s="2">
        <f t="shared" si="20"/>
        <v>1420</v>
      </c>
      <c r="N672" s="2">
        <f t="shared" si="21"/>
        <v>71</v>
      </c>
      <c r="O672" s="7">
        <v>65</v>
      </c>
      <c r="P672" s="2">
        <v>0</v>
      </c>
      <c r="Q672" s="2">
        <v>1485</v>
      </c>
      <c r="R672" t="s">
        <v>45</v>
      </c>
      <c r="T672" t="s">
        <v>27</v>
      </c>
      <c r="U672" t="s">
        <v>73</v>
      </c>
    </row>
    <row r="673" spans="1:21" x14ac:dyDescent="0.3">
      <c r="A673">
        <v>1098</v>
      </c>
      <c r="B673" t="s">
        <v>47</v>
      </c>
      <c r="C673" t="s">
        <v>24</v>
      </c>
      <c r="J673" t="s">
        <v>70</v>
      </c>
      <c r="K673" s="3">
        <v>1045</v>
      </c>
      <c r="L673" s="2">
        <v>156.75</v>
      </c>
      <c r="M673" s="2">
        <f t="shared" si="20"/>
        <v>888.25</v>
      </c>
      <c r="N673" s="2">
        <f t="shared" si="21"/>
        <v>44.412500000000001</v>
      </c>
      <c r="O673" s="7">
        <v>44.42</v>
      </c>
      <c r="P673" s="2">
        <v>0.33</v>
      </c>
      <c r="Q673" s="2">
        <v>933</v>
      </c>
      <c r="R673" t="s">
        <v>31</v>
      </c>
      <c r="T673" t="s">
        <v>27</v>
      </c>
      <c r="U673" t="s">
        <v>71</v>
      </c>
    </row>
    <row r="674" spans="1:21" x14ac:dyDescent="0.3">
      <c r="A674">
        <v>1099</v>
      </c>
      <c r="B674" t="s">
        <v>67</v>
      </c>
      <c r="C674" t="s">
        <v>24</v>
      </c>
      <c r="J674" t="s">
        <v>68</v>
      </c>
      <c r="K674" s="3">
        <v>2220</v>
      </c>
      <c r="L674" s="2">
        <v>0</v>
      </c>
      <c r="M674" s="2">
        <f t="shared" si="20"/>
        <v>2220</v>
      </c>
      <c r="N674" s="2">
        <f t="shared" si="21"/>
        <v>111</v>
      </c>
      <c r="O674" s="7">
        <v>111</v>
      </c>
      <c r="P674" s="2">
        <v>0</v>
      </c>
      <c r="Q674" s="2">
        <v>2331</v>
      </c>
      <c r="R674" t="s">
        <v>45</v>
      </c>
      <c r="T674" t="s">
        <v>27</v>
      </c>
      <c r="U674" t="s">
        <v>69</v>
      </c>
    </row>
    <row r="675" spans="1:21" x14ac:dyDescent="0.3">
      <c r="A675">
        <v>1100</v>
      </c>
      <c r="B675" t="s">
        <v>64</v>
      </c>
      <c r="C675" t="s">
        <v>24</v>
      </c>
      <c r="J675" t="s">
        <v>65</v>
      </c>
      <c r="K675" s="3">
        <v>675</v>
      </c>
      <c r="L675" s="2">
        <v>0</v>
      </c>
      <c r="M675" s="2">
        <f t="shared" si="20"/>
        <v>675</v>
      </c>
      <c r="N675" s="2">
        <f t="shared" si="21"/>
        <v>33.75</v>
      </c>
      <c r="O675" s="7">
        <v>33.76</v>
      </c>
      <c r="P675" s="2">
        <v>0.24</v>
      </c>
      <c r="Q675" s="2">
        <v>709</v>
      </c>
      <c r="R675" t="s">
        <v>26</v>
      </c>
      <c r="T675" t="s">
        <v>27</v>
      </c>
      <c r="U675" t="s">
        <v>66</v>
      </c>
    </row>
    <row r="676" spans="1:21" x14ac:dyDescent="0.3">
      <c r="A676">
        <v>1101</v>
      </c>
      <c r="B676" t="s">
        <v>61</v>
      </c>
      <c r="C676" t="s">
        <v>24</v>
      </c>
      <c r="J676" t="s">
        <v>62</v>
      </c>
      <c r="K676" s="3">
        <v>545</v>
      </c>
      <c r="L676" s="2">
        <v>81.75</v>
      </c>
      <c r="M676" s="2">
        <f t="shared" si="20"/>
        <v>463.25</v>
      </c>
      <c r="N676" s="2">
        <f t="shared" si="21"/>
        <v>23.162500000000001</v>
      </c>
      <c r="O676" s="7">
        <v>23.16</v>
      </c>
      <c r="P676" s="2">
        <v>-0.41</v>
      </c>
      <c r="Q676" s="2">
        <v>486</v>
      </c>
      <c r="R676" t="s">
        <v>45</v>
      </c>
      <c r="T676" t="s">
        <v>27</v>
      </c>
      <c r="U676" t="s">
        <v>63</v>
      </c>
    </row>
    <row r="677" spans="1:21" x14ac:dyDescent="0.3">
      <c r="A677">
        <v>1102</v>
      </c>
      <c r="B677" t="s">
        <v>23</v>
      </c>
      <c r="C677" t="s">
        <v>24</v>
      </c>
      <c r="J677" t="s">
        <v>59</v>
      </c>
      <c r="K677" s="3">
        <v>1575</v>
      </c>
      <c r="L677" s="2">
        <v>0</v>
      </c>
      <c r="M677" s="2">
        <f t="shared" si="20"/>
        <v>1575</v>
      </c>
      <c r="N677" s="2">
        <f t="shared" si="21"/>
        <v>78.75</v>
      </c>
      <c r="O677" s="7">
        <v>78.760000000000005</v>
      </c>
      <c r="P677" s="2">
        <v>0.24</v>
      </c>
      <c r="Q677" s="2">
        <v>1654</v>
      </c>
      <c r="R677" t="s">
        <v>26</v>
      </c>
      <c r="T677" t="s">
        <v>27</v>
      </c>
      <c r="U677" t="s">
        <v>60</v>
      </c>
    </row>
    <row r="678" spans="1:21" x14ac:dyDescent="0.3">
      <c r="A678">
        <v>1103</v>
      </c>
      <c r="B678" t="s">
        <v>56</v>
      </c>
      <c r="C678" t="s">
        <v>24</v>
      </c>
      <c r="J678" t="s">
        <v>57</v>
      </c>
      <c r="K678" s="3">
        <v>1135</v>
      </c>
      <c r="L678" s="2">
        <v>0</v>
      </c>
      <c r="M678" s="2">
        <f t="shared" si="20"/>
        <v>1135</v>
      </c>
      <c r="N678" s="2">
        <f t="shared" si="21"/>
        <v>56.75</v>
      </c>
      <c r="O678" s="7">
        <v>56.76</v>
      </c>
      <c r="P678" s="2">
        <v>0.24</v>
      </c>
      <c r="Q678" s="2">
        <v>1192</v>
      </c>
      <c r="R678" t="s">
        <v>26</v>
      </c>
      <c r="T678" t="s">
        <v>27</v>
      </c>
      <c r="U678" t="s">
        <v>58</v>
      </c>
    </row>
    <row r="679" spans="1:21" x14ac:dyDescent="0.3">
      <c r="A679">
        <v>1104</v>
      </c>
      <c r="B679" t="s">
        <v>53</v>
      </c>
      <c r="C679" t="s">
        <v>24</v>
      </c>
      <c r="J679" t="s">
        <v>54</v>
      </c>
      <c r="K679" s="3">
        <v>680</v>
      </c>
      <c r="L679" s="2">
        <v>0</v>
      </c>
      <c r="M679" s="2">
        <f t="shared" si="20"/>
        <v>680</v>
      </c>
      <c r="N679" s="2">
        <f t="shared" si="21"/>
        <v>34</v>
      </c>
      <c r="O679" s="7">
        <v>34</v>
      </c>
      <c r="P679" s="2">
        <v>0</v>
      </c>
      <c r="Q679" s="2">
        <v>714</v>
      </c>
      <c r="R679" t="s">
        <v>26</v>
      </c>
      <c r="T679" t="s">
        <v>27</v>
      </c>
      <c r="U679" t="s">
        <v>55</v>
      </c>
    </row>
    <row r="680" spans="1:21" x14ac:dyDescent="0.3">
      <c r="A680">
        <v>1105</v>
      </c>
      <c r="B680" t="s">
        <v>50</v>
      </c>
      <c r="C680" t="s">
        <v>24</v>
      </c>
      <c r="J680" t="s">
        <v>51</v>
      </c>
      <c r="K680" s="3">
        <v>1615</v>
      </c>
      <c r="L680" s="2">
        <v>161.5</v>
      </c>
      <c r="M680" s="2">
        <f t="shared" si="20"/>
        <v>1453.5</v>
      </c>
      <c r="N680" s="2">
        <f t="shared" si="21"/>
        <v>72.674999999999997</v>
      </c>
      <c r="O680" s="7">
        <v>72.680000000000007</v>
      </c>
      <c r="P680" s="2">
        <v>-0.18</v>
      </c>
      <c r="Q680" s="2">
        <v>1526</v>
      </c>
      <c r="R680" t="s">
        <v>45</v>
      </c>
      <c r="T680" t="s">
        <v>27</v>
      </c>
      <c r="U680" t="s">
        <v>52</v>
      </c>
    </row>
    <row r="681" spans="1:21" x14ac:dyDescent="0.3">
      <c r="A681">
        <v>1106</v>
      </c>
      <c r="B681" t="s">
        <v>47</v>
      </c>
      <c r="C681" t="s">
        <v>24</v>
      </c>
      <c r="J681" t="s">
        <v>48</v>
      </c>
      <c r="K681" s="3">
        <v>755</v>
      </c>
      <c r="L681" s="2">
        <v>0</v>
      </c>
      <c r="M681" s="2">
        <f t="shared" si="20"/>
        <v>755</v>
      </c>
      <c r="N681" s="2">
        <f t="shared" si="21"/>
        <v>37.75</v>
      </c>
      <c r="O681" s="7">
        <v>37.76</v>
      </c>
      <c r="P681" s="2">
        <v>0.24</v>
      </c>
      <c r="Q681" s="2">
        <v>793</v>
      </c>
      <c r="R681" t="s">
        <v>31</v>
      </c>
      <c r="T681" t="s">
        <v>27</v>
      </c>
      <c r="U681" t="s">
        <v>49</v>
      </c>
    </row>
    <row r="682" spans="1:21" x14ac:dyDescent="0.3">
      <c r="A682">
        <v>1107</v>
      </c>
      <c r="B682" t="s">
        <v>43</v>
      </c>
      <c r="C682" t="s">
        <v>24</v>
      </c>
      <c r="J682" t="s">
        <v>44</v>
      </c>
      <c r="K682" s="3">
        <v>665</v>
      </c>
      <c r="L682" s="2">
        <v>66.5</v>
      </c>
      <c r="M682" s="2">
        <f t="shared" si="20"/>
        <v>598.5</v>
      </c>
      <c r="N682" s="2">
        <f t="shared" si="21"/>
        <v>29.925000000000001</v>
      </c>
      <c r="O682" s="7">
        <v>29.92</v>
      </c>
      <c r="P682" s="2">
        <v>-0.42</v>
      </c>
      <c r="Q682" s="2">
        <v>628</v>
      </c>
      <c r="R682" t="s">
        <v>45</v>
      </c>
      <c r="T682" t="s">
        <v>27</v>
      </c>
      <c r="U682" t="s">
        <v>46</v>
      </c>
    </row>
    <row r="683" spans="1:21" x14ac:dyDescent="0.3">
      <c r="A683">
        <v>1108</v>
      </c>
      <c r="B683" t="s">
        <v>40</v>
      </c>
      <c r="C683" t="s">
        <v>24</v>
      </c>
      <c r="J683" t="s">
        <v>41</v>
      </c>
      <c r="K683" s="3">
        <v>0</v>
      </c>
      <c r="L683" s="2">
        <v>0</v>
      </c>
      <c r="M683" s="2">
        <f t="shared" si="20"/>
        <v>0</v>
      </c>
      <c r="N683" s="2">
        <f t="shared" si="21"/>
        <v>0</v>
      </c>
      <c r="O683" s="7">
        <v>0</v>
      </c>
      <c r="P683" s="2">
        <v>0</v>
      </c>
      <c r="Q683" s="2">
        <v>0</v>
      </c>
      <c r="R683" t="s">
        <v>35</v>
      </c>
      <c r="T683" t="s">
        <v>27</v>
      </c>
      <c r="U683" t="s">
        <v>42</v>
      </c>
    </row>
    <row r="684" spans="1:21" x14ac:dyDescent="0.3">
      <c r="A684">
        <v>1109</v>
      </c>
      <c r="B684" t="s">
        <v>37</v>
      </c>
      <c r="C684" t="s">
        <v>24</v>
      </c>
      <c r="J684" t="s">
        <v>38</v>
      </c>
      <c r="K684" s="3">
        <v>0</v>
      </c>
      <c r="L684" s="2">
        <v>0</v>
      </c>
      <c r="M684" s="2">
        <f t="shared" si="20"/>
        <v>0</v>
      </c>
      <c r="N684" s="2">
        <f t="shared" si="21"/>
        <v>0</v>
      </c>
      <c r="O684" s="7">
        <v>0</v>
      </c>
      <c r="P684" s="2">
        <v>0</v>
      </c>
      <c r="Q684" s="2">
        <v>0</v>
      </c>
      <c r="R684" t="s">
        <v>35</v>
      </c>
      <c r="T684" t="s">
        <v>27</v>
      </c>
      <c r="U684" t="s">
        <v>39</v>
      </c>
    </row>
    <row r="685" spans="1:21" x14ac:dyDescent="0.3">
      <c r="A685">
        <v>1110</v>
      </c>
      <c r="B685" t="s">
        <v>33</v>
      </c>
      <c r="C685" t="s">
        <v>24</v>
      </c>
      <c r="J685" t="s">
        <v>34</v>
      </c>
      <c r="K685" s="3">
        <v>0</v>
      </c>
      <c r="L685" s="2">
        <v>0</v>
      </c>
      <c r="M685" s="2">
        <f t="shared" si="20"/>
        <v>0</v>
      </c>
      <c r="N685" s="2">
        <f t="shared" si="21"/>
        <v>0</v>
      </c>
      <c r="O685" s="7">
        <v>0</v>
      </c>
      <c r="P685" s="2">
        <v>0</v>
      </c>
      <c r="Q685" s="2">
        <v>0</v>
      </c>
      <c r="R685" t="s">
        <v>35</v>
      </c>
      <c r="T685" t="s">
        <v>27</v>
      </c>
      <c r="U685" t="s">
        <v>36</v>
      </c>
    </row>
    <row r="686" spans="1:21" x14ac:dyDescent="0.3">
      <c r="A686">
        <v>1111</v>
      </c>
      <c r="B686" t="s">
        <v>29</v>
      </c>
      <c r="C686" t="s">
        <v>24</v>
      </c>
      <c r="J686" t="s">
        <v>30</v>
      </c>
      <c r="K686" s="3">
        <v>380</v>
      </c>
      <c r="L686" s="2">
        <v>0</v>
      </c>
      <c r="M686" s="2">
        <f t="shared" si="20"/>
        <v>380</v>
      </c>
      <c r="N686" s="2">
        <f t="shared" si="21"/>
        <v>19</v>
      </c>
      <c r="O686" s="7">
        <v>19</v>
      </c>
      <c r="P686" s="2">
        <v>0</v>
      </c>
      <c r="Q686" s="2">
        <v>399</v>
      </c>
      <c r="R686" t="s">
        <v>31</v>
      </c>
      <c r="T686" t="s">
        <v>27</v>
      </c>
      <c r="U686" t="s">
        <v>32</v>
      </c>
    </row>
    <row r="687" spans="1:21" x14ac:dyDescent="0.3">
      <c r="A687">
        <v>1112</v>
      </c>
      <c r="B687" t="s">
        <v>23</v>
      </c>
      <c r="C687" t="s">
        <v>24</v>
      </c>
      <c r="J687" t="s">
        <v>25</v>
      </c>
      <c r="K687" s="3">
        <v>1675</v>
      </c>
      <c r="L687" s="2">
        <v>0</v>
      </c>
      <c r="M687" s="2">
        <f t="shared" si="20"/>
        <v>1675</v>
      </c>
      <c r="N687" s="2">
        <f t="shared" si="21"/>
        <v>83.75</v>
      </c>
      <c r="O687" s="7">
        <v>83.76</v>
      </c>
      <c r="P687" s="2">
        <v>0.24</v>
      </c>
      <c r="Q687" s="2">
        <v>1759</v>
      </c>
      <c r="R687" t="s">
        <v>26</v>
      </c>
      <c r="T687" t="s">
        <v>27</v>
      </c>
      <c r="U687" t="s">
        <v>28</v>
      </c>
    </row>
    <row r="688" spans="1:21" x14ac:dyDescent="0.3">
      <c r="A688">
        <v>372</v>
      </c>
      <c r="B688" t="s">
        <v>1868</v>
      </c>
      <c r="C688" t="s">
        <v>24</v>
      </c>
      <c r="D688" t="s">
        <v>1869</v>
      </c>
      <c r="J688" t="s">
        <v>1089</v>
      </c>
      <c r="K688" s="3">
        <v>420</v>
      </c>
      <c r="L688" s="2">
        <v>0</v>
      </c>
      <c r="M688" s="2">
        <f t="shared" si="20"/>
        <v>420</v>
      </c>
      <c r="N688" s="2">
        <f t="shared" si="21"/>
        <v>21</v>
      </c>
      <c r="O688" s="7">
        <v>21</v>
      </c>
      <c r="P688" s="2">
        <v>0</v>
      </c>
      <c r="Q688" s="2">
        <v>441</v>
      </c>
      <c r="R688" t="s">
        <v>35</v>
      </c>
      <c r="T688" t="s">
        <v>27</v>
      </c>
      <c r="U688" t="s">
        <v>1870</v>
      </c>
    </row>
    <row r="689" spans="1:21" x14ac:dyDescent="0.3">
      <c r="A689">
        <v>373</v>
      </c>
      <c r="B689" t="s">
        <v>1864</v>
      </c>
      <c r="C689" t="s">
        <v>24</v>
      </c>
      <c r="D689" t="s">
        <v>1865</v>
      </c>
      <c r="J689" t="s">
        <v>1866</v>
      </c>
      <c r="K689" s="3">
        <v>705</v>
      </c>
      <c r="L689" s="2">
        <v>0</v>
      </c>
      <c r="M689" s="2">
        <f t="shared" si="20"/>
        <v>705</v>
      </c>
      <c r="N689" s="2">
        <f t="shared" si="21"/>
        <v>35.25</v>
      </c>
      <c r="O689" s="7">
        <v>35.26</v>
      </c>
      <c r="P689" s="2">
        <v>-0.26</v>
      </c>
      <c r="Q689" s="2">
        <v>740</v>
      </c>
      <c r="R689" t="s">
        <v>31</v>
      </c>
      <c r="T689" t="s">
        <v>27</v>
      </c>
      <c r="U689" t="s">
        <v>1867</v>
      </c>
    </row>
    <row r="690" spans="1:21" x14ac:dyDescent="0.3">
      <c r="A690">
        <v>374</v>
      </c>
      <c r="B690" t="s">
        <v>1861</v>
      </c>
      <c r="C690" t="s">
        <v>24</v>
      </c>
      <c r="D690" t="s">
        <v>1862</v>
      </c>
      <c r="J690" t="s">
        <v>227</v>
      </c>
      <c r="K690" s="3">
        <v>380</v>
      </c>
      <c r="L690" s="2">
        <v>0</v>
      </c>
      <c r="M690" s="2">
        <f t="shared" si="20"/>
        <v>380</v>
      </c>
      <c r="N690" s="2">
        <f t="shared" si="21"/>
        <v>19</v>
      </c>
      <c r="O690" s="7">
        <v>19</v>
      </c>
      <c r="P690" s="2">
        <v>0</v>
      </c>
      <c r="Q690" s="2">
        <v>399</v>
      </c>
      <c r="R690" t="s">
        <v>35</v>
      </c>
      <c r="T690" t="s">
        <v>27</v>
      </c>
      <c r="U690" t="s">
        <v>1863</v>
      </c>
    </row>
    <row r="691" spans="1:21" x14ac:dyDescent="0.3">
      <c r="A691">
        <v>375</v>
      </c>
      <c r="B691" t="s">
        <v>1857</v>
      </c>
      <c r="C691" t="s">
        <v>24</v>
      </c>
      <c r="D691" t="s">
        <v>1858</v>
      </c>
      <c r="J691" t="s">
        <v>1859</v>
      </c>
      <c r="K691" s="3">
        <v>1040</v>
      </c>
      <c r="L691" s="2">
        <v>0</v>
      </c>
      <c r="M691" s="2">
        <f t="shared" si="20"/>
        <v>1040</v>
      </c>
      <c r="N691" s="2">
        <f t="shared" si="21"/>
        <v>52</v>
      </c>
      <c r="O691" s="7">
        <v>52</v>
      </c>
      <c r="P691" s="2">
        <v>0</v>
      </c>
      <c r="Q691" s="2">
        <v>1092</v>
      </c>
      <c r="R691" t="s">
        <v>45</v>
      </c>
      <c r="T691" t="s">
        <v>27</v>
      </c>
      <c r="U691" t="s">
        <v>1860</v>
      </c>
    </row>
    <row r="692" spans="1:21" x14ac:dyDescent="0.3">
      <c r="A692">
        <v>376</v>
      </c>
      <c r="B692" t="s">
        <v>1853</v>
      </c>
      <c r="C692" t="s">
        <v>24</v>
      </c>
      <c r="D692" t="s">
        <v>1854</v>
      </c>
      <c r="J692" t="s">
        <v>1855</v>
      </c>
      <c r="K692" s="3">
        <v>560</v>
      </c>
      <c r="L692" s="2">
        <v>0</v>
      </c>
      <c r="M692" s="2">
        <f t="shared" si="20"/>
        <v>560</v>
      </c>
      <c r="N692" s="2">
        <f t="shared" si="21"/>
        <v>28</v>
      </c>
      <c r="O692" s="7">
        <v>28</v>
      </c>
      <c r="P692" s="2">
        <v>0</v>
      </c>
      <c r="Q692" s="2">
        <v>588</v>
      </c>
      <c r="R692" t="s">
        <v>31</v>
      </c>
      <c r="T692" t="s">
        <v>27</v>
      </c>
      <c r="U692" t="s">
        <v>1856</v>
      </c>
    </row>
    <row r="693" spans="1:21" x14ac:dyDescent="0.3">
      <c r="A693">
        <v>377</v>
      </c>
      <c r="B693" t="s">
        <v>1850</v>
      </c>
      <c r="C693" t="s">
        <v>24</v>
      </c>
      <c r="D693" t="s">
        <v>1819</v>
      </c>
      <c r="J693" t="s">
        <v>1851</v>
      </c>
      <c r="K693" s="3">
        <v>0</v>
      </c>
      <c r="L693" s="2">
        <v>0</v>
      </c>
      <c r="M693" s="2">
        <f t="shared" si="20"/>
        <v>0</v>
      </c>
      <c r="N693" s="2">
        <f t="shared" si="21"/>
        <v>0</v>
      </c>
      <c r="O693" s="7">
        <v>0</v>
      </c>
      <c r="P693" s="2">
        <v>0</v>
      </c>
      <c r="Q693" s="2">
        <v>0</v>
      </c>
      <c r="R693" t="s">
        <v>35</v>
      </c>
      <c r="T693" t="s">
        <v>27</v>
      </c>
      <c r="U693" t="s">
        <v>1852</v>
      </c>
    </row>
    <row r="694" spans="1:21" x14ac:dyDescent="0.3">
      <c r="A694">
        <v>378</v>
      </c>
      <c r="B694" t="s">
        <v>1501</v>
      </c>
      <c r="C694" t="s">
        <v>24</v>
      </c>
      <c r="D694" t="s">
        <v>1502</v>
      </c>
      <c r="J694" t="s">
        <v>1848</v>
      </c>
      <c r="K694" s="3">
        <v>745</v>
      </c>
      <c r="L694" s="2">
        <v>0</v>
      </c>
      <c r="M694" s="2">
        <f t="shared" si="20"/>
        <v>745</v>
      </c>
      <c r="N694" s="2">
        <f t="shared" si="21"/>
        <v>37.25</v>
      </c>
      <c r="O694" s="7">
        <v>37.26</v>
      </c>
      <c r="P694" s="2">
        <v>-0.26</v>
      </c>
      <c r="Q694" s="2">
        <v>782</v>
      </c>
      <c r="R694" t="s">
        <v>45</v>
      </c>
      <c r="T694" t="s">
        <v>27</v>
      </c>
      <c r="U694" t="s">
        <v>1849</v>
      </c>
    </row>
    <row r="695" spans="1:21" x14ac:dyDescent="0.3">
      <c r="A695">
        <v>379</v>
      </c>
      <c r="B695" t="s">
        <v>37</v>
      </c>
      <c r="C695" t="s">
        <v>24</v>
      </c>
      <c r="D695" t="s">
        <v>1846</v>
      </c>
      <c r="J695" t="s">
        <v>471</v>
      </c>
      <c r="K695" s="3">
        <v>0</v>
      </c>
      <c r="L695" s="2">
        <v>0</v>
      </c>
      <c r="M695" s="2">
        <f t="shared" si="20"/>
        <v>0</v>
      </c>
      <c r="N695" s="2">
        <f t="shared" si="21"/>
        <v>0</v>
      </c>
      <c r="O695" s="7">
        <v>0</v>
      </c>
      <c r="P695" s="2">
        <v>0</v>
      </c>
      <c r="Q695" s="2">
        <v>0</v>
      </c>
      <c r="R695" t="s">
        <v>35</v>
      </c>
      <c r="T695" t="s">
        <v>27</v>
      </c>
      <c r="U695" t="s">
        <v>1847</v>
      </c>
    </row>
    <row r="696" spans="1:21" x14ac:dyDescent="0.3">
      <c r="A696">
        <v>380</v>
      </c>
      <c r="B696" t="s">
        <v>1620</v>
      </c>
      <c r="C696" t="s">
        <v>24</v>
      </c>
      <c r="D696" t="s">
        <v>1621</v>
      </c>
      <c r="J696" t="s">
        <v>1844</v>
      </c>
      <c r="K696" s="3">
        <v>0</v>
      </c>
      <c r="L696" s="2">
        <v>0</v>
      </c>
      <c r="M696" s="2">
        <f t="shared" si="20"/>
        <v>0</v>
      </c>
      <c r="N696" s="2">
        <f t="shared" si="21"/>
        <v>0</v>
      </c>
      <c r="O696" s="7">
        <v>0</v>
      </c>
      <c r="P696" s="2">
        <v>0</v>
      </c>
      <c r="Q696" s="2">
        <v>0</v>
      </c>
      <c r="R696" t="s">
        <v>35</v>
      </c>
      <c r="T696" t="s">
        <v>27</v>
      </c>
      <c r="U696" t="s">
        <v>1845</v>
      </c>
    </row>
    <row r="697" spans="1:21" x14ac:dyDescent="0.3">
      <c r="A697">
        <v>381</v>
      </c>
      <c r="B697" t="s">
        <v>693</v>
      </c>
      <c r="C697" t="s">
        <v>24</v>
      </c>
      <c r="D697" t="s">
        <v>1840</v>
      </c>
      <c r="J697" t="s">
        <v>1842</v>
      </c>
      <c r="K697" s="3">
        <v>805</v>
      </c>
      <c r="L697" s="2">
        <v>0</v>
      </c>
      <c r="M697" s="2">
        <f t="shared" si="20"/>
        <v>805</v>
      </c>
      <c r="N697" s="2">
        <f t="shared" si="21"/>
        <v>40.25</v>
      </c>
      <c r="O697" s="7">
        <v>40.26</v>
      </c>
      <c r="P697" s="2">
        <v>-0.26</v>
      </c>
      <c r="Q697" s="2">
        <v>845</v>
      </c>
      <c r="R697" t="s">
        <v>31</v>
      </c>
      <c r="T697" t="s">
        <v>27</v>
      </c>
      <c r="U697" t="s">
        <v>1843</v>
      </c>
    </row>
    <row r="698" spans="1:21" x14ac:dyDescent="0.3">
      <c r="A698">
        <v>382</v>
      </c>
      <c r="B698" t="s">
        <v>693</v>
      </c>
      <c r="C698" t="s">
        <v>24</v>
      </c>
      <c r="D698" t="s">
        <v>1840</v>
      </c>
      <c r="J698" t="s">
        <v>2016</v>
      </c>
      <c r="K698" s="3">
        <v>2765</v>
      </c>
      <c r="L698" s="2">
        <v>0</v>
      </c>
      <c r="M698" s="2">
        <f t="shared" si="20"/>
        <v>2765</v>
      </c>
      <c r="N698" s="2">
        <f t="shared" si="21"/>
        <v>138.25</v>
      </c>
      <c r="O698" s="7">
        <v>138.26</v>
      </c>
      <c r="P698" s="2">
        <v>-0.26</v>
      </c>
      <c r="Q698" s="2">
        <v>2903</v>
      </c>
      <c r="R698" t="s">
        <v>31</v>
      </c>
      <c r="T698" t="s">
        <v>27</v>
      </c>
      <c r="U698" t="s">
        <v>1841</v>
      </c>
    </row>
    <row r="699" spans="1:21" x14ac:dyDescent="0.3">
      <c r="A699">
        <v>383</v>
      </c>
      <c r="B699" t="s">
        <v>1836</v>
      </c>
      <c r="C699" t="s">
        <v>24</v>
      </c>
      <c r="D699" t="s">
        <v>1837</v>
      </c>
      <c r="J699" t="s">
        <v>1838</v>
      </c>
      <c r="K699" s="3">
        <v>1215</v>
      </c>
      <c r="L699" s="2">
        <v>0</v>
      </c>
      <c r="M699" s="2">
        <f t="shared" si="20"/>
        <v>1215</v>
      </c>
      <c r="N699" s="2">
        <f t="shared" si="21"/>
        <v>60.75</v>
      </c>
      <c r="O699" s="7">
        <v>60.76</v>
      </c>
      <c r="P699" s="2">
        <v>0.24</v>
      </c>
      <c r="Q699" s="2">
        <v>1276</v>
      </c>
      <c r="R699" t="s">
        <v>45</v>
      </c>
      <c r="T699" t="s">
        <v>27</v>
      </c>
      <c r="U699" t="s">
        <v>1839</v>
      </c>
    </row>
    <row r="700" spans="1:21" x14ac:dyDescent="0.3">
      <c r="A700">
        <v>384</v>
      </c>
      <c r="B700" t="s">
        <v>47</v>
      </c>
      <c r="C700" t="s">
        <v>24</v>
      </c>
      <c r="J700" t="s">
        <v>106</v>
      </c>
      <c r="K700" s="3">
        <v>250</v>
      </c>
      <c r="L700" s="2">
        <v>0</v>
      </c>
      <c r="M700" s="2">
        <f t="shared" si="20"/>
        <v>250</v>
      </c>
      <c r="N700" s="2">
        <f t="shared" si="21"/>
        <v>12.5</v>
      </c>
      <c r="O700" s="7">
        <v>12.5</v>
      </c>
      <c r="P700" s="2">
        <v>0.5</v>
      </c>
      <c r="Q700" s="2">
        <v>263</v>
      </c>
      <c r="R700" t="s">
        <v>45</v>
      </c>
      <c r="T700" t="s">
        <v>27</v>
      </c>
      <c r="U700" t="s">
        <v>1835</v>
      </c>
    </row>
    <row r="701" spans="1:21" x14ac:dyDescent="0.3">
      <c r="A701">
        <v>385</v>
      </c>
      <c r="B701" t="s">
        <v>74</v>
      </c>
      <c r="C701" t="s">
        <v>24</v>
      </c>
      <c r="J701" t="s">
        <v>1833</v>
      </c>
      <c r="K701" s="3">
        <v>600</v>
      </c>
      <c r="L701" s="2">
        <v>0</v>
      </c>
      <c r="M701" s="2">
        <f t="shared" si="20"/>
        <v>600</v>
      </c>
      <c r="N701" s="2">
        <f t="shared" si="21"/>
        <v>30</v>
      </c>
      <c r="O701" s="7">
        <v>30</v>
      </c>
      <c r="P701" s="2">
        <v>0</v>
      </c>
      <c r="Q701" s="2">
        <v>630</v>
      </c>
      <c r="R701" t="s">
        <v>45</v>
      </c>
      <c r="T701" t="s">
        <v>27</v>
      </c>
      <c r="U701" t="s">
        <v>1834</v>
      </c>
    </row>
    <row r="702" spans="1:21" x14ac:dyDescent="0.3">
      <c r="A702">
        <v>386</v>
      </c>
      <c r="B702" t="s">
        <v>1829</v>
      </c>
      <c r="C702" t="s">
        <v>24</v>
      </c>
      <c r="D702" t="s">
        <v>1830</v>
      </c>
      <c r="J702" t="s">
        <v>1831</v>
      </c>
      <c r="K702" s="3">
        <v>760</v>
      </c>
      <c r="L702" s="2">
        <v>0</v>
      </c>
      <c r="M702" s="2">
        <f t="shared" si="20"/>
        <v>760</v>
      </c>
      <c r="N702" s="2">
        <f t="shared" si="21"/>
        <v>38</v>
      </c>
      <c r="O702" s="7">
        <v>38</v>
      </c>
      <c r="P702" s="2">
        <v>0</v>
      </c>
      <c r="Q702" s="2">
        <v>798</v>
      </c>
      <c r="R702" t="s">
        <v>31</v>
      </c>
      <c r="T702" t="s">
        <v>27</v>
      </c>
      <c r="U702" t="s">
        <v>1832</v>
      </c>
    </row>
    <row r="703" spans="1:21" x14ac:dyDescent="0.3">
      <c r="A703">
        <v>387</v>
      </c>
      <c r="B703" t="s">
        <v>1826</v>
      </c>
      <c r="C703" t="s">
        <v>24</v>
      </c>
      <c r="D703" t="s">
        <v>1827</v>
      </c>
      <c r="J703" t="s">
        <v>2015</v>
      </c>
      <c r="K703" s="3">
        <v>6480</v>
      </c>
      <c r="L703" s="2">
        <v>1296</v>
      </c>
      <c r="M703" s="2">
        <f t="shared" si="20"/>
        <v>5184</v>
      </c>
      <c r="N703" s="2">
        <f t="shared" si="21"/>
        <v>259.2</v>
      </c>
      <c r="O703" s="7">
        <v>259.2</v>
      </c>
      <c r="P703" s="2">
        <v>-0.2</v>
      </c>
      <c r="Q703" s="2">
        <v>5443</v>
      </c>
      <c r="R703" t="s">
        <v>31</v>
      </c>
      <c r="T703" t="s">
        <v>27</v>
      </c>
      <c r="U703" t="s">
        <v>1828</v>
      </c>
    </row>
    <row r="704" spans="1:21" x14ac:dyDescent="0.3">
      <c r="A704">
        <v>388</v>
      </c>
      <c r="B704" t="s">
        <v>1822</v>
      </c>
      <c r="C704" t="s">
        <v>24</v>
      </c>
      <c r="D704" t="s">
        <v>1823</v>
      </c>
      <c r="J704" t="s">
        <v>1824</v>
      </c>
      <c r="K704" s="3">
        <v>715</v>
      </c>
      <c r="L704" s="2">
        <v>0</v>
      </c>
      <c r="M704" s="2">
        <f t="shared" si="20"/>
        <v>715</v>
      </c>
      <c r="N704" s="2">
        <f t="shared" si="21"/>
        <v>35.75</v>
      </c>
      <c r="O704" s="7">
        <v>35.76</v>
      </c>
      <c r="P704" s="2">
        <v>0.24</v>
      </c>
      <c r="Q704" s="2">
        <v>751</v>
      </c>
      <c r="R704" t="s">
        <v>35</v>
      </c>
      <c r="T704" t="s">
        <v>27</v>
      </c>
      <c r="U704" t="s">
        <v>1825</v>
      </c>
    </row>
    <row r="705" spans="1:21" x14ac:dyDescent="0.3">
      <c r="A705">
        <v>389</v>
      </c>
      <c r="B705" t="s">
        <v>131</v>
      </c>
      <c r="C705" t="s">
        <v>24</v>
      </c>
      <c r="D705" t="s">
        <v>1819</v>
      </c>
      <c r="J705" t="s">
        <v>1820</v>
      </c>
      <c r="K705" s="3">
        <v>0</v>
      </c>
      <c r="L705" s="2">
        <v>0</v>
      </c>
      <c r="M705" s="2">
        <f t="shared" si="20"/>
        <v>0</v>
      </c>
      <c r="N705" s="2">
        <f t="shared" si="21"/>
        <v>0</v>
      </c>
      <c r="O705" s="7">
        <v>0</v>
      </c>
      <c r="P705" s="2">
        <v>0</v>
      </c>
      <c r="Q705" s="2">
        <v>0</v>
      </c>
      <c r="R705" t="s">
        <v>35</v>
      </c>
      <c r="T705" t="s">
        <v>27</v>
      </c>
      <c r="U705" t="s">
        <v>1821</v>
      </c>
    </row>
    <row r="706" spans="1:21" x14ac:dyDescent="0.3">
      <c r="A706">
        <v>390</v>
      </c>
      <c r="B706" t="s">
        <v>1815</v>
      </c>
      <c r="C706" t="s">
        <v>24</v>
      </c>
      <c r="D706" t="s">
        <v>1816</v>
      </c>
      <c r="J706" t="s">
        <v>1817</v>
      </c>
      <c r="K706" s="3">
        <v>0</v>
      </c>
      <c r="L706" s="2">
        <v>0</v>
      </c>
      <c r="M706" s="2">
        <f t="shared" si="20"/>
        <v>0</v>
      </c>
      <c r="N706" s="2">
        <f t="shared" si="21"/>
        <v>0</v>
      </c>
      <c r="O706" s="7">
        <v>0</v>
      </c>
      <c r="P706" s="2">
        <v>0</v>
      </c>
      <c r="Q706" s="2">
        <v>0</v>
      </c>
      <c r="R706" t="s">
        <v>35</v>
      </c>
      <c r="T706" t="s">
        <v>27</v>
      </c>
      <c r="U706" t="s">
        <v>1818</v>
      </c>
    </row>
    <row r="707" spans="1:21" x14ac:dyDescent="0.3">
      <c r="A707">
        <v>391</v>
      </c>
      <c r="B707" t="s">
        <v>50</v>
      </c>
      <c r="C707" t="s">
        <v>24</v>
      </c>
      <c r="J707" t="s">
        <v>1813</v>
      </c>
      <c r="K707" s="3">
        <v>365</v>
      </c>
      <c r="L707" s="2">
        <v>0</v>
      </c>
      <c r="M707" s="2">
        <f t="shared" si="20"/>
        <v>365</v>
      </c>
      <c r="N707" s="2">
        <f t="shared" si="21"/>
        <v>18.25</v>
      </c>
      <c r="O707" s="7">
        <v>18.260000000000002</v>
      </c>
      <c r="P707" s="2">
        <v>-0.26</v>
      </c>
      <c r="Q707" s="2">
        <v>383</v>
      </c>
      <c r="R707" t="s">
        <v>35</v>
      </c>
      <c r="T707" t="s">
        <v>27</v>
      </c>
      <c r="U707" t="s">
        <v>1814</v>
      </c>
    </row>
    <row r="708" spans="1:21" x14ac:dyDescent="0.3">
      <c r="A708">
        <v>392</v>
      </c>
      <c r="B708" t="s">
        <v>1809</v>
      </c>
      <c r="C708" t="s">
        <v>24</v>
      </c>
      <c r="D708" t="s">
        <v>1810</v>
      </c>
      <c r="J708" t="s">
        <v>1811</v>
      </c>
      <c r="K708" s="3">
        <v>840</v>
      </c>
      <c r="L708" s="2">
        <v>0</v>
      </c>
      <c r="M708" s="2">
        <f t="shared" si="20"/>
        <v>840</v>
      </c>
      <c r="N708" s="2">
        <f t="shared" si="21"/>
        <v>42</v>
      </c>
      <c r="O708" s="7">
        <v>42</v>
      </c>
      <c r="P708" s="2">
        <v>0</v>
      </c>
      <c r="Q708" s="2">
        <v>882</v>
      </c>
      <c r="R708" t="s">
        <v>31</v>
      </c>
      <c r="T708" t="s">
        <v>27</v>
      </c>
      <c r="U708" t="s">
        <v>1812</v>
      </c>
    </row>
    <row r="709" spans="1:21" x14ac:dyDescent="0.3">
      <c r="A709">
        <v>393</v>
      </c>
      <c r="B709" t="s">
        <v>682</v>
      </c>
      <c r="C709" t="s">
        <v>24</v>
      </c>
      <c r="J709" t="s">
        <v>106</v>
      </c>
      <c r="K709" s="3">
        <v>250</v>
      </c>
      <c r="L709" s="2">
        <v>0</v>
      </c>
      <c r="M709" s="2">
        <f t="shared" si="20"/>
        <v>250</v>
      </c>
      <c r="N709" s="2">
        <f t="shared" si="21"/>
        <v>12.5</v>
      </c>
      <c r="O709" s="7">
        <v>12.5</v>
      </c>
      <c r="P709" s="2">
        <v>0.5</v>
      </c>
      <c r="Q709" s="2">
        <v>263</v>
      </c>
      <c r="R709" t="s">
        <v>31</v>
      </c>
      <c r="T709" t="s">
        <v>27</v>
      </c>
      <c r="U709" t="s">
        <v>1808</v>
      </c>
    </row>
    <row r="710" spans="1:21" x14ac:dyDescent="0.3">
      <c r="A710">
        <v>394</v>
      </c>
      <c r="B710" t="s">
        <v>64</v>
      </c>
      <c r="C710" t="s">
        <v>24</v>
      </c>
      <c r="J710" t="s">
        <v>1806</v>
      </c>
      <c r="K710" s="3">
        <v>1880</v>
      </c>
      <c r="L710" s="2">
        <v>0</v>
      </c>
      <c r="M710" s="2">
        <f t="shared" si="20"/>
        <v>1880</v>
      </c>
      <c r="N710" s="2">
        <f t="shared" si="21"/>
        <v>94</v>
      </c>
      <c r="O710" s="7">
        <v>94</v>
      </c>
      <c r="P710" s="2">
        <v>0</v>
      </c>
      <c r="Q710" s="2">
        <v>1974</v>
      </c>
      <c r="R710" t="s">
        <v>45</v>
      </c>
      <c r="T710" t="s">
        <v>27</v>
      </c>
      <c r="U710" t="s">
        <v>1807</v>
      </c>
    </row>
    <row r="711" spans="1:21" x14ac:dyDescent="0.3">
      <c r="A711">
        <v>395</v>
      </c>
      <c r="B711" t="s">
        <v>67</v>
      </c>
      <c r="C711" t="s">
        <v>24</v>
      </c>
      <c r="J711" t="s">
        <v>1762</v>
      </c>
      <c r="K711" s="3">
        <v>345</v>
      </c>
      <c r="L711" s="2">
        <v>0</v>
      </c>
      <c r="M711" s="2">
        <f t="shared" ref="M711:M774" si="22">K711-L711</f>
        <v>345</v>
      </c>
      <c r="N711" s="2">
        <f t="shared" ref="N711:N774" si="23">M711*5%</f>
        <v>17.25</v>
      </c>
      <c r="O711" s="7">
        <v>17.260000000000002</v>
      </c>
      <c r="P711" s="2">
        <v>-0.26</v>
      </c>
      <c r="Q711" s="2">
        <v>362</v>
      </c>
      <c r="R711" t="s">
        <v>45</v>
      </c>
      <c r="T711" t="s">
        <v>27</v>
      </c>
      <c r="U711" t="s">
        <v>1805</v>
      </c>
    </row>
    <row r="712" spans="1:21" x14ac:dyDescent="0.3">
      <c r="A712">
        <v>396</v>
      </c>
      <c r="B712" t="s">
        <v>1801</v>
      </c>
      <c r="C712" t="s">
        <v>24</v>
      </c>
      <c r="D712" t="s">
        <v>1802</v>
      </c>
      <c r="J712" t="s">
        <v>1803</v>
      </c>
      <c r="K712" s="3">
        <v>1085</v>
      </c>
      <c r="L712" s="2">
        <v>0</v>
      </c>
      <c r="M712" s="2">
        <f t="shared" si="22"/>
        <v>1085</v>
      </c>
      <c r="N712" s="2">
        <f t="shared" si="23"/>
        <v>54.25</v>
      </c>
      <c r="O712" s="7">
        <v>54.26</v>
      </c>
      <c r="P712" s="2">
        <v>-0.26</v>
      </c>
      <c r="Q712" s="2">
        <v>1139</v>
      </c>
      <c r="R712" t="s">
        <v>31</v>
      </c>
      <c r="T712" t="s">
        <v>27</v>
      </c>
      <c r="U712" t="s">
        <v>1804</v>
      </c>
    </row>
    <row r="713" spans="1:21" x14ac:dyDescent="0.3">
      <c r="A713">
        <v>397</v>
      </c>
      <c r="B713" t="s">
        <v>1797</v>
      </c>
      <c r="C713" t="s">
        <v>24</v>
      </c>
      <c r="D713" t="s">
        <v>1798</v>
      </c>
      <c r="J713" t="s">
        <v>1799</v>
      </c>
      <c r="K713" s="3">
        <v>2300</v>
      </c>
      <c r="L713" s="2">
        <v>0</v>
      </c>
      <c r="M713" s="2">
        <f t="shared" si="22"/>
        <v>2300</v>
      </c>
      <c r="N713" s="2">
        <f t="shared" si="23"/>
        <v>115</v>
      </c>
      <c r="O713" s="7">
        <v>109</v>
      </c>
      <c r="P713" s="2">
        <v>0</v>
      </c>
      <c r="Q713" s="2">
        <v>2409</v>
      </c>
      <c r="R713" t="s">
        <v>45</v>
      </c>
      <c r="T713" t="s">
        <v>27</v>
      </c>
      <c r="U713" t="s">
        <v>1800</v>
      </c>
    </row>
    <row r="714" spans="1:21" x14ac:dyDescent="0.3">
      <c r="A714">
        <v>398</v>
      </c>
      <c r="B714" t="s">
        <v>1793</v>
      </c>
      <c r="C714" t="s">
        <v>24</v>
      </c>
      <c r="D714" t="s">
        <v>1794</v>
      </c>
      <c r="J714" t="s">
        <v>1795</v>
      </c>
      <c r="K714" s="3">
        <v>1770</v>
      </c>
      <c r="L714" s="2">
        <v>0</v>
      </c>
      <c r="M714" s="2">
        <f t="shared" si="22"/>
        <v>1770</v>
      </c>
      <c r="N714" s="2">
        <f t="shared" si="23"/>
        <v>88.5</v>
      </c>
      <c r="O714" s="7">
        <v>81</v>
      </c>
      <c r="P714" s="2">
        <v>0</v>
      </c>
      <c r="Q714" s="2">
        <v>1851</v>
      </c>
      <c r="R714" t="s">
        <v>45</v>
      </c>
      <c r="T714" t="s">
        <v>27</v>
      </c>
      <c r="U714" t="s">
        <v>1796</v>
      </c>
    </row>
    <row r="715" spans="1:21" x14ac:dyDescent="0.3">
      <c r="A715">
        <v>399</v>
      </c>
      <c r="B715" t="s">
        <v>1790</v>
      </c>
      <c r="C715" t="s">
        <v>24</v>
      </c>
      <c r="D715" t="s">
        <v>1791</v>
      </c>
      <c r="J715" t="s">
        <v>2014</v>
      </c>
      <c r="K715" s="3">
        <v>2940</v>
      </c>
      <c r="L715" s="2">
        <v>0</v>
      </c>
      <c r="M715" s="2">
        <f t="shared" si="22"/>
        <v>2940</v>
      </c>
      <c r="N715" s="2">
        <f t="shared" si="23"/>
        <v>147</v>
      </c>
      <c r="O715" s="7">
        <v>147</v>
      </c>
      <c r="P715" s="2">
        <v>0</v>
      </c>
      <c r="Q715" s="2">
        <v>3087</v>
      </c>
      <c r="R715" t="s">
        <v>45</v>
      </c>
      <c r="T715" t="s">
        <v>27</v>
      </c>
      <c r="U715" t="s">
        <v>1792</v>
      </c>
    </row>
    <row r="716" spans="1:21" x14ac:dyDescent="0.3">
      <c r="A716">
        <v>400</v>
      </c>
      <c r="B716" t="s">
        <v>1786</v>
      </c>
      <c r="C716" t="s">
        <v>24</v>
      </c>
      <c r="D716" t="s">
        <v>1787</v>
      </c>
      <c r="J716" t="s">
        <v>1788</v>
      </c>
      <c r="K716" s="3">
        <v>1135</v>
      </c>
      <c r="L716" s="2">
        <v>0</v>
      </c>
      <c r="M716" s="2">
        <f t="shared" si="22"/>
        <v>1135</v>
      </c>
      <c r="N716" s="2">
        <f t="shared" si="23"/>
        <v>56.75</v>
      </c>
      <c r="O716" s="7">
        <v>56.76</v>
      </c>
      <c r="P716" s="2">
        <v>0.24</v>
      </c>
      <c r="Q716" s="2">
        <v>1192</v>
      </c>
      <c r="R716" t="s">
        <v>31</v>
      </c>
      <c r="T716" t="s">
        <v>27</v>
      </c>
      <c r="U716" t="s">
        <v>1789</v>
      </c>
    </row>
    <row r="717" spans="1:21" x14ac:dyDescent="0.3">
      <c r="A717">
        <v>401</v>
      </c>
      <c r="B717" t="s">
        <v>74</v>
      </c>
      <c r="C717" t="s">
        <v>24</v>
      </c>
      <c r="J717" t="s">
        <v>1306</v>
      </c>
      <c r="K717" s="3">
        <v>450</v>
      </c>
      <c r="L717" s="2">
        <v>0</v>
      </c>
      <c r="M717" s="2">
        <f t="shared" si="22"/>
        <v>450</v>
      </c>
      <c r="N717" s="2">
        <f t="shared" si="23"/>
        <v>22.5</v>
      </c>
      <c r="O717" s="7">
        <v>22.5</v>
      </c>
      <c r="P717" s="2">
        <v>0.5</v>
      </c>
      <c r="Q717" s="2">
        <v>473</v>
      </c>
      <c r="R717" t="s">
        <v>45</v>
      </c>
      <c r="T717" t="s">
        <v>27</v>
      </c>
      <c r="U717" t="s">
        <v>1785</v>
      </c>
    </row>
    <row r="718" spans="1:21" x14ac:dyDescent="0.3">
      <c r="A718">
        <v>402</v>
      </c>
      <c r="B718" t="s">
        <v>56</v>
      </c>
      <c r="C718" t="s">
        <v>24</v>
      </c>
      <c r="J718" t="s">
        <v>492</v>
      </c>
      <c r="K718" s="3">
        <v>190</v>
      </c>
      <c r="L718" s="2">
        <v>0</v>
      </c>
      <c r="M718" s="2">
        <f t="shared" si="22"/>
        <v>190</v>
      </c>
      <c r="N718" s="2">
        <f t="shared" si="23"/>
        <v>9.5</v>
      </c>
      <c r="O718" s="7">
        <v>9.5</v>
      </c>
      <c r="P718" s="2">
        <v>0.5</v>
      </c>
      <c r="Q718" s="2">
        <v>200</v>
      </c>
      <c r="R718" t="s">
        <v>45</v>
      </c>
      <c r="T718" t="s">
        <v>27</v>
      </c>
      <c r="U718" t="s">
        <v>1784</v>
      </c>
    </row>
    <row r="719" spans="1:21" x14ac:dyDescent="0.3">
      <c r="A719">
        <v>403</v>
      </c>
      <c r="B719" t="s">
        <v>1780</v>
      </c>
      <c r="C719" t="s">
        <v>24</v>
      </c>
      <c r="D719" t="s">
        <v>1781</v>
      </c>
      <c r="J719" t="s">
        <v>1782</v>
      </c>
      <c r="K719" s="3">
        <v>705</v>
      </c>
      <c r="L719" s="2">
        <v>0</v>
      </c>
      <c r="M719" s="2">
        <f t="shared" si="22"/>
        <v>705</v>
      </c>
      <c r="N719" s="2">
        <f t="shared" si="23"/>
        <v>35.25</v>
      </c>
      <c r="O719" s="7">
        <v>35.26</v>
      </c>
      <c r="P719" s="2">
        <v>-0.26</v>
      </c>
      <c r="Q719" s="2">
        <v>740</v>
      </c>
      <c r="R719" t="s">
        <v>31</v>
      </c>
      <c r="T719" t="s">
        <v>27</v>
      </c>
      <c r="U719" t="s">
        <v>1783</v>
      </c>
    </row>
    <row r="720" spans="1:21" x14ac:dyDescent="0.3">
      <c r="A720">
        <v>404</v>
      </c>
      <c r="B720" t="s">
        <v>1776</v>
      </c>
      <c r="C720" t="s">
        <v>24</v>
      </c>
      <c r="D720" t="s">
        <v>1777</v>
      </c>
      <c r="J720" t="s">
        <v>129</v>
      </c>
      <c r="K720" s="3">
        <v>325</v>
      </c>
      <c r="L720" s="2">
        <v>0</v>
      </c>
      <c r="M720" s="2">
        <f t="shared" si="22"/>
        <v>325</v>
      </c>
      <c r="N720" s="2">
        <f t="shared" si="23"/>
        <v>16.25</v>
      </c>
      <c r="O720" s="7">
        <v>16.260000000000002</v>
      </c>
      <c r="P720" s="2">
        <v>-0.26</v>
      </c>
      <c r="Q720" s="2">
        <v>341</v>
      </c>
      <c r="R720" t="s">
        <v>45</v>
      </c>
      <c r="T720" t="s">
        <v>27</v>
      </c>
      <c r="U720" t="s">
        <v>1779</v>
      </c>
    </row>
    <row r="721" spans="1:21" x14ac:dyDescent="0.3">
      <c r="A721">
        <v>405</v>
      </c>
      <c r="B721" t="s">
        <v>1776</v>
      </c>
      <c r="C721" t="s">
        <v>24</v>
      </c>
      <c r="D721" t="s">
        <v>1777</v>
      </c>
      <c r="J721" t="s">
        <v>830</v>
      </c>
      <c r="K721" s="3">
        <v>295</v>
      </c>
      <c r="L721" s="2">
        <v>0</v>
      </c>
      <c r="M721" s="2">
        <f t="shared" si="22"/>
        <v>295</v>
      </c>
      <c r="N721" s="2">
        <f t="shared" si="23"/>
        <v>14.75</v>
      </c>
      <c r="O721" s="7">
        <v>14.76</v>
      </c>
      <c r="P721" s="2">
        <v>0.24</v>
      </c>
      <c r="Q721" s="2">
        <v>310</v>
      </c>
      <c r="R721" t="s">
        <v>45</v>
      </c>
      <c r="T721" t="s">
        <v>27</v>
      </c>
      <c r="U721" t="s">
        <v>1778</v>
      </c>
    </row>
    <row r="722" spans="1:21" x14ac:dyDescent="0.3">
      <c r="A722">
        <v>406</v>
      </c>
      <c r="B722" t="s">
        <v>242</v>
      </c>
      <c r="C722" t="s">
        <v>24</v>
      </c>
      <c r="D722" t="s">
        <v>1354</v>
      </c>
      <c r="J722" t="s">
        <v>1774</v>
      </c>
      <c r="K722" s="3">
        <v>705</v>
      </c>
      <c r="L722" s="2">
        <v>105.75</v>
      </c>
      <c r="M722" s="2">
        <f t="shared" si="22"/>
        <v>599.25</v>
      </c>
      <c r="N722" s="2">
        <f t="shared" si="23"/>
        <v>29.962500000000002</v>
      </c>
      <c r="O722" s="7">
        <v>29.96</v>
      </c>
      <c r="P722" s="2">
        <v>-0.21</v>
      </c>
      <c r="Q722" s="2">
        <v>629</v>
      </c>
      <c r="R722" t="s">
        <v>31</v>
      </c>
      <c r="T722" t="s">
        <v>27</v>
      </c>
      <c r="U722" t="s">
        <v>1775</v>
      </c>
    </row>
    <row r="723" spans="1:21" x14ac:dyDescent="0.3">
      <c r="A723">
        <v>407</v>
      </c>
      <c r="B723" t="s">
        <v>1770</v>
      </c>
      <c r="C723" t="s">
        <v>24</v>
      </c>
      <c r="D723" t="s">
        <v>1771</v>
      </c>
      <c r="J723" t="s">
        <v>1772</v>
      </c>
      <c r="K723" s="3">
        <v>835</v>
      </c>
      <c r="L723" s="2">
        <v>0</v>
      </c>
      <c r="M723" s="2">
        <f t="shared" si="22"/>
        <v>835</v>
      </c>
      <c r="N723" s="2">
        <f t="shared" si="23"/>
        <v>41.75</v>
      </c>
      <c r="O723" s="7">
        <v>41.76</v>
      </c>
      <c r="P723" s="2">
        <v>0.24</v>
      </c>
      <c r="Q723" s="2">
        <v>877</v>
      </c>
      <c r="R723" t="s">
        <v>45</v>
      </c>
      <c r="T723" t="s">
        <v>27</v>
      </c>
      <c r="U723" t="s">
        <v>1773</v>
      </c>
    </row>
    <row r="724" spans="1:21" x14ac:dyDescent="0.3">
      <c r="A724">
        <v>408</v>
      </c>
      <c r="B724" t="s">
        <v>1670</v>
      </c>
      <c r="C724" t="s">
        <v>24</v>
      </c>
      <c r="D724" t="s">
        <v>1654</v>
      </c>
      <c r="J724" t="s">
        <v>1768</v>
      </c>
      <c r="K724" s="3">
        <v>490</v>
      </c>
      <c r="L724" s="2">
        <v>0</v>
      </c>
      <c r="M724" s="2">
        <f t="shared" si="22"/>
        <v>490</v>
      </c>
      <c r="N724" s="2">
        <f t="shared" si="23"/>
        <v>24.5</v>
      </c>
      <c r="O724" s="7">
        <v>24.5</v>
      </c>
      <c r="P724" s="2">
        <v>0.5</v>
      </c>
      <c r="Q724" s="2">
        <v>515</v>
      </c>
      <c r="R724" t="s">
        <v>45</v>
      </c>
      <c r="T724" t="s">
        <v>27</v>
      </c>
      <c r="U724" t="s">
        <v>1769</v>
      </c>
    </row>
    <row r="725" spans="1:21" x14ac:dyDescent="0.3">
      <c r="A725">
        <v>409</v>
      </c>
      <c r="B725" t="s">
        <v>1764</v>
      </c>
      <c r="C725" t="s">
        <v>24</v>
      </c>
      <c r="D725" t="s">
        <v>1765</v>
      </c>
      <c r="J725" t="s">
        <v>1766</v>
      </c>
      <c r="K725" s="3">
        <v>690</v>
      </c>
      <c r="L725" s="2">
        <v>0</v>
      </c>
      <c r="M725" s="2">
        <f t="shared" si="22"/>
        <v>690</v>
      </c>
      <c r="N725" s="2">
        <f t="shared" si="23"/>
        <v>34.5</v>
      </c>
      <c r="O725" s="7">
        <v>34.5</v>
      </c>
      <c r="P725" s="2">
        <v>0.5</v>
      </c>
      <c r="Q725" s="2">
        <v>725</v>
      </c>
      <c r="R725" t="s">
        <v>45</v>
      </c>
      <c r="T725" t="s">
        <v>27</v>
      </c>
      <c r="U725" t="s">
        <v>1767</v>
      </c>
    </row>
    <row r="726" spans="1:21" x14ac:dyDescent="0.3">
      <c r="A726">
        <v>410</v>
      </c>
      <c r="B726" t="s">
        <v>1551</v>
      </c>
      <c r="C726" t="s">
        <v>24</v>
      </c>
      <c r="D726" t="s">
        <v>1552</v>
      </c>
      <c r="J726" t="s">
        <v>1762</v>
      </c>
      <c r="K726" s="3">
        <v>345</v>
      </c>
      <c r="L726" s="2">
        <v>0</v>
      </c>
      <c r="M726" s="2">
        <f t="shared" si="22"/>
        <v>345</v>
      </c>
      <c r="N726" s="2">
        <f t="shared" si="23"/>
        <v>17.25</v>
      </c>
      <c r="O726" s="7">
        <v>17.260000000000002</v>
      </c>
      <c r="P726" s="2">
        <v>-0.26</v>
      </c>
      <c r="Q726" s="2">
        <v>362</v>
      </c>
      <c r="R726" t="s">
        <v>45</v>
      </c>
      <c r="T726" t="s">
        <v>27</v>
      </c>
      <c r="U726" t="s">
        <v>1763</v>
      </c>
    </row>
    <row r="727" spans="1:21" x14ac:dyDescent="0.3">
      <c r="A727">
        <v>411</v>
      </c>
      <c r="B727" t="s">
        <v>1760</v>
      </c>
      <c r="C727" t="s">
        <v>24</v>
      </c>
      <c r="J727" t="s">
        <v>413</v>
      </c>
      <c r="K727" s="3">
        <v>244</v>
      </c>
      <c r="L727" s="2">
        <v>0</v>
      </c>
      <c r="M727" s="2">
        <f t="shared" si="22"/>
        <v>244</v>
      </c>
      <c r="N727" s="2">
        <f t="shared" si="23"/>
        <v>12.200000000000001</v>
      </c>
      <c r="O727" s="7">
        <v>43.92</v>
      </c>
      <c r="P727" s="2">
        <v>0.08</v>
      </c>
      <c r="Q727" s="2">
        <v>288</v>
      </c>
      <c r="R727" t="s">
        <v>45</v>
      </c>
      <c r="T727" t="s">
        <v>27</v>
      </c>
      <c r="U727" t="s">
        <v>1761</v>
      </c>
    </row>
    <row r="728" spans="1:21" x14ac:dyDescent="0.3">
      <c r="A728">
        <v>412</v>
      </c>
      <c r="B728" t="s">
        <v>1756</v>
      </c>
      <c r="C728" t="s">
        <v>24</v>
      </c>
      <c r="D728" t="s">
        <v>1757</v>
      </c>
      <c r="J728" t="s">
        <v>1758</v>
      </c>
      <c r="K728" s="3">
        <v>925</v>
      </c>
      <c r="L728" s="2">
        <v>0</v>
      </c>
      <c r="M728" s="2">
        <f t="shared" si="22"/>
        <v>925</v>
      </c>
      <c r="N728" s="2">
        <f t="shared" si="23"/>
        <v>46.25</v>
      </c>
      <c r="O728" s="7">
        <v>46.26</v>
      </c>
      <c r="P728" s="2">
        <v>-0.26</v>
      </c>
      <c r="Q728" s="2">
        <v>971</v>
      </c>
      <c r="R728" t="s">
        <v>31</v>
      </c>
      <c r="T728" t="s">
        <v>27</v>
      </c>
      <c r="U728" t="s">
        <v>1759</v>
      </c>
    </row>
    <row r="729" spans="1:21" x14ac:dyDescent="0.3">
      <c r="A729">
        <v>413</v>
      </c>
      <c r="B729" t="s">
        <v>1753</v>
      </c>
      <c r="C729" t="s">
        <v>24</v>
      </c>
      <c r="D729" t="s">
        <v>1754</v>
      </c>
      <c r="J729" t="s">
        <v>129</v>
      </c>
      <c r="K729" s="3">
        <v>325</v>
      </c>
      <c r="L729" s="2">
        <v>0</v>
      </c>
      <c r="M729" s="2">
        <f t="shared" si="22"/>
        <v>325</v>
      </c>
      <c r="N729" s="2">
        <f t="shared" si="23"/>
        <v>16.25</v>
      </c>
      <c r="O729" s="7">
        <v>16.260000000000002</v>
      </c>
      <c r="P729" s="2">
        <v>-0.26</v>
      </c>
      <c r="Q729" s="2">
        <v>341</v>
      </c>
      <c r="R729" t="s">
        <v>45</v>
      </c>
      <c r="T729" t="s">
        <v>27</v>
      </c>
      <c r="U729" t="s">
        <v>1755</v>
      </c>
    </row>
    <row r="730" spans="1:21" x14ac:dyDescent="0.3">
      <c r="A730">
        <v>414</v>
      </c>
      <c r="B730" t="s">
        <v>1749</v>
      </c>
      <c r="C730" t="s">
        <v>24</v>
      </c>
      <c r="D730" t="s">
        <v>1750</v>
      </c>
      <c r="J730" t="s">
        <v>1751</v>
      </c>
      <c r="K730" s="3">
        <v>840</v>
      </c>
      <c r="L730" s="2">
        <v>0</v>
      </c>
      <c r="M730" s="2">
        <f t="shared" si="22"/>
        <v>840</v>
      </c>
      <c r="N730" s="2">
        <f t="shared" si="23"/>
        <v>42</v>
      </c>
      <c r="O730" s="7">
        <v>42</v>
      </c>
      <c r="P730" s="2">
        <v>0</v>
      </c>
      <c r="Q730" s="2">
        <v>882</v>
      </c>
      <c r="R730" t="s">
        <v>35</v>
      </c>
      <c r="T730" t="s">
        <v>27</v>
      </c>
      <c r="U730" t="s">
        <v>1752</v>
      </c>
    </row>
    <row r="731" spans="1:21" x14ac:dyDescent="0.3">
      <c r="A731">
        <v>415</v>
      </c>
      <c r="B731" t="s">
        <v>336</v>
      </c>
      <c r="C731" t="s">
        <v>24</v>
      </c>
      <c r="D731" t="s">
        <v>1746</v>
      </c>
      <c r="J731" t="s">
        <v>1747</v>
      </c>
      <c r="K731" s="3">
        <v>0</v>
      </c>
      <c r="L731" s="2">
        <v>0</v>
      </c>
      <c r="M731" s="2">
        <f t="shared" si="22"/>
        <v>0</v>
      </c>
      <c r="N731" s="2">
        <f t="shared" si="23"/>
        <v>0</v>
      </c>
      <c r="O731" s="7">
        <v>0</v>
      </c>
      <c r="P731" s="2">
        <v>0</v>
      </c>
      <c r="Q731" s="2">
        <v>0</v>
      </c>
      <c r="R731" t="s">
        <v>35</v>
      </c>
      <c r="T731" t="s">
        <v>27</v>
      </c>
      <c r="U731" t="s">
        <v>1748</v>
      </c>
    </row>
    <row r="732" spans="1:21" x14ac:dyDescent="0.3">
      <c r="A732">
        <v>416</v>
      </c>
      <c r="B732" t="s">
        <v>1579</v>
      </c>
      <c r="C732" t="s">
        <v>24</v>
      </c>
      <c r="D732" t="s">
        <v>1580</v>
      </c>
      <c r="J732" t="s">
        <v>1744</v>
      </c>
      <c r="K732" s="3">
        <v>0</v>
      </c>
      <c r="L732" s="2">
        <v>0</v>
      </c>
      <c r="M732" s="2">
        <f t="shared" si="22"/>
        <v>0</v>
      </c>
      <c r="N732" s="2">
        <f t="shared" si="23"/>
        <v>0</v>
      </c>
      <c r="O732" s="7">
        <v>0</v>
      </c>
      <c r="P732" s="2">
        <v>0</v>
      </c>
      <c r="Q732" s="2">
        <v>0</v>
      </c>
      <c r="R732" t="s">
        <v>35</v>
      </c>
      <c r="T732" t="s">
        <v>27</v>
      </c>
      <c r="U732" t="s">
        <v>1745</v>
      </c>
    </row>
    <row r="733" spans="1:21" x14ac:dyDescent="0.3">
      <c r="A733">
        <v>417</v>
      </c>
      <c r="B733" t="s">
        <v>1740</v>
      </c>
      <c r="C733" t="s">
        <v>24</v>
      </c>
      <c r="D733" t="s">
        <v>1741</v>
      </c>
      <c r="J733" t="s">
        <v>1742</v>
      </c>
      <c r="K733" s="3">
        <v>450</v>
      </c>
      <c r="L733" s="2">
        <v>0</v>
      </c>
      <c r="M733" s="2">
        <f t="shared" si="22"/>
        <v>450</v>
      </c>
      <c r="N733" s="2">
        <f t="shared" si="23"/>
        <v>22.5</v>
      </c>
      <c r="O733" s="7">
        <v>22.5</v>
      </c>
      <c r="P733" s="2">
        <v>0.5</v>
      </c>
      <c r="Q733" s="2">
        <v>473</v>
      </c>
      <c r="R733" t="s">
        <v>45</v>
      </c>
      <c r="T733" t="s">
        <v>27</v>
      </c>
      <c r="U733" t="s">
        <v>1743</v>
      </c>
    </row>
    <row r="734" spans="1:21" x14ac:dyDescent="0.3">
      <c r="A734">
        <v>418</v>
      </c>
      <c r="B734" t="s">
        <v>1736</v>
      </c>
      <c r="C734" t="s">
        <v>24</v>
      </c>
      <c r="D734" t="s">
        <v>1737</v>
      </c>
      <c r="J734" t="s">
        <v>1738</v>
      </c>
      <c r="K734" s="3">
        <v>1830</v>
      </c>
      <c r="L734" s="2">
        <v>0</v>
      </c>
      <c r="M734" s="2">
        <f t="shared" si="22"/>
        <v>1830</v>
      </c>
      <c r="N734" s="2">
        <f t="shared" si="23"/>
        <v>91.5</v>
      </c>
      <c r="O734" s="7">
        <v>85.5</v>
      </c>
      <c r="P734" s="2">
        <v>0.5</v>
      </c>
      <c r="Q734" s="2">
        <v>1916</v>
      </c>
      <c r="R734" t="s">
        <v>45</v>
      </c>
      <c r="T734" t="s">
        <v>27</v>
      </c>
      <c r="U734" t="s">
        <v>1739</v>
      </c>
    </row>
    <row r="735" spans="1:21" x14ac:dyDescent="0.3">
      <c r="A735">
        <v>419</v>
      </c>
      <c r="B735" t="s">
        <v>1733</v>
      </c>
      <c r="C735" t="s">
        <v>24</v>
      </c>
      <c r="D735" t="s">
        <v>1734</v>
      </c>
      <c r="J735" t="s">
        <v>1507</v>
      </c>
      <c r="K735" s="3">
        <v>280</v>
      </c>
      <c r="L735" s="2">
        <v>0</v>
      </c>
      <c r="M735" s="2">
        <f t="shared" si="22"/>
        <v>280</v>
      </c>
      <c r="N735" s="2">
        <f t="shared" si="23"/>
        <v>14</v>
      </c>
      <c r="O735" s="7">
        <v>14</v>
      </c>
      <c r="P735" s="2">
        <v>0</v>
      </c>
      <c r="Q735" s="2">
        <v>294</v>
      </c>
      <c r="R735" t="s">
        <v>45</v>
      </c>
      <c r="T735" t="s">
        <v>27</v>
      </c>
      <c r="U735" t="s">
        <v>1735</v>
      </c>
    </row>
    <row r="736" spans="1:21" x14ac:dyDescent="0.3">
      <c r="A736">
        <v>420</v>
      </c>
      <c r="B736" t="s">
        <v>1729</v>
      </c>
      <c r="C736" t="s">
        <v>24</v>
      </c>
      <c r="D736" t="s">
        <v>1730</v>
      </c>
      <c r="J736" t="s">
        <v>1731</v>
      </c>
      <c r="K736" s="3">
        <v>460</v>
      </c>
      <c r="L736" s="2">
        <v>0</v>
      </c>
      <c r="M736" s="2">
        <f t="shared" si="22"/>
        <v>460</v>
      </c>
      <c r="N736" s="2">
        <f t="shared" si="23"/>
        <v>23</v>
      </c>
      <c r="O736" s="7">
        <v>23</v>
      </c>
      <c r="P736" s="2">
        <v>0</v>
      </c>
      <c r="Q736" s="2">
        <v>483</v>
      </c>
      <c r="R736" t="s">
        <v>45</v>
      </c>
      <c r="T736" t="s">
        <v>27</v>
      </c>
      <c r="U736" t="s">
        <v>1732</v>
      </c>
    </row>
    <row r="737" spans="1:21" x14ac:dyDescent="0.3">
      <c r="A737">
        <v>421</v>
      </c>
      <c r="B737" t="s">
        <v>1726</v>
      </c>
      <c r="C737" t="s">
        <v>24</v>
      </c>
      <c r="D737" t="s">
        <v>1727</v>
      </c>
      <c r="J737" t="s">
        <v>2013</v>
      </c>
      <c r="K737" s="3">
        <v>5129</v>
      </c>
      <c r="L737" s="2">
        <v>769.35</v>
      </c>
      <c r="M737" s="2">
        <f t="shared" si="22"/>
        <v>4359.6499999999996</v>
      </c>
      <c r="N737" s="2">
        <f t="shared" si="23"/>
        <v>217.98249999999999</v>
      </c>
      <c r="O737" s="7">
        <v>215.68</v>
      </c>
      <c r="P737" s="2">
        <v>-0.33</v>
      </c>
      <c r="Q737" s="2">
        <v>4575</v>
      </c>
      <c r="R737" t="s">
        <v>45</v>
      </c>
      <c r="T737" t="s">
        <v>27</v>
      </c>
      <c r="U737" t="s">
        <v>1728</v>
      </c>
    </row>
    <row r="738" spans="1:21" x14ac:dyDescent="0.3">
      <c r="A738">
        <v>422</v>
      </c>
      <c r="B738" t="s">
        <v>1722</v>
      </c>
      <c r="C738" t="s">
        <v>24</v>
      </c>
      <c r="D738" t="s">
        <v>1723</v>
      </c>
      <c r="J738" t="s">
        <v>1724</v>
      </c>
      <c r="K738" s="3">
        <v>1850</v>
      </c>
      <c r="L738" s="2">
        <v>0</v>
      </c>
      <c r="M738" s="2">
        <f t="shared" si="22"/>
        <v>1850</v>
      </c>
      <c r="N738" s="2">
        <f t="shared" si="23"/>
        <v>92.5</v>
      </c>
      <c r="O738" s="7">
        <v>92.5</v>
      </c>
      <c r="P738" s="2">
        <v>0.5</v>
      </c>
      <c r="Q738" s="2">
        <v>1943</v>
      </c>
      <c r="R738" t="s">
        <v>45</v>
      </c>
      <c r="T738" t="s">
        <v>27</v>
      </c>
      <c r="U738" t="s">
        <v>1725</v>
      </c>
    </row>
    <row r="739" spans="1:21" x14ac:dyDescent="0.3">
      <c r="A739">
        <v>423</v>
      </c>
      <c r="B739" t="s">
        <v>1374</v>
      </c>
      <c r="C739" t="s">
        <v>24</v>
      </c>
      <c r="D739" t="s">
        <v>1375</v>
      </c>
      <c r="J739" t="s">
        <v>1720</v>
      </c>
      <c r="K739" s="3">
        <v>1045</v>
      </c>
      <c r="L739" s="2">
        <v>0</v>
      </c>
      <c r="M739" s="2">
        <f t="shared" si="22"/>
        <v>1045</v>
      </c>
      <c r="N739" s="2">
        <f t="shared" si="23"/>
        <v>52.25</v>
      </c>
      <c r="O739" s="7">
        <v>52.26</v>
      </c>
      <c r="P739" s="2">
        <v>-0.26</v>
      </c>
      <c r="Q739" s="2">
        <v>1097</v>
      </c>
      <c r="R739" t="s">
        <v>31</v>
      </c>
      <c r="T739" t="s">
        <v>27</v>
      </c>
      <c r="U739" t="s">
        <v>1721</v>
      </c>
    </row>
    <row r="740" spans="1:21" x14ac:dyDescent="0.3">
      <c r="A740">
        <v>424</v>
      </c>
      <c r="B740" t="s">
        <v>1716</v>
      </c>
      <c r="C740" t="s">
        <v>24</v>
      </c>
      <c r="D740" t="s">
        <v>1717</v>
      </c>
      <c r="J740" t="s">
        <v>1718</v>
      </c>
      <c r="K740" s="3">
        <v>620</v>
      </c>
      <c r="L740" s="2">
        <v>0</v>
      </c>
      <c r="M740" s="2">
        <f t="shared" si="22"/>
        <v>620</v>
      </c>
      <c r="N740" s="2">
        <f t="shared" si="23"/>
        <v>31</v>
      </c>
      <c r="O740" s="7">
        <v>31</v>
      </c>
      <c r="P740" s="2">
        <v>0</v>
      </c>
      <c r="Q740" s="2">
        <v>651</v>
      </c>
      <c r="R740" t="s">
        <v>45</v>
      </c>
      <c r="T740" t="s">
        <v>27</v>
      </c>
      <c r="U740" t="s">
        <v>1719</v>
      </c>
    </row>
    <row r="741" spans="1:21" x14ac:dyDescent="0.3">
      <c r="A741">
        <v>425</v>
      </c>
      <c r="B741" t="s">
        <v>1713</v>
      </c>
      <c r="C741" t="s">
        <v>24</v>
      </c>
      <c r="D741" t="s">
        <v>1714</v>
      </c>
      <c r="J741" t="s">
        <v>2012</v>
      </c>
      <c r="K741" s="3">
        <v>3430</v>
      </c>
      <c r="L741" s="2">
        <v>857.5</v>
      </c>
      <c r="M741" s="2">
        <f t="shared" si="22"/>
        <v>2572.5</v>
      </c>
      <c r="N741" s="2">
        <f t="shared" si="23"/>
        <v>128.625</v>
      </c>
      <c r="O741" s="7">
        <v>128.62</v>
      </c>
      <c r="P741" s="2">
        <v>-0.12</v>
      </c>
      <c r="Q741" s="2">
        <v>2701</v>
      </c>
      <c r="R741" t="s">
        <v>45</v>
      </c>
      <c r="T741" t="s">
        <v>27</v>
      </c>
      <c r="U741" t="s">
        <v>1715</v>
      </c>
    </row>
    <row r="742" spans="1:21" x14ac:dyDescent="0.3">
      <c r="A742">
        <v>426</v>
      </c>
      <c r="B742" t="s">
        <v>1709</v>
      </c>
      <c r="C742" t="s">
        <v>24</v>
      </c>
      <c r="D742" t="s">
        <v>1710</v>
      </c>
      <c r="E742">
        <v>9916565965</v>
      </c>
      <c r="J742" t="s">
        <v>1711</v>
      </c>
      <c r="K742" s="3">
        <v>840</v>
      </c>
      <c r="L742" s="2">
        <v>126</v>
      </c>
      <c r="M742" s="2">
        <f t="shared" si="22"/>
        <v>714</v>
      </c>
      <c r="N742" s="2">
        <f t="shared" si="23"/>
        <v>35.700000000000003</v>
      </c>
      <c r="O742" s="7">
        <v>35.700000000000003</v>
      </c>
      <c r="P742" s="2">
        <v>0.3</v>
      </c>
      <c r="Q742" s="2">
        <v>750</v>
      </c>
      <c r="R742" t="s">
        <v>31</v>
      </c>
      <c r="T742" t="s">
        <v>27</v>
      </c>
      <c r="U742" t="s">
        <v>1712</v>
      </c>
    </row>
    <row r="743" spans="1:21" x14ac:dyDescent="0.3">
      <c r="A743">
        <v>427</v>
      </c>
      <c r="B743" t="s">
        <v>1705</v>
      </c>
      <c r="C743" t="s">
        <v>24</v>
      </c>
      <c r="D743" t="s">
        <v>1706</v>
      </c>
      <c r="J743" t="s">
        <v>1707</v>
      </c>
      <c r="K743" s="3">
        <v>940</v>
      </c>
      <c r="L743" s="2">
        <v>0</v>
      </c>
      <c r="M743" s="2">
        <f t="shared" si="22"/>
        <v>940</v>
      </c>
      <c r="N743" s="2">
        <f t="shared" si="23"/>
        <v>47</v>
      </c>
      <c r="O743" s="7">
        <v>47</v>
      </c>
      <c r="P743" s="2">
        <v>0</v>
      </c>
      <c r="Q743" s="2">
        <v>987</v>
      </c>
      <c r="R743" t="s">
        <v>45</v>
      </c>
      <c r="T743" t="s">
        <v>27</v>
      </c>
      <c r="U743" t="s">
        <v>1708</v>
      </c>
    </row>
    <row r="744" spans="1:21" x14ac:dyDescent="0.3">
      <c r="A744">
        <v>428</v>
      </c>
      <c r="B744" t="s">
        <v>1701</v>
      </c>
      <c r="C744" t="s">
        <v>24</v>
      </c>
      <c r="D744" t="s">
        <v>1702</v>
      </c>
      <c r="J744" t="s">
        <v>1703</v>
      </c>
      <c r="K744" s="3">
        <v>1455</v>
      </c>
      <c r="L744" s="2">
        <v>0</v>
      </c>
      <c r="M744" s="2">
        <f t="shared" si="22"/>
        <v>1455</v>
      </c>
      <c r="N744" s="2">
        <f t="shared" si="23"/>
        <v>72.75</v>
      </c>
      <c r="O744" s="7">
        <v>72.760000000000005</v>
      </c>
      <c r="P744" s="2">
        <v>0.24</v>
      </c>
      <c r="Q744" s="2">
        <v>1528</v>
      </c>
      <c r="R744" t="s">
        <v>45</v>
      </c>
      <c r="T744" t="s">
        <v>27</v>
      </c>
      <c r="U744" t="s">
        <v>1704</v>
      </c>
    </row>
    <row r="745" spans="1:21" x14ac:dyDescent="0.3">
      <c r="A745">
        <v>429</v>
      </c>
      <c r="B745" t="s">
        <v>50</v>
      </c>
      <c r="C745" t="s">
        <v>24</v>
      </c>
      <c r="J745" t="s">
        <v>807</v>
      </c>
      <c r="K745" s="3">
        <v>290</v>
      </c>
      <c r="L745" s="2">
        <v>0</v>
      </c>
      <c r="M745" s="2">
        <f t="shared" si="22"/>
        <v>290</v>
      </c>
      <c r="N745" s="2">
        <f t="shared" si="23"/>
        <v>14.5</v>
      </c>
      <c r="O745" s="7">
        <v>14.5</v>
      </c>
      <c r="P745" s="2">
        <v>0.5</v>
      </c>
      <c r="Q745" s="2">
        <v>305</v>
      </c>
      <c r="R745" t="s">
        <v>31</v>
      </c>
      <c r="T745" t="s">
        <v>27</v>
      </c>
      <c r="U745" t="s">
        <v>1700</v>
      </c>
    </row>
    <row r="746" spans="1:21" x14ac:dyDescent="0.3">
      <c r="A746">
        <v>430</v>
      </c>
      <c r="B746" t="s">
        <v>682</v>
      </c>
      <c r="C746" t="s">
        <v>24</v>
      </c>
      <c r="J746" t="s">
        <v>1698</v>
      </c>
      <c r="K746" s="3">
        <v>1175</v>
      </c>
      <c r="L746" s="2">
        <v>0</v>
      </c>
      <c r="M746" s="2">
        <f t="shared" si="22"/>
        <v>1175</v>
      </c>
      <c r="N746" s="2">
        <f t="shared" si="23"/>
        <v>58.75</v>
      </c>
      <c r="O746" s="7">
        <v>58.76</v>
      </c>
      <c r="P746" s="2">
        <v>0.24</v>
      </c>
      <c r="Q746" s="2">
        <v>1234</v>
      </c>
      <c r="R746" t="s">
        <v>31</v>
      </c>
      <c r="T746" t="s">
        <v>27</v>
      </c>
      <c r="U746" t="s">
        <v>1699</v>
      </c>
    </row>
    <row r="747" spans="1:21" x14ac:dyDescent="0.3">
      <c r="A747">
        <v>431</v>
      </c>
      <c r="B747" t="s">
        <v>1694</v>
      </c>
      <c r="C747" t="s">
        <v>24</v>
      </c>
      <c r="D747" t="s">
        <v>1695</v>
      </c>
      <c r="J747" t="s">
        <v>1696</v>
      </c>
      <c r="K747" s="3">
        <v>1485</v>
      </c>
      <c r="L747" s="2">
        <v>0</v>
      </c>
      <c r="M747" s="2">
        <f t="shared" si="22"/>
        <v>1485</v>
      </c>
      <c r="N747" s="2">
        <f t="shared" si="23"/>
        <v>74.25</v>
      </c>
      <c r="O747" s="7">
        <v>74.260000000000005</v>
      </c>
      <c r="P747" s="2">
        <v>-0.26</v>
      </c>
      <c r="Q747" s="2">
        <v>1559</v>
      </c>
      <c r="R747" t="s">
        <v>31</v>
      </c>
      <c r="T747" t="s">
        <v>27</v>
      </c>
      <c r="U747" t="s">
        <v>1697</v>
      </c>
    </row>
    <row r="748" spans="1:21" x14ac:dyDescent="0.3">
      <c r="A748">
        <v>432</v>
      </c>
      <c r="B748" t="s">
        <v>1690</v>
      </c>
      <c r="C748" t="s">
        <v>24</v>
      </c>
      <c r="D748" t="s">
        <v>1691</v>
      </c>
      <c r="J748" t="s">
        <v>1692</v>
      </c>
      <c r="K748" s="3">
        <v>865</v>
      </c>
      <c r="L748" s="2">
        <v>0</v>
      </c>
      <c r="M748" s="2">
        <f t="shared" si="22"/>
        <v>865</v>
      </c>
      <c r="N748" s="2">
        <f t="shared" si="23"/>
        <v>43.25</v>
      </c>
      <c r="O748" s="7">
        <v>43.26</v>
      </c>
      <c r="P748" s="2">
        <v>-0.26</v>
      </c>
      <c r="Q748" s="2">
        <v>908</v>
      </c>
      <c r="R748" t="s">
        <v>35</v>
      </c>
      <c r="T748" t="s">
        <v>27</v>
      </c>
      <c r="U748" t="s">
        <v>1693</v>
      </c>
    </row>
    <row r="749" spans="1:21" x14ac:dyDescent="0.3">
      <c r="A749">
        <v>433</v>
      </c>
      <c r="B749" t="s">
        <v>43</v>
      </c>
      <c r="C749" t="s">
        <v>24</v>
      </c>
      <c r="D749" t="s">
        <v>1445</v>
      </c>
      <c r="J749" t="s">
        <v>1687</v>
      </c>
      <c r="K749" s="3">
        <v>770</v>
      </c>
      <c r="L749" s="2">
        <v>0</v>
      </c>
      <c r="M749" s="2">
        <f t="shared" si="22"/>
        <v>770</v>
      </c>
      <c r="N749" s="2">
        <f t="shared" si="23"/>
        <v>38.5</v>
      </c>
      <c r="O749" s="7">
        <v>38.5</v>
      </c>
      <c r="P749" s="2">
        <v>0.5</v>
      </c>
      <c r="Q749" s="2">
        <v>0</v>
      </c>
      <c r="R749" t="s">
        <v>209</v>
      </c>
      <c r="S749" t="s">
        <v>1688</v>
      </c>
      <c r="T749" t="s">
        <v>27</v>
      </c>
      <c r="U749" t="s">
        <v>1689</v>
      </c>
    </row>
    <row r="750" spans="1:21" x14ac:dyDescent="0.3">
      <c r="A750">
        <v>434</v>
      </c>
      <c r="B750" t="s">
        <v>1683</v>
      </c>
      <c r="C750" t="s">
        <v>24</v>
      </c>
      <c r="D750" t="s">
        <v>1684</v>
      </c>
      <c r="J750" t="s">
        <v>1685</v>
      </c>
      <c r="K750" s="3">
        <v>1145</v>
      </c>
      <c r="L750" s="2">
        <v>0</v>
      </c>
      <c r="M750" s="2">
        <f t="shared" si="22"/>
        <v>1145</v>
      </c>
      <c r="N750" s="2">
        <f t="shared" si="23"/>
        <v>57.25</v>
      </c>
      <c r="O750" s="7">
        <v>57.26</v>
      </c>
      <c r="P750" s="2">
        <v>-0.26</v>
      </c>
      <c r="Q750" s="2">
        <v>1202</v>
      </c>
      <c r="R750" t="s">
        <v>31</v>
      </c>
      <c r="T750" t="s">
        <v>27</v>
      </c>
      <c r="U750" t="s">
        <v>1686</v>
      </c>
    </row>
    <row r="751" spans="1:21" x14ac:dyDescent="0.3">
      <c r="A751">
        <v>435</v>
      </c>
      <c r="B751" t="s">
        <v>1679</v>
      </c>
      <c r="C751" t="s">
        <v>24</v>
      </c>
      <c r="D751" t="s">
        <v>1680</v>
      </c>
      <c r="J751" t="s">
        <v>1681</v>
      </c>
      <c r="K751" s="3">
        <v>1760</v>
      </c>
      <c r="L751" s="2">
        <v>0</v>
      </c>
      <c r="M751" s="2">
        <f t="shared" si="22"/>
        <v>1760</v>
      </c>
      <c r="N751" s="2">
        <f t="shared" si="23"/>
        <v>88</v>
      </c>
      <c r="O751" s="7">
        <v>88</v>
      </c>
      <c r="P751" s="2">
        <v>0</v>
      </c>
      <c r="Q751" s="2">
        <v>1848</v>
      </c>
      <c r="R751" t="s">
        <v>45</v>
      </c>
      <c r="T751" t="s">
        <v>27</v>
      </c>
      <c r="U751" t="s">
        <v>1682</v>
      </c>
    </row>
    <row r="752" spans="1:21" x14ac:dyDescent="0.3">
      <c r="A752">
        <v>436</v>
      </c>
      <c r="B752" t="s">
        <v>1046</v>
      </c>
      <c r="C752" t="s">
        <v>24</v>
      </c>
      <c r="D752" t="s">
        <v>1296</v>
      </c>
      <c r="J752" t="s">
        <v>1677</v>
      </c>
      <c r="K752" s="3">
        <v>1050</v>
      </c>
      <c r="L752" s="2">
        <v>0</v>
      </c>
      <c r="M752" s="2">
        <f t="shared" si="22"/>
        <v>1050</v>
      </c>
      <c r="N752" s="2">
        <f t="shared" si="23"/>
        <v>52.5</v>
      </c>
      <c r="O752" s="7">
        <v>52.5</v>
      </c>
      <c r="P752" s="2">
        <v>0.5</v>
      </c>
      <c r="Q752" s="2">
        <v>1103</v>
      </c>
      <c r="R752" t="s">
        <v>35</v>
      </c>
      <c r="T752" t="s">
        <v>27</v>
      </c>
      <c r="U752" t="s">
        <v>1678</v>
      </c>
    </row>
    <row r="753" spans="1:21" x14ac:dyDescent="0.3">
      <c r="A753">
        <v>437</v>
      </c>
      <c r="B753" t="s">
        <v>292</v>
      </c>
      <c r="C753" t="s">
        <v>24</v>
      </c>
      <c r="D753" t="s">
        <v>1674</v>
      </c>
      <c r="J753" t="s">
        <v>1675</v>
      </c>
      <c r="K753" s="3">
        <v>780</v>
      </c>
      <c r="L753" s="2">
        <v>0</v>
      </c>
      <c r="M753" s="2">
        <f t="shared" si="22"/>
        <v>780</v>
      </c>
      <c r="N753" s="2">
        <f t="shared" si="23"/>
        <v>39</v>
      </c>
      <c r="O753" s="7">
        <v>39</v>
      </c>
      <c r="P753" s="2">
        <v>0</v>
      </c>
      <c r="Q753" s="2">
        <v>819</v>
      </c>
      <c r="R753" t="s">
        <v>45</v>
      </c>
      <c r="T753" t="s">
        <v>27</v>
      </c>
      <c r="U753" t="s">
        <v>1676</v>
      </c>
    </row>
    <row r="754" spans="1:21" x14ac:dyDescent="0.3">
      <c r="A754">
        <v>438</v>
      </c>
      <c r="B754" t="s">
        <v>1328</v>
      </c>
      <c r="C754" t="s">
        <v>24</v>
      </c>
      <c r="D754" t="s">
        <v>1329</v>
      </c>
      <c r="J754" t="s">
        <v>1102</v>
      </c>
      <c r="K754" s="3">
        <v>190</v>
      </c>
      <c r="L754" s="2">
        <v>0</v>
      </c>
      <c r="M754" s="2">
        <f t="shared" si="22"/>
        <v>190</v>
      </c>
      <c r="N754" s="2">
        <f t="shared" si="23"/>
        <v>9.5</v>
      </c>
      <c r="O754" s="7">
        <v>9.5</v>
      </c>
      <c r="P754" s="2">
        <v>0.5</v>
      </c>
      <c r="Q754" s="2">
        <v>200</v>
      </c>
      <c r="R754" t="s">
        <v>45</v>
      </c>
      <c r="T754" t="s">
        <v>27</v>
      </c>
      <c r="U754" t="s">
        <v>1673</v>
      </c>
    </row>
    <row r="755" spans="1:21" x14ac:dyDescent="0.3">
      <c r="A755">
        <v>439</v>
      </c>
      <c r="B755" t="s">
        <v>1670</v>
      </c>
      <c r="C755" t="s">
        <v>24</v>
      </c>
      <c r="D755" t="s">
        <v>1654</v>
      </c>
      <c r="J755" t="s">
        <v>1671</v>
      </c>
      <c r="K755" s="3">
        <v>710</v>
      </c>
      <c r="L755" s="2">
        <v>0</v>
      </c>
      <c r="M755" s="2">
        <f t="shared" si="22"/>
        <v>710</v>
      </c>
      <c r="N755" s="2">
        <f t="shared" si="23"/>
        <v>35.5</v>
      </c>
      <c r="O755" s="7">
        <v>35.5</v>
      </c>
      <c r="P755" s="2">
        <v>0.5</v>
      </c>
      <c r="Q755" s="2">
        <v>746</v>
      </c>
      <c r="R755" t="s">
        <v>31</v>
      </c>
      <c r="T755" t="s">
        <v>27</v>
      </c>
      <c r="U755" t="s">
        <v>1672</v>
      </c>
    </row>
    <row r="756" spans="1:21" x14ac:dyDescent="0.3">
      <c r="A756">
        <v>440</v>
      </c>
      <c r="B756" t="s">
        <v>1666</v>
      </c>
      <c r="C756" t="s">
        <v>24</v>
      </c>
      <c r="D756" t="s">
        <v>1667</v>
      </c>
      <c r="J756" t="s">
        <v>1668</v>
      </c>
      <c r="K756" s="3">
        <v>495</v>
      </c>
      <c r="L756" s="2">
        <v>0</v>
      </c>
      <c r="M756" s="2">
        <f t="shared" si="22"/>
        <v>495</v>
      </c>
      <c r="N756" s="2">
        <f t="shared" si="23"/>
        <v>24.75</v>
      </c>
      <c r="O756" s="7">
        <v>24.76</v>
      </c>
      <c r="P756" s="2">
        <v>0.24</v>
      </c>
      <c r="Q756" s="2">
        <v>520</v>
      </c>
      <c r="R756" t="s">
        <v>31</v>
      </c>
      <c r="T756" t="s">
        <v>27</v>
      </c>
      <c r="U756" t="s">
        <v>1669</v>
      </c>
    </row>
    <row r="757" spans="1:21" x14ac:dyDescent="0.3">
      <c r="A757">
        <v>441</v>
      </c>
      <c r="B757" t="s">
        <v>1662</v>
      </c>
      <c r="C757" t="s">
        <v>24</v>
      </c>
      <c r="D757" t="s">
        <v>1663</v>
      </c>
      <c r="J757" t="s">
        <v>1664</v>
      </c>
      <c r="K757" s="3">
        <v>1340</v>
      </c>
      <c r="L757" s="2">
        <v>0</v>
      </c>
      <c r="M757" s="2">
        <f t="shared" si="22"/>
        <v>1340</v>
      </c>
      <c r="N757" s="2">
        <f t="shared" si="23"/>
        <v>67</v>
      </c>
      <c r="O757" s="7">
        <v>67</v>
      </c>
      <c r="P757" s="2">
        <v>0</v>
      </c>
      <c r="Q757" s="2">
        <v>1407</v>
      </c>
      <c r="R757" t="s">
        <v>45</v>
      </c>
      <c r="T757" t="s">
        <v>27</v>
      </c>
      <c r="U757" t="s">
        <v>1665</v>
      </c>
    </row>
    <row r="758" spans="1:21" x14ac:dyDescent="0.3">
      <c r="A758">
        <v>442</v>
      </c>
      <c r="B758" t="s">
        <v>1658</v>
      </c>
      <c r="C758" t="s">
        <v>24</v>
      </c>
      <c r="D758" t="s">
        <v>1659</v>
      </c>
      <c r="J758" t="s">
        <v>1660</v>
      </c>
      <c r="K758" s="3">
        <v>710</v>
      </c>
      <c r="L758" s="2">
        <v>0</v>
      </c>
      <c r="M758" s="2">
        <f t="shared" si="22"/>
        <v>710</v>
      </c>
      <c r="N758" s="2">
        <f t="shared" si="23"/>
        <v>35.5</v>
      </c>
      <c r="O758" s="7">
        <v>35.5</v>
      </c>
      <c r="P758" s="2">
        <v>0.5</v>
      </c>
      <c r="Q758" s="2">
        <v>746</v>
      </c>
      <c r="R758" t="s">
        <v>45</v>
      </c>
      <c r="T758" t="s">
        <v>27</v>
      </c>
      <c r="U758" t="s">
        <v>1661</v>
      </c>
    </row>
    <row r="759" spans="1:21" x14ac:dyDescent="0.3">
      <c r="A759">
        <v>443</v>
      </c>
      <c r="B759" t="s">
        <v>1560</v>
      </c>
      <c r="C759" t="s">
        <v>24</v>
      </c>
      <c r="D759" t="s">
        <v>1561</v>
      </c>
      <c r="J759" t="s">
        <v>1656</v>
      </c>
      <c r="K759" s="3">
        <v>1400</v>
      </c>
      <c r="L759" s="2">
        <v>0</v>
      </c>
      <c r="M759" s="2">
        <f t="shared" si="22"/>
        <v>1400</v>
      </c>
      <c r="N759" s="2">
        <f t="shared" si="23"/>
        <v>70</v>
      </c>
      <c r="O759" s="7">
        <v>70</v>
      </c>
      <c r="P759" s="2">
        <v>0</v>
      </c>
      <c r="Q759" s="2">
        <v>1470</v>
      </c>
      <c r="R759" t="s">
        <v>31</v>
      </c>
      <c r="T759" t="s">
        <v>27</v>
      </c>
      <c r="U759" t="s">
        <v>1657</v>
      </c>
    </row>
    <row r="760" spans="1:21" x14ac:dyDescent="0.3">
      <c r="A760">
        <v>444</v>
      </c>
      <c r="B760" t="s">
        <v>682</v>
      </c>
      <c r="C760" t="s">
        <v>24</v>
      </c>
      <c r="D760" t="s">
        <v>1654</v>
      </c>
      <c r="J760" t="s">
        <v>413</v>
      </c>
      <c r="K760" s="3">
        <v>122</v>
      </c>
      <c r="L760" s="2">
        <v>0</v>
      </c>
      <c r="M760" s="2">
        <f t="shared" si="22"/>
        <v>122</v>
      </c>
      <c r="N760" s="2">
        <f t="shared" si="23"/>
        <v>6.1000000000000005</v>
      </c>
      <c r="O760" s="7">
        <v>21.96</v>
      </c>
      <c r="P760" s="2">
        <v>0.04</v>
      </c>
      <c r="Q760" s="2">
        <v>144</v>
      </c>
      <c r="R760" t="s">
        <v>45</v>
      </c>
      <c r="T760" t="s">
        <v>27</v>
      </c>
      <c r="U760" t="s">
        <v>1655</v>
      </c>
    </row>
    <row r="761" spans="1:21" x14ac:dyDescent="0.3">
      <c r="A761">
        <v>445</v>
      </c>
      <c r="B761" t="s">
        <v>1381</v>
      </c>
      <c r="C761" t="s">
        <v>24</v>
      </c>
      <c r="D761" t="s">
        <v>1382</v>
      </c>
      <c r="J761" t="s">
        <v>1652</v>
      </c>
      <c r="K761" s="3">
        <v>1074</v>
      </c>
      <c r="L761" s="2">
        <v>0</v>
      </c>
      <c r="M761" s="2">
        <f t="shared" si="22"/>
        <v>1074</v>
      </c>
      <c r="N761" s="2">
        <f t="shared" si="23"/>
        <v>53.7</v>
      </c>
      <c r="O761" s="7">
        <v>85.42</v>
      </c>
      <c r="P761" s="2">
        <v>-0.42</v>
      </c>
      <c r="Q761" s="2">
        <v>1159</v>
      </c>
      <c r="R761" t="s">
        <v>45</v>
      </c>
      <c r="T761" t="s">
        <v>27</v>
      </c>
      <c r="U761" t="s">
        <v>1653</v>
      </c>
    </row>
    <row r="762" spans="1:21" x14ac:dyDescent="0.3">
      <c r="A762">
        <v>446</v>
      </c>
      <c r="B762" t="s">
        <v>67</v>
      </c>
      <c r="C762" t="s">
        <v>24</v>
      </c>
      <c r="J762" t="s">
        <v>413</v>
      </c>
      <c r="K762" s="3">
        <v>122</v>
      </c>
      <c r="L762" s="2">
        <v>0</v>
      </c>
      <c r="M762" s="2">
        <f t="shared" si="22"/>
        <v>122</v>
      </c>
      <c r="N762" s="2">
        <f t="shared" si="23"/>
        <v>6.1000000000000005</v>
      </c>
      <c r="O762" s="7">
        <v>21.96</v>
      </c>
      <c r="P762" s="2">
        <v>0.04</v>
      </c>
      <c r="Q762" s="2">
        <v>144</v>
      </c>
      <c r="R762" t="s">
        <v>31</v>
      </c>
      <c r="T762" t="s">
        <v>27</v>
      </c>
      <c r="U762" t="s">
        <v>1651</v>
      </c>
    </row>
    <row r="763" spans="1:21" x14ac:dyDescent="0.3">
      <c r="A763">
        <v>447</v>
      </c>
      <c r="B763" t="s">
        <v>1647</v>
      </c>
      <c r="C763" t="s">
        <v>24</v>
      </c>
      <c r="D763" t="s">
        <v>1648</v>
      </c>
      <c r="E763">
        <v>8799798731</v>
      </c>
      <c r="J763" t="s">
        <v>1649</v>
      </c>
      <c r="K763" s="3">
        <v>0</v>
      </c>
      <c r="L763" s="2">
        <v>0</v>
      </c>
      <c r="M763" s="2">
        <f t="shared" si="22"/>
        <v>0</v>
      </c>
      <c r="N763" s="2">
        <f t="shared" si="23"/>
        <v>0</v>
      </c>
      <c r="O763" s="7">
        <v>0</v>
      </c>
      <c r="P763" s="2">
        <v>0</v>
      </c>
      <c r="Q763" s="2">
        <v>0</v>
      </c>
      <c r="R763" t="s">
        <v>35</v>
      </c>
      <c r="T763" t="s">
        <v>27</v>
      </c>
      <c r="U763" t="s">
        <v>1650</v>
      </c>
    </row>
    <row r="764" spans="1:21" x14ac:dyDescent="0.3">
      <c r="A764">
        <v>448</v>
      </c>
      <c r="B764" t="s">
        <v>64</v>
      </c>
      <c r="C764" t="s">
        <v>24</v>
      </c>
      <c r="J764" t="s">
        <v>1645</v>
      </c>
      <c r="K764" s="3">
        <v>755</v>
      </c>
      <c r="L764" s="2">
        <v>0</v>
      </c>
      <c r="M764" s="2">
        <f t="shared" si="22"/>
        <v>755</v>
      </c>
      <c r="N764" s="2">
        <f t="shared" si="23"/>
        <v>37.75</v>
      </c>
      <c r="O764" s="7">
        <v>37.76</v>
      </c>
      <c r="P764" s="2">
        <v>0.24</v>
      </c>
      <c r="Q764" s="2">
        <v>793</v>
      </c>
      <c r="R764" t="s">
        <v>45</v>
      </c>
      <c r="T764" t="s">
        <v>27</v>
      </c>
      <c r="U764" t="s">
        <v>1646</v>
      </c>
    </row>
    <row r="765" spans="1:21" x14ac:dyDescent="0.3">
      <c r="A765">
        <v>449</v>
      </c>
      <c r="B765" t="s">
        <v>1641</v>
      </c>
      <c r="C765" t="s">
        <v>24</v>
      </c>
      <c r="D765" t="s">
        <v>1642</v>
      </c>
      <c r="J765" t="s">
        <v>1643</v>
      </c>
      <c r="K765" s="3">
        <v>615</v>
      </c>
      <c r="L765" s="2">
        <v>0</v>
      </c>
      <c r="M765" s="2">
        <f t="shared" si="22"/>
        <v>615</v>
      </c>
      <c r="N765" s="2">
        <f t="shared" si="23"/>
        <v>30.75</v>
      </c>
      <c r="O765" s="7">
        <v>30.76</v>
      </c>
      <c r="P765" s="2">
        <v>0.24</v>
      </c>
      <c r="Q765" s="2">
        <v>646</v>
      </c>
      <c r="R765" t="s">
        <v>31</v>
      </c>
      <c r="T765" t="s">
        <v>27</v>
      </c>
      <c r="U765" t="s">
        <v>1644</v>
      </c>
    </row>
    <row r="766" spans="1:21" x14ac:dyDescent="0.3">
      <c r="A766">
        <v>450</v>
      </c>
      <c r="B766" t="s">
        <v>1637</v>
      </c>
      <c r="C766" t="s">
        <v>24</v>
      </c>
      <c r="D766" t="s">
        <v>1638</v>
      </c>
      <c r="J766" t="s">
        <v>1639</v>
      </c>
      <c r="K766" s="3">
        <v>850</v>
      </c>
      <c r="L766" s="2">
        <v>0</v>
      </c>
      <c r="M766" s="2">
        <f t="shared" si="22"/>
        <v>850</v>
      </c>
      <c r="N766" s="2">
        <f t="shared" si="23"/>
        <v>42.5</v>
      </c>
      <c r="O766" s="7">
        <v>42.5</v>
      </c>
      <c r="P766" s="2">
        <v>0.5</v>
      </c>
      <c r="Q766" s="2">
        <v>893</v>
      </c>
      <c r="R766" t="s">
        <v>35</v>
      </c>
      <c r="T766" t="s">
        <v>27</v>
      </c>
      <c r="U766" t="s">
        <v>1640</v>
      </c>
    </row>
    <row r="767" spans="1:21" x14ac:dyDescent="0.3">
      <c r="A767">
        <v>451</v>
      </c>
      <c r="B767" t="s">
        <v>1633</v>
      </c>
      <c r="C767" t="s">
        <v>24</v>
      </c>
      <c r="D767" t="s">
        <v>1634</v>
      </c>
      <c r="J767" t="s">
        <v>1635</v>
      </c>
      <c r="K767" s="3">
        <v>925</v>
      </c>
      <c r="L767" s="2">
        <v>0</v>
      </c>
      <c r="M767" s="2">
        <f t="shared" si="22"/>
        <v>925</v>
      </c>
      <c r="N767" s="2">
        <f t="shared" si="23"/>
        <v>46.25</v>
      </c>
      <c r="O767" s="7">
        <v>46.26</v>
      </c>
      <c r="P767" s="2">
        <v>-0.26</v>
      </c>
      <c r="Q767" s="2">
        <v>971</v>
      </c>
      <c r="R767" t="s">
        <v>31</v>
      </c>
      <c r="T767" t="s">
        <v>27</v>
      </c>
      <c r="U767" t="s">
        <v>1636</v>
      </c>
    </row>
    <row r="768" spans="1:21" x14ac:dyDescent="0.3">
      <c r="A768">
        <v>452</v>
      </c>
      <c r="B768" t="s">
        <v>1630</v>
      </c>
      <c r="C768" t="s">
        <v>24</v>
      </c>
      <c r="D768" t="s">
        <v>1631</v>
      </c>
      <c r="J768" t="s">
        <v>884</v>
      </c>
      <c r="K768" s="3">
        <v>190</v>
      </c>
      <c r="L768" s="2">
        <v>0</v>
      </c>
      <c r="M768" s="2">
        <f t="shared" si="22"/>
        <v>190</v>
      </c>
      <c r="N768" s="2">
        <f t="shared" si="23"/>
        <v>9.5</v>
      </c>
      <c r="O768" s="7">
        <v>9.5</v>
      </c>
      <c r="P768" s="2">
        <v>0.5</v>
      </c>
      <c r="Q768" s="2">
        <v>200</v>
      </c>
      <c r="R768" t="s">
        <v>45</v>
      </c>
      <c r="T768" t="s">
        <v>27</v>
      </c>
      <c r="U768" t="s">
        <v>1632</v>
      </c>
    </row>
    <row r="769" spans="1:21" x14ac:dyDescent="0.3">
      <c r="A769">
        <v>453</v>
      </c>
      <c r="B769" t="s">
        <v>64</v>
      </c>
      <c r="C769" t="s">
        <v>24</v>
      </c>
      <c r="J769" t="s">
        <v>1628</v>
      </c>
      <c r="K769" s="3">
        <v>1265</v>
      </c>
      <c r="L769" s="2">
        <v>0</v>
      </c>
      <c r="M769" s="2">
        <f t="shared" si="22"/>
        <v>1265</v>
      </c>
      <c r="N769" s="2">
        <f t="shared" si="23"/>
        <v>63.25</v>
      </c>
      <c r="O769" s="7">
        <v>60.26</v>
      </c>
      <c r="P769" s="2">
        <v>-0.26</v>
      </c>
      <c r="Q769" s="2">
        <v>1325</v>
      </c>
      <c r="R769" t="s">
        <v>45</v>
      </c>
      <c r="T769" t="s">
        <v>27</v>
      </c>
      <c r="U769" t="s">
        <v>1629</v>
      </c>
    </row>
    <row r="770" spans="1:21" x14ac:dyDescent="0.3">
      <c r="A770">
        <v>454</v>
      </c>
      <c r="B770" t="s">
        <v>1523</v>
      </c>
      <c r="C770" t="s">
        <v>24</v>
      </c>
      <c r="D770" t="s">
        <v>1524</v>
      </c>
      <c r="J770" t="s">
        <v>1626</v>
      </c>
      <c r="K770" s="3">
        <v>1260</v>
      </c>
      <c r="L770" s="2">
        <v>0</v>
      </c>
      <c r="M770" s="2">
        <f t="shared" si="22"/>
        <v>1260</v>
      </c>
      <c r="N770" s="2">
        <f t="shared" si="23"/>
        <v>63</v>
      </c>
      <c r="O770" s="7">
        <v>63</v>
      </c>
      <c r="P770" s="2">
        <v>0</v>
      </c>
      <c r="Q770" s="2">
        <v>1323</v>
      </c>
      <c r="R770" t="s">
        <v>31</v>
      </c>
      <c r="T770" t="s">
        <v>27</v>
      </c>
      <c r="U770" t="s">
        <v>1627</v>
      </c>
    </row>
    <row r="771" spans="1:21" x14ac:dyDescent="0.3">
      <c r="A771">
        <v>455</v>
      </c>
      <c r="B771" t="s">
        <v>1081</v>
      </c>
      <c r="C771" t="s">
        <v>24</v>
      </c>
      <c r="D771" t="s">
        <v>1082</v>
      </c>
      <c r="J771" t="s">
        <v>1624</v>
      </c>
      <c r="K771" s="3">
        <v>0</v>
      </c>
      <c r="L771" s="2">
        <v>0</v>
      </c>
      <c r="M771" s="2">
        <f t="shared" si="22"/>
        <v>0</v>
      </c>
      <c r="N771" s="2">
        <f t="shared" si="23"/>
        <v>0</v>
      </c>
      <c r="O771" s="7">
        <v>0</v>
      </c>
      <c r="P771" s="2">
        <v>0</v>
      </c>
      <c r="Q771" s="2">
        <v>0</v>
      </c>
      <c r="R771" t="s">
        <v>35</v>
      </c>
      <c r="T771" t="s">
        <v>27</v>
      </c>
      <c r="U771" t="s">
        <v>1625</v>
      </c>
    </row>
    <row r="772" spans="1:21" x14ac:dyDescent="0.3">
      <c r="A772">
        <v>456</v>
      </c>
      <c r="B772" t="s">
        <v>1620</v>
      </c>
      <c r="C772" t="s">
        <v>24</v>
      </c>
      <c r="D772" t="s">
        <v>1621</v>
      </c>
      <c r="J772" t="s">
        <v>1622</v>
      </c>
      <c r="K772" s="3">
        <v>0</v>
      </c>
      <c r="L772" s="2">
        <v>0</v>
      </c>
      <c r="M772" s="2">
        <f t="shared" si="22"/>
        <v>0</v>
      </c>
      <c r="N772" s="2">
        <f t="shared" si="23"/>
        <v>0</v>
      </c>
      <c r="O772" s="7">
        <v>0</v>
      </c>
      <c r="P772" s="2">
        <v>0</v>
      </c>
      <c r="Q772" s="2">
        <v>0</v>
      </c>
      <c r="R772" t="s">
        <v>35</v>
      </c>
      <c r="T772" t="s">
        <v>27</v>
      </c>
      <c r="U772" t="s">
        <v>1623</v>
      </c>
    </row>
    <row r="773" spans="1:21" x14ac:dyDescent="0.3">
      <c r="A773">
        <v>457</v>
      </c>
      <c r="B773" t="s">
        <v>149</v>
      </c>
      <c r="C773" t="s">
        <v>24</v>
      </c>
      <c r="J773" t="s">
        <v>106</v>
      </c>
      <c r="K773" s="3">
        <v>500</v>
      </c>
      <c r="L773" s="2">
        <v>0</v>
      </c>
      <c r="M773" s="2">
        <f t="shared" si="22"/>
        <v>500</v>
      </c>
      <c r="N773" s="2">
        <f t="shared" si="23"/>
        <v>25</v>
      </c>
      <c r="O773" s="7">
        <v>25</v>
      </c>
      <c r="P773" s="2">
        <v>0</v>
      </c>
      <c r="Q773" s="2">
        <v>525</v>
      </c>
      <c r="R773" t="s">
        <v>35</v>
      </c>
      <c r="T773" t="s">
        <v>27</v>
      </c>
      <c r="U773" t="s">
        <v>1619</v>
      </c>
    </row>
    <row r="774" spans="1:21" x14ac:dyDescent="0.3">
      <c r="A774">
        <v>458</v>
      </c>
      <c r="B774" t="s">
        <v>64</v>
      </c>
      <c r="C774" t="s">
        <v>24</v>
      </c>
      <c r="J774" t="s">
        <v>1617</v>
      </c>
      <c r="K774" s="3">
        <v>1080</v>
      </c>
      <c r="L774" s="2">
        <v>0</v>
      </c>
      <c r="M774" s="2">
        <f t="shared" si="22"/>
        <v>1080</v>
      </c>
      <c r="N774" s="2">
        <f t="shared" si="23"/>
        <v>54</v>
      </c>
      <c r="O774" s="7">
        <v>54</v>
      </c>
      <c r="P774" s="2">
        <v>0</v>
      </c>
      <c r="Q774" s="2">
        <v>1134</v>
      </c>
      <c r="R774" t="s">
        <v>45</v>
      </c>
      <c r="T774" t="s">
        <v>27</v>
      </c>
      <c r="U774" t="s">
        <v>1618</v>
      </c>
    </row>
    <row r="775" spans="1:21" x14ac:dyDescent="0.3">
      <c r="A775">
        <v>459</v>
      </c>
      <c r="B775" t="s">
        <v>1370</v>
      </c>
      <c r="C775" t="s">
        <v>24</v>
      </c>
      <c r="D775" t="s">
        <v>1371</v>
      </c>
      <c r="J775" t="s">
        <v>1615</v>
      </c>
      <c r="K775" s="3">
        <v>1435</v>
      </c>
      <c r="L775" s="2">
        <v>0</v>
      </c>
      <c r="M775" s="2">
        <f t="shared" ref="M775:M787" si="24">K775-L775</f>
        <v>1435</v>
      </c>
      <c r="N775" s="2">
        <f t="shared" ref="N775:N787" si="25">M775*5%</f>
        <v>71.75</v>
      </c>
      <c r="O775" s="7">
        <v>71.760000000000005</v>
      </c>
      <c r="P775" s="2">
        <v>0.24</v>
      </c>
      <c r="Q775" s="2">
        <v>1507</v>
      </c>
      <c r="R775" t="s">
        <v>31</v>
      </c>
      <c r="T775" t="s">
        <v>27</v>
      </c>
      <c r="U775" t="s">
        <v>1616</v>
      </c>
    </row>
    <row r="776" spans="1:21" x14ac:dyDescent="0.3">
      <c r="A776">
        <v>460</v>
      </c>
      <c r="B776" t="s">
        <v>23</v>
      </c>
      <c r="C776" t="s">
        <v>24</v>
      </c>
      <c r="J776" t="s">
        <v>830</v>
      </c>
      <c r="K776" s="3">
        <v>590</v>
      </c>
      <c r="L776" s="2">
        <v>0</v>
      </c>
      <c r="M776" s="2">
        <f t="shared" si="24"/>
        <v>590</v>
      </c>
      <c r="N776" s="2">
        <f t="shared" si="25"/>
        <v>29.5</v>
      </c>
      <c r="O776" s="7">
        <v>29.5</v>
      </c>
      <c r="P776" s="2">
        <v>0.5</v>
      </c>
      <c r="Q776" s="2">
        <v>620</v>
      </c>
      <c r="R776" t="s">
        <v>45</v>
      </c>
      <c r="T776" t="s">
        <v>27</v>
      </c>
      <c r="U776" t="s">
        <v>1614</v>
      </c>
    </row>
    <row r="777" spans="1:21" x14ac:dyDescent="0.3">
      <c r="A777">
        <v>461</v>
      </c>
      <c r="B777" t="s">
        <v>64</v>
      </c>
      <c r="C777" t="s">
        <v>24</v>
      </c>
      <c r="J777" t="s">
        <v>1612</v>
      </c>
      <c r="K777" s="3">
        <v>1060</v>
      </c>
      <c r="L777" s="2">
        <v>0</v>
      </c>
      <c r="M777" s="2">
        <f t="shared" si="24"/>
        <v>1060</v>
      </c>
      <c r="N777" s="2">
        <f t="shared" si="25"/>
        <v>53</v>
      </c>
      <c r="O777" s="7">
        <v>53</v>
      </c>
      <c r="P777" s="2">
        <v>0</v>
      </c>
      <c r="Q777" s="2">
        <v>1113</v>
      </c>
      <c r="R777" t="s">
        <v>35</v>
      </c>
      <c r="T777" t="s">
        <v>27</v>
      </c>
      <c r="U777" t="s">
        <v>1613</v>
      </c>
    </row>
    <row r="778" spans="1:21" x14ac:dyDescent="0.3">
      <c r="A778">
        <v>462</v>
      </c>
      <c r="B778" t="s">
        <v>1609</v>
      </c>
      <c r="C778" t="s">
        <v>24</v>
      </c>
      <c r="D778" t="s">
        <v>1610</v>
      </c>
      <c r="J778" t="s">
        <v>576</v>
      </c>
      <c r="K778" s="3">
        <v>600</v>
      </c>
      <c r="L778" s="2">
        <v>0</v>
      </c>
      <c r="M778" s="2">
        <f t="shared" si="24"/>
        <v>600</v>
      </c>
      <c r="N778" s="2">
        <f t="shared" si="25"/>
        <v>30</v>
      </c>
      <c r="O778" s="7">
        <v>30</v>
      </c>
      <c r="P778" s="2">
        <v>0</v>
      </c>
      <c r="Q778" s="2">
        <v>630</v>
      </c>
      <c r="R778" t="s">
        <v>45</v>
      </c>
      <c r="T778" t="s">
        <v>27</v>
      </c>
      <c r="U778" t="s">
        <v>1611</v>
      </c>
    </row>
    <row r="779" spans="1:21" x14ac:dyDescent="0.3">
      <c r="A779">
        <v>463</v>
      </c>
      <c r="B779" t="s">
        <v>1606</v>
      </c>
      <c r="C779" t="s">
        <v>24</v>
      </c>
      <c r="D779" t="s">
        <v>1607</v>
      </c>
      <c r="J779" t="s">
        <v>1241</v>
      </c>
      <c r="K779" s="3">
        <v>570</v>
      </c>
      <c r="L779" s="2">
        <v>0</v>
      </c>
      <c r="M779" s="2">
        <f t="shared" si="24"/>
        <v>570</v>
      </c>
      <c r="N779" s="2">
        <f t="shared" si="25"/>
        <v>28.5</v>
      </c>
      <c r="O779" s="7">
        <v>28.5</v>
      </c>
      <c r="P779" s="2">
        <v>0.5</v>
      </c>
      <c r="Q779" s="2">
        <v>599</v>
      </c>
      <c r="R779" t="s">
        <v>35</v>
      </c>
      <c r="T779" t="s">
        <v>27</v>
      </c>
      <c r="U779" t="s">
        <v>1608</v>
      </c>
    </row>
    <row r="780" spans="1:21" x14ac:dyDescent="0.3">
      <c r="A780">
        <v>464</v>
      </c>
      <c r="B780" t="s">
        <v>1602</v>
      </c>
      <c r="C780" t="s">
        <v>24</v>
      </c>
      <c r="D780" t="s">
        <v>1603</v>
      </c>
      <c r="J780" t="s">
        <v>1604</v>
      </c>
      <c r="K780" s="3">
        <v>440</v>
      </c>
      <c r="L780" s="2">
        <v>0</v>
      </c>
      <c r="M780" s="2">
        <f t="shared" si="24"/>
        <v>440</v>
      </c>
      <c r="N780" s="2">
        <f t="shared" si="25"/>
        <v>22</v>
      </c>
      <c r="O780" s="7">
        <v>22</v>
      </c>
      <c r="P780" s="2">
        <v>0</v>
      </c>
      <c r="Q780" s="2">
        <v>462</v>
      </c>
      <c r="R780" t="s">
        <v>31</v>
      </c>
      <c r="T780" t="s">
        <v>27</v>
      </c>
      <c r="U780" t="s">
        <v>1605</v>
      </c>
    </row>
    <row r="781" spans="1:21" x14ac:dyDescent="0.3">
      <c r="A781">
        <v>465</v>
      </c>
      <c r="B781" t="s">
        <v>1598</v>
      </c>
      <c r="C781" t="s">
        <v>24</v>
      </c>
      <c r="D781" t="s">
        <v>1599</v>
      </c>
      <c r="J781" t="s">
        <v>1600</v>
      </c>
      <c r="K781" s="3">
        <v>792</v>
      </c>
      <c r="L781" s="2">
        <v>0</v>
      </c>
      <c r="M781" s="2">
        <f t="shared" si="24"/>
        <v>792</v>
      </c>
      <c r="N781" s="2">
        <f t="shared" si="25"/>
        <v>39.6</v>
      </c>
      <c r="O781" s="7">
        <v>55.46</v>
      </c>
      <c r="P781" s="2">
        <v>-0.46</v>
      </c>
      <c r="Q781" s="2">
        <v>847</v>
      </c>
      <c r="R781" t="s">
        <v>45</v>
      </c>
      <c r="T781" t="s">
        <v>27</v>
      </c>
      <c r="U781" t="s">
        <v>1601</v>
      </c>
    </row>
    <row r="782" spans="1:21" x14ac:dyDescent="0.3">
      <c r="A782">
        <v>466</v>
      </c>
      <c r="B782" t="s">
        <v>1595</v>
      </c>
      <c r="C782" t="s">
        <v>24</v>
      </c>
      <c r="D782" t="s">
        <v>1596</v>
      </c>
      <c r="J782" t="s">
        <v>471</v>
      </c>
      <c r="K782" s="3">
        <v>695</v>
      </c>
      <c r="L782" s="2">
        <v>0</v>
      </c>
      <c r="M782" s="2">
        <f t="shared" si="24"/>
        <v>695</v>
      </c>
      <c r="N782" s="2">
        <f t="shared" si="25"/>
        <v>34.75</v>
      </c>
      <c r="O782" s="7">
        <v>34.76</v>
      </c>
      <c r="P782" s="2">
        <v>0.24</v>
      </c>
      <c r="Q782" s="2">
        <v>730</v>
      </c>
      <c r="R782" t="s">
        <v>45</v>
      </c>
      <c r="T782" t="s">
        <v>27</v>
      </c>
      <c r="U782" t="s">
        <v>1597</v>
      </c>
    </row>
    <row r="783" spans="1:21" x14ac:dyDescent="0.3">
      <c r="A783">
        <v>467</v>
      </c>
      <c r="B783" t="s">
        <v>1591</v>
      </c>
      <c r="C783" t="s">
        <v>24</v>
      </c>
      <c r="D783" t="s">
        <v>1592</v>
      </c>
      <c r="J783" t="s">
        <v>1593</v>
      </c>
      <c r="K783" s="3">
        <v>0</v>
      </c>
      <c r="L783" s="2">
        <v>0</v>
      </c>
      <c r="M783" s="2">
        <f t="shared" si="24"/>
        <v>0</v>
      </c>
      <c r="N783" s="2">
        <f t="shared" si="25"/>
        <v>0</v>
      </c>
      <c r="O783" s="7">
        <v>0</v>
      </c>
      <c r="P783" s="2">
        <v>0</v>
      </c>
      <c r="Q783" s="2">
        <v>0</v>
      </c>
      <c r="R783" t="s">
        <v>35</v>
      </c>
      <c r="T783" t="s">
        <v>27</v>
      </c>
      <c r="U783" t="s">
        <v>1594</v>
      </c>
    </row>
    <row r="784" spans="1:21" x14ac:dyDescent="0.3">
      <c r="A784">
        <v>468</v>
      </c>
      <c r="B784" t="s">
        <v>1587</v>
      </c>
      <c r="C784" t="s">
        <v>24</v>
      </c>
      <c r="D784" t="s">
        <v>1588</v>
      </c>
      <c r="J784" t="s">
        <v>1589</v>
      </c>
      <c r="K784" s="3">
        <v>1040</v>
      </c>
      <c r="L784" s="2">
        <v>0</v>
      </c>
      <c r="M784" s="2">
        <f t="shared" si="24"/>
        <v>1040</v>
      </c>
      <c r="N784" s="2">
        <f t="shared" si="25"/>
        <v>52</v>
      </c>
      <c r="O784" s="7">
        <v>52</v>
      </c>
      <c r="P784" s="2">
        <v>0</v>
      </c>
      <c r="Q784" s="2">
        <v>1092</v>
      </c>
      <c r="R784" t="s">
        <v>35</v>
      </c>
      <c r="T784" t="s">
        <v>27</v>
      </c>
      <c r="U784" t="s">
        <v>1590</v>
      </c>
    </row>
    <row r="785" spans="1:21" x14ac:dyDescent="0.3">
      <c r="A785">
        <v>469</v>
      </c>
      <c r="B785" t="s">
        <v>117</v>
      </c>
      <c r="C785" t="s">
        <v>24</v>
      </c>
      <c r="D785" t="s">
        <v>1160</v>
      </c>
      <c r="J785" t="s">
        <v>1585</v>
      </c>
      <c r="K785" s="3">
        <v>1120</v>
      </c>
      <c r="L785" s="2">
        <v>0</v>
      </c>
      <c r="M785" s="2">
        <f t="shared" si="24"/>
        <v>1120</v>
      </c>
      <c r="N785" s="2">
        <f t="shared" si="25"/>
        <v>56</v>
      </c>
      <c r="O785" s="7">
        <v>56</v>
      </c>
      <c r="P785" s="2">
        <v>0</v>
      </c>
      <c r="Q785" s="2">
        <v>1176</v>
      </c>
      <c r="R785" t="s">
        <v>31</v>
      </c>
      <c r="T785" t="s">
        <v>27</v>
      </c>
      <c r="U785" t="s">
        <v>1586</v>
      </c>
    </row>
    <row r="786" spans="1:21" x14ac:dyDescent="0.3">
      <c r="A786">
        <v>470</v>
      </c>
      <c r="B786" t="s">
        <v>1081</v>
      </c>
      <c r="C786" t="s">
        <v>24</v>
      </c>
      <c r="D786" t="s">
        <v>1082</v>
      </c>
      <c r="J786" t="s">
        <v>1583</v>
      </c>
      <c r="K786" s="3">
        <v>0</v>
      </c>
      <c r="L786" s="2">
        <v>0</v>
      </c>
      <c r="M786" s="2">
        <f t="shared" si="24"/>
        <v>0</v>
      </c>
      <c r="N786" s="2">
        <f t="shared" si="25"/>
        <v>0</v>
      </c>
      <c r="O786" s="7">
        <v>0</v>
      </c>
      <c r="P786" s="2">
        <v>0</v>
      </c>
      <c r="Q786" s="2">
        <v>0</v>
      </c>
      <c r="R786" t="s">
        <v>35</v>
      </c>
      <c r="T786" t="s">
        <v>27</v>
      </c>
      <c r="U786" t="s">
        <v>1584</v>
      </c>
    </row>
    <row r="787" spans="1:21" x14ac:dyDescent="0.3">
      <c r="A787">
        <v>471</v>
      </c>
      <c r="B787" t="s">
        <v>1579</v>
      </c>
      <c r="C787" t="s">
        <v>24</v>
      </c>
      <c r="D787" t="s">
        <v>1580</v>
      </c>
      <c r="J787" t="s">
        <v>1581</v>
      </c>
      <c r="K787" s="3">
        <v>0</v>
      </c>
      <c r="L787" s="2">
        <v>0</v>
      </c>
      <c r="M787" s="2">
        <f t="shared" si="24"/>
        <v>0</v>
      </c>
      <c r="N787" s="2">
        <f t="shared" si="25"/>
        <v>0</v>
      </c>
      <c r="O787" s="7">
        <v>0</v>
      </c>
      <c r="P787" s="2">
        <v>0</v>
      </c>
      <c r="Q787" s="2">
        <v>0</v>
      </c>
      <c r="R787" t="s">
        <v>35</v>
      </c>
      <c r="T787" t="s">
        <v>27</v>
      </c>
      <c r="U787" t="s">
        <v>1582</v>
      </c>
    </row>
    <row r="788" spans="1:21" x14ac:dyDescent="0.3">
      <c r="A788">
        <v>1038</v>
      </c>
      <c r="Q788">
        <v>668</v>
      </c>
      <c r="R788" t="s">
        <v>45</v>
      </c>
    </row>
    <row r="789" spans="1:21" x14ac:dyDescent="0.3">
      <c r="A789">
        <v>1038</v>
      </c>
      <c r="M789">
        <v>777496</v>
      </c>
      <c r="Q789">
        <v>1500</v>
      </c>
      <c r="R789" t="s">
        <v>35</v>
      </c>
    </row>
    <row r="790" spans="1:21" x14ac:dyDescent="0.3">
      <c r="A790">
        <v>977</v>
      </c>
      <c r="M790">
        <v>777512</v>
      </c>
      <c r="Q790">
        <v>166</v>
      </c>
      <c r="R790" t="s">
        <v>45</v>
      </c>
    </row>
    <row r="791" spans="1:21" x14ac:dyDescent="0.3">
      <c r="A791">
        <v>977</v>
      </c>
      <c r="M791">
        <f>M789-M790</f>
        <v>-16</v>
      </c>
      <c r="Q791">
        <v>1000</v>
      </c>
      <c r="R791" t="s">
        <v>35</v>
      </c>
    </row>
    <row r="792" spans="1:21" x14ac:dyDescent="0.3">
      <c r="A792">
        <v>850</v>
      </c>
      <c r="Q792">
        <v>82</v>
      </c>
      <c r="R792" t="s">
        <v>45</v>
      </c>
    </row>
    <row r="793" spans="1:21" x14ac:dyDescent="0.3">
      <c r="A793">
        <v>850</v>
      </c>
      <c r="Q793">
        <v>5000</v>
      </c>
      <c r="R793" t="s">
        <v>35</v>
      </c>
    </row>
    <row r="794" spans="1:21" x14ac:dyDescent="0.3">
      <c r="A794">
        <v>810</v>
      </c>
      <c r="Q794">
        <v>1769</v>
      </c>
      <c r="R794" t="s">
        <v>26</v>
      </c>
    </row>
    <row r="795" spans="1:21" x14ac:dyDescent="0.3">
      <c r="A795">
        <v>810</v>
      </c>
      <c r="Q795">
        <v>81</v>
      </c>
      <c r="R795" t="s">
        <v>35</v>
      </c>
    </row>
    <row r="796" spans="1:21" x14ac:dyDescent="0.3">
      <c r="A796">
        <v>722</v>
      </c>
      <c r="Q796">
        <v>87</v>
      </c>
      <c r="R796" t="s">
        <v>45</v>
      </c>
    </row>
    <row r="797" spans="1:21" x14ac:dyDescent="0.3">
      <c r="A797">
        <v>722</v>
      </c>
      <c r="Q797">
        <v>1000</v>
      </c>
      <c r="R797" t="s">
        <v>35</v>
      </c>
    </row>
    <row r="798" spans="1:21" x14ac:dyDescent="0.3">
      <c r="A798">
        <v>694</v>
      </c>
      <c r="Q798">
        <v>62</v>
      </c>
      <c r="R798" t="s">
        <v>45</v>
      </c>
    </row>
    <row r="799" spans="1:21" x14ac:dyDescent="0.3">
      <c r="A799">
        <v>694</v>
      </c>
      <c r="Q799">
        <v>500</v>
      </c>
      <c r="R799" t="s">
        <v>35</v>
      </c>
    </row>
    <row r="800" spans="1:21" x14ac:dyDescent="0.3">
      <c r="A800">
        <v>643</v>
      </c>
      <c r="Q800">
        <v>74</v>
      </c>
      <c r="R800" t="s">
        <v>45</v>
      </c>
    </row>
    <row r="801" spans="1:18" x14ac:dyDescent="0.3">
      <c r="A801">
        <v>643</v>
      </c>
      <c r="Q801">
        <v>500</v>
      </c>
      <c r="R801" t="s">
        <v>35</v>
      </c>
    </row>
    <row r="802" spans="1:18" x14ac:dyDescent="0.3">
      <c r="A802">
        <v>433</v>
      </c>
      <c r="Q802">
        <v>10</v>
      </c>
      <c r="R802" t="s">
        <v>45</v>
      </c>
    </row>
    <row r="803" spans="1:18" x14ac:dyDescent="0.3">
      <c r="A803">
        <v>433</v>
      </c>
      <c r="Q803">
        <v>799</v>
      </c>
      <c r="R80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Sergey Shuchkin &lt;sergey.shuchkin@gmail.com&gt;</Manager>
  <Company>Sergey Shuchkin &lt;sergey.shuchkin@gmail.com&gt;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Sergey Shuchkin &lt;sergey.shuchkin@gmail.com&gt;</dc:creator>
  <cp:keywords/>
  <dc:description/>
  <cp:lastModifiedBy>Pd Gupta3</cp:lastModifiedBy>
  <cp:revision>1</cp:revision>
  <dcterms:created xsi:type="dcterms:W3CDTF">2026-01-02T11:40:04Z</dcterms:created>
  <dcterms:modified xsi:type="dcterms:W3CDTF">2026-01-12T07:56:51Z</dcterms:modified>
  <cp:category/>
  <dc:language>en-US</dc:language>
</cp:coreProperties>
</file>